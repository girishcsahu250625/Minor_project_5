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CD4069D-95EE-42F2-B238-8F4EB9B4675E}" xr6:coauthVersionLast="47" xr6:coauthVersionMax="47" xr10:uidLastSave="{00000000-0000-0000-0000-000000000000}"/>
  <bookViews>
    <workbookView xWindow="-108" yWindow="-108" windowWidth="23256" windowHeight="12456" tabRatio="500" firstSheet="5" activeTab="10" xr2:uid="{00000000-000D-0000-FFFF-FFFF00000000}"/>
  </bookViews>
  <sheets>
    <sheet name="README" sheetId="1" r:id="rId1"/>
    <sheet name="Orders" sheetId="2" r:id="rId2"/>
    <sheet name="Customers" sheetId="3" r:id="rId3"/>
    <sheet name="Products" sheetId="4" r:id="rId4"/>
    <sheet name="Sales_Reps" sheetId="5" r:id="rId5"/>
    <sheet name="Targets" sheetId="6" r:id="rId6"/>
    <sheet name="Q1_Lookups" sheetId="7" r:id="rId7"/>
    <sheet name="Q2_Cleaning" sheetId="8" r:id="rId8"/>
    <sheet name="Q3_Aggregation" sheetId="9" r:id="rId9"/>
    <sheet name="Q4_Pivot" sheetId="10" r:id="rId10"/>
    <sheet name="Q5_Advanced" sheetId="11" r:id="rId11"/>
  </sheets>
  <definedNames>
    <definedName name="_xlnm.Print_Area" localSheetId="2">Customers!$A$1:$F$301</definedName>
    <definedName name="_xlnm.Print_Area" localSheetId="1">Orders!$A$1:$K$2001</definedName>
    <definedName name="_xlnm.Print_Area" localSheetId="3">Products!$A$1:$F$61</definedName>
    <definedName name="_xlnm.Print_Area" localSheetId="4">Sales_Reps!$A$1:$E$31</definedName>
    <definedName name="_xlnm.Print_Area" localSheetId="5">Targets!$A$1:$M$31</definedName>
    <definedName name="_xlnm.Print_Titles" localSheetId="2">Customers!$1:$1</definedName>
    <definedName name="_xlnm.Print_Titles" localSheetId="1">Orders!$1:$1</definedName>
    <definedName name="_xlnm.Print_Titles" localSheetId="3">Products!$1:$1</definedName>
    <definedName name="_xlnm.Print_Titles" localSheetId="4">Sales_Reps!$1:$1</definedName>
    <definedName name="_xlnm.Print_Titles" localSheetId="5">Targets!$1:$1</definedName>
  </definedName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64" i="11" l="1"/>
  <c r="J64" i="11" s="1"/>
  <c r="I63" i="11"/>
  <c r="H63" i="11"/>
  <c r="J63" i="11" s="1"/>
  <c r="I62" i="11"/>
  <c r="H62" i="11"/>
  <c r="J62" i="11" s="1"/>
  <c r="I61" i="11"/>
  <c r="H61" i="11"/>
  <c r="J61" i="11" s="1"/>
  <c r="I60" i="11"/>
  <c r="H60" i="11"/>
  <c r="I59" i="11"/>
  <c r="H59" i="11"/>
  <c r="H58" i="11"/>
  <c r="J58" i="11" s="1"/>
  <c r="H57" i="11"/>
  <c r="J57" i="11" s="1"/>
  <c r="H56" i="11"/>
  <c r="I56" i="11" s="1"/>
  <c r="I55" i="11"/>
  <c r="H55" i="11"/>
  <c r="J55" i="11" s="1"/>
  <c r="I54" i="11"/>
  <c r="H54" i="11"/>
  <c r="J54" i="11" s="1"/>
  <c r="I53" i="11"/>
  <c r="H53" i="11"/>
  <c r="J53" i="11" s="1"/>
  <c r="I52" i="11"/>
  <c r="H52" i="11"/>
  <c r="I51" i="11"/>
  <c r="H51" i="11"/>
  <c r="H50" i="11"/>
  <c r="J50" i="11" s="1"/>
  <c r="H49" i="11"/>
  <c r="J49" i="11" s="1"/>
  <c r="H48" i="11"/>
  <c r="I48" i="11" s="1"/>
  <c r="I47" i="11"/>
  <c r="H47" i="11"/>
  <c r="J47" i="11" s="1"/>
  <c r="I46" i="11"/>
  <c r="H46" i="11"/>
  <c r="J46" i="11" s="1"/>
  <c r="I45" i="11"/>
  <c r="H45" i="11"/>
  <c r="J45" i="11" s="1"/>
  <c r="I44" i="11"/>
  <c r="H44" i="11"/>
  <c r="I43" i="11"/>
  <c r="H43" i="11"/>
  <c r="H42" i="11"/>
  <c r="J42" i="11" s="1"/>
  <c r="H41" i="11"/>
  <c r="J41" i="11" s="1"/>
  <c r="H40" i="11"/>
  <c r="I40" i="11" s="1"/>
  <c r="I39" i="11"/>
  <c r="H39" i="11"/>
  <c r="J39" i="11" s="1"/>
  <c r="I38" i="11"/>
  <c r="H38" i="11"/>
  <c r="J38" i="11" s="1"/>
  <c r="I37" i="11"/>
  <c r="H37" i="11"/>
  <c r="J37" i="11" s="1"/>
  <c r="I36" i="11"/>
  <c r="H36" i="11"/>
  <c r="I35" i="11"/>
  <c r="H35" i="11"/>
  <c r="H34" i="11"/>
  <c r="J34" i="11" s="1"/>
  <c r="H33" i="11"/>
  <c r="J33" i="11" s="1"/>
  <c r="H32" i="11"/>
  <c r="I32" i="11" s="1"/>
  <c r="I31" i="11"/>
  <c r="H31" i="11"/>
  <c r="J31" i="11" s="1"/>
  <c r="I30" i="11"/>
  <c r="H30" i="11"/>
  <c r="J30" i="11" s="1"/>
  <c r="I29" i="11"/>
  <c r="H29" i="11"/>
  <c r="J29" i="11" s="1"/>
  <c r="I28" i="11"/>
  <c r="H28" i="11"/>
  <c r="I27" i="11"/>
  <c r="H27" i="11"/>
  <c r="H26" i="11"/>
  <c r="J26" i="11" s="1"/>
  <c r="H25" i="11"/>
  <c r="J25" i="11" s="1"/>
  <c r="H24" i="11"/>
  <c r="I24" i="11" s="1"/>
  <c r="I23" i="11"/>
  <c r="H23" i="11"/>
  <c r="J23" i="11" s="1"/>
  <c r="I22" i="11"/>
  <c r="H22" i="11"/>
  <c r="J22" i="11" s="1"/>
  <c r="I21" i="11"/>
  <c r="H21" i="11"/>
  <c r="J21" i="11" s="1"/>
  <c r="I20" i="11"/>
  <c r="H20" i="11"/>
  <c r="I19" i="11"/>
  <c r="H19" i="11"/>
  <c r="H18" i="11"/>
  <c r="J18" i="11" s="1"/>
  <c r="H17" i="11"/>
  <c r="J17" i="11" s="1"/>
  <c r="H16" i="11"/>
  <c r="I16" i="11" s="1"/>
  <c r="I15" i="11"/>
  <c r="H15" i="11"/>
  <c r="J15" i="11" s="1"/>
  <c r="I14" i="11"/>
  <c r="H14" i="11"/>
  <c r="J14" i="11" s="1"/>
  <c r="I13" i="11"/>
  <c r="H13" i="11"/>
  <c r="J13" i="11" s="1"/>
  <c r="I12" i="11"/>
  <c r="H12" i="11"/>
  <c r="I11" i="11"/>
  <c r="H11" i="11"/>
  <c r="H10" i="11"/>
  <c r="J10" i="11" s="1"/>
  <c r="H9" i="11"/>
  <c r="J9" i="11" s="1"/>
  <c r="I8" i="11"/>
  <c r="H8" i="11"/>
  <c r="J8" i="11" s="1"/>
  <c r="H7" i="11"/>
  <c r="J7" i="11" s="1"/>
  <c r="I6" i="11"/>
  <c r="H6" i="11"/>
  <c r="J6" i="11" s="1"/>
  <c r="E6" i="11"/>
  <c r="H5" i="11"/>
  <c r="J5" i="11" s="1"/>
  <c r="AL14" i="10"/>
  <c r="AL26" i="10" s="1"/>
  <c r="AK14" i="10"/>
  <c r="AK25" i="10" s="1"/>
  <c r="AJ14" i="10"/>
  <c r="AJ25" i="10" s="1"/>
  <c r="AI14" i="10"/>
  <c r="AI24" i="10" s="1"/>
  <c r="AH14" i="10"/>
  <c r="AH24" i="10" s="1"/>
  <c r="AG14" i="10"/>
  <c r="AG26" i="10" s="1"/>
  <c r="AF14" i="10"/>
  <c r="AF23" i="10" s="1"/>
  <c r="AE14" i="10"/>
  <c r="AE26" i="10" s="1"/>
  <c r="AD14" i="10"/>
  <c r="AD26" i="10" s="1"/>
  <c r="AC14" i="10"/>
  <c r="AC25" i="10" s="1"/>
  <c r="AB14" i="10"/>
  <c r="AB25" i="10" s="1"/>
  <c r="AA14" i="10"/>
  <c r="AA24" i="10" s="1"/>
  <c r="Z14" i="10"/>
  <c r="Z24" i="10" s="1"/>
  <c r="Y14" i="10"/>
  <c r="Y26" i="10" s="1"/>
  <c r="X14" i="10"/>
  <c r="X23" i="10" s="1"/>
  <c r="W14" i="10"/>
  <c r="W26" i="10" s="1"/>
  <c r="V14" i="10"/>
  <c r="V26" i="10" s="1"/>
  <c r="U14" i="10"/>
  <c r="U25" i="10" s="1"/>
  <c r="T14" i="10"/>
  <c r="T25" i="10" s="1"/>
  <c r="S14" i="10"/>
  <c r="S24" i="10" s="1"/>
  <c r="R14" i="10"/>
  <c r="R24" i="10" s="1"/>
  <c r="Q14" i="10"/>
  <c r="Q26" i="10" s="1"/>
  <c r="P14" i="10"/>
  <c r="P23" i="10" s="1"/>
  <c r="O14" i="10"/>
  <c r="O26" i="10" s="1"/>
  <c r="N14" i="10"/>
  <c r="N26" i="10" s="1"/>
  <c r="M14" i="10"/>
  <c r="M25" i="10" s="1"/>
  <c r="L14" i="10"/>
  <c r="L25" i="10" s="1"/>
  <c r="K14" i="10"/>
  <c r="K24" i="10" s="1"/>
  <c r="J14" i="10"/>
  <c r="J24" i="10" s="1"/>
  <c r="I14" i="10"/>
  <c r="I26" i="10" s="1"/>
  <c r="E8" i="10"/>
  <c r="J34" i="9"/>
  <c r="I34" i="9"/>
  <c r="H34" i="9"/>
  <c r="J33" i="9"/>
  <c r="I33" i="9"/>
  <c r="H33" i="9"/>
  <c r="H32" i="9"/>
  <c r="J32" i="9" s="1"/>
  <c r="H31" i="9"/>
  <c r="J31" i="9" s="1"/>
  <c r="J30" i="9"/>
  <c r="H30" i="9"/>
  <c r="I30" i="9" s="1"/>
  <c r="I29" i="9"/>
  <c r="H29" i="9"/>
  <c r="J29" i="9" s="1"/>
  <c r="I28" i="9"/>
  <c r="H28" i="9"/>
  <c r="J28" i="9" s="1"/>
  <c r="I27" i="9"/>
  <c r="H27" i="9"/>
  <c r="J27" i="9" s="1"/>
  <c r="J26" i="9"/>
  <c r="I26" i="9"/>
  <c r="H26" i="9"/>
  <c r="J25" i="9"/>
  <c r="I25" i="9"/>
  <c r="H25" i="9"/>
  <c r="H24" i="9"/>
  <c r="J24" i="9" s="1"/>
  <c r="H23" i="9"/>
  <c r="J23" i="9" s="1"/>
  <c r="J22" i="9"/>
  <c r="H22" i="9"/>
  <c r="I22" i="9" s="1"/>
  <c r="I21" i="9"/>
  <c r="H21" i="9"/>
  <c r="J21" i="9" s="1"/>
  <c r="I20" i="9"/>
  <c r="H20" i="9"/>
  <c r="J20" i="9" s="1"/>
  <c r="I19" i="9"/>
  <c r="H19" i="9"/>
  <c r="J19" i="9" s="1"/>
  <c r="J18" i="9"/>
  <c r="I18" i="9"/>
  <c r="H18" i="9"/>
  <c r="J17" i="9"/>
  <c r="I17" i="9"/>
  <c r="H17" i="9"/>
  <c r="H16" i="9"/>
  <c r="J16" i="9" s="1"/>
  <c r="H15" i="9"/>
  <c r="J15" i="9" s="1"/>
  <c r="J14" i="9"/>
  <c r="H14" i="9"/>
  <c r="I14" i="9" s="1"/>
  <c r="I13" i="9"/>
  <c r="H13" i="9"/>
  <c r="J13" i="9" s="1"/>
  <c r="I12" i="9"/>
  <c r="H12" i="9"/>
  <c r="J12" i="9" s="1"/>
  <c r="I11" i="9"/>
  <c r="H11" i="9"/>
  <c r="J11" i="9" s="1"/>
  <c r="J10" i="9"/>
  <c r="I10" i="9"/>
  <c r="H10" i="9"/>
  <c r="J9" i="9"/>
  <c r="H9" i="9"/>
  <c r="I9" i="9" s="1"/>
  <c r="E9" i="9"/>
  <c r="J8" i="9"/>
  <c r="I8" i="9"/>
  <c r="H8" i="9"/>
  <c r="J7" i="9"/>
  <c r="H7" i="9"/>
  <c r="I7" i="9" s="1"/>
  <c r="J6" i="9"/>
  <c r="I6" i="9"/>
  <c r="H6" i="9"/>
  <c r="E6" i="9"/>
  <c r="J5" i="9"/>
  <c r="H5" i="9"/>
  <c r="I5" i="9" s="1"/>
  <c r="E5" i="9"/>
  <c r="E10" i="8"/>
  <c r="E8" i="8"/>
  <c r="E7" i="8"/>
  <c r="E6" i="8"/>
  <c r="E5" i="8"/>
  <c r="E12" i="7"/>
  <c r="E11" i="7"/>
  <c r="E10" i="7"/>
  <c r="E9" i="7"/>
  <c r="E8" i="7"/>
  <c r="E7" i="7"/>
  <c r="E6" i="7"/>
  <c r="E5" i="7"/>
  <c r="F61" i="4"/>
  <c r="F60" i="4"/>
  <c r="F59" i="4"/>
  <c r="F58" i="4"/>
  <c r="F57" i="4"/>
  <c r="F56" i="4"/>
  <c r="F55" i="4"/>
  <c r="F54" i="4"/>
  <c r="F53" i="4"/>
  <c r="F52" i="4"/>
  <c r="F51" i="4"/>
  <c r="F50" i="4"/>
  <c r="F49" i="4"/>
  <c r="F48" i="4"/>
  <c r="F47" i="4"/>
  <c r="F46" i="4"/>
  <c r="F45" i="4"/>
  <c r="F44" i="4"/>
  <c r="F43" i="4"/>
  <c r="F42" i="4"/>
  <c r="F41" i="4"/>
  <c r="F40" i="4"/>
  <c r="F39" i="4"/>
  <c r="F38" i="4"/>
  <c r="F37" i="4"/>
  <c r="F36" i="4"/>
  <c r="F35" i="4"/>
  <c r="F34" i="4"/>
  <c r="F33" i="4"/>
  <c r="F32" i="4"/>
  <c r="F31" i="4"/>
  <c r="F30" i="4"/>
  <c r="F29" i="4"/>
  <c r="F28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E9" i="8" s="1"/>
  <c r="F14" i="4"/>
  <c r="F13" i="4"/>
  <c r="F12" i="4"/>
  <c r="F11" i="4"/>
  <c r="F10" i="4"/>
  <c r="F9" i="4"/>
  <c r="F8" i="4"/>
  <c r="F7" i="4"/>
  <c r="F6" i="4"/>
  <c r="F5" i="4"/>
  <c r="F4" i="4"/>
  <c r="F3" i="4"/>
  <c r="F2" i="4"/>
  <c r="R2001" i="2"/>
  <c r="Q2001" i="2"/>
  <c r="P2001" i="2"/>
  <c r="O2001" i="2"/>
  <c r="M2001" i="2"/>
  <c r="L2001" i="2"/>
  <c r="R2000" i="2"/>
  <c r="Q2000" i="2"/>
  <c r="P2000" i="2"/>
  <c r="O2000" i="2"/>
  <c r="M2000" i="2"/>
  <c r="L2000" i="2"/>
  <c r="R1999" i="2"/>
  <c r="Q1999" i="2"/>
  <c r="P1999" i="2"/>
  <c r="O1999" i="2"/>
  <c r="M1999" i="2"/>
  <c r="L1999" i="2"/>
  <c r="R1998" i="2"/>
  <c r="Q1998" i="2"/>
  <c r="P1998" i="2"/>
  <c r="O1998" i="2"/>
  <c r="M1998" i="2"/>
  <c r="L1998" i="2"/>
  <c r="R1997" i="2"/>
  <c r="Q1997" i="2"/>
  <c r="P1997" i="2"/>
  <c r="O1997" i="2"/>
  <c r="M1997" i="2"/>
  <c r="L1997" i="2"/>
  <c r="R1996" i="2"/>
  <c r="Q1996" i="2"/>
  <c r="P1996" i="2"/>
  <c r="O1996" i="2"/>
  <c r="M1996" i="2"/>
  <c r="L1996" i="2"/>
  <c r="R1995" i="2"/>
  <c r="Q1995" i="2"/>
  <c r="P1995" i="2"/>
  <c r="O1995" i="2"/>
  <c r="M1995" i="2"/>
  <c r="L1995" i="2"/>
  <c r="R1994" i="2"/>
  <c r="Q1994" i="2"/>
  <c r="P1994" i="2"/>
  <c r="O1994" i="2"/>
  <c r="M1994" i="2"/>
  <c r="L1994" i="2"/>
  <c r="R1993" i="2"/>
  <c r="Q1993" i="2"/>
  <c r="P1993" i="2"/>
  <c r="O1993" i="2"/>
  <c r="M1993" i="2"/>
  <c r="L1993" i="2"/>
  <c r="R1992" i="2"/>
  <c r="Q1992" i="2"/>
  <c r="P1992" i="2"/>
  <c r="O1992" i="2"/>
  <c r="M1992" i="2"/>
  <c r="L1992" i="2"/>
  <c r="R1991" i="2"/>
  <c r="Q1991" i="2"/>
  <c r="P1991" i="2"/>
  <c r="O1991" i="2"/>
  <c r="M1991" i="2"/>
  <c r="L1991" i="2"/>
  <c r="R1990" i="2"/>
  <c r="Q1990" i="2"/>
  <c r="P1990" i="2"/>
  <c r="O1990" i="2"/>
  <c r="M1990" i="2"/>
  <c r="L1990" i="2"/>
  <c r="R1989" i="2"/>
  <c r="Q1989" i="2"/>
  <c r="P1989" i="2"/>
  <c r="O1989" i="2"/>
  <c r="M1989" i="2"/>
  <c r="L1989" i="2"/>
  <c r="R1988" i="2"/>
  <c r="Q1988" i="2"/>
  <c r="P1988" i="2"/>
  <c r="O1988" i="2"/>
  <c r="M1988" i="2"/>
  <c r="L1988" i="2"/>
  <c r="R1987" i="2"/>
  <c r="Q1987" i="2"/>
  <c r="P1987" i="2"/>
  <c r="O1987" i="2"/>
  <c r="M1987" i="2"/>
  <c r="L1987" i="2"/>
  <c r="R1986" i="2"/>
  <c r="Q1986" i="2"/>
  <c r="P1986" i="2"/>
  <c r="O1986" i="2"/>
  <c r="M1986" i="2"/>
  <c r="L1986" i="2"/>
  <c r="R1985" i="2"/>
  <c r="Q1985" i="2"/>
  <c r="P1985" i="2"/>
  <c r="O1985" i="2"/>
  <c r="M1985" i="2"/>
  <c r="L1985" i="2"/>
  <c r="R1984" i="2"/>
  <c r="Q1984" i="2"/>
  <c r="P1984" i="2"/>
  <c r="O1984" i="2"/>
  <c r="M1984" i="2"/>
  <c r="L1984" i="2"/>
  <c r="R1983" i="2"/>
  <c r="Q1983" i="2"/>
  <c r="P1983" i="2"/>
  <c r="O1983" i="2"/>
  <c r="M1983" i="2"/>
  <c r="L1983" i="2"/>
  <c r="R1982" i="2"/>
  <c r="Q1982" i="2"/>
  <c r="P1982" i="2"/>
  <c r="O1982" i="2"/>
  <c r="M1982" i="2"/>
  <c r="L1982" i="2"/>
  <c r="R1981" i="2"/>
  <c r="Q1981" i="2"/>
  <c r="P1981" i="2"/>
  <c r="O1981" i="2"/>
  <c r="M1981" i="2"/>
  <c r="L1981" i="2"/>
  <c r="R1980" i="2"/>
  <c r="Q1980" i="2"/>
  <c r="P1980" i="2"/>
  <c r="O1980" i="2"/>
  <c r="M1980" i="2"/>
  <c r="L1980" i="2"/>
  <c r="R1979" i="2"/>
  <c r="Q1979" i="2"/>
  <c r="P1979" i="2"/>
  <c r="O1979" i="2"/>
  <c r="M1979" i="2"/>
  <c r="L1979" i="2"/>
  <c r="R1978" i="2"/>
  <c r="Q1978" i="2"/>
  <c r="P1978" i="2"/>
  <c r="O1978" i="2"/>
  <c r="M1978" i="2"/>
  <c r="L1978" i="2"/>
  <c r="R1977" i="2"/>
  <c r="Q1977" i="2"/>
  <c r="P1977" i="2"/>
  <c r="O1977" i="2"/>
  <c r="M1977" i="2"/>
  <c r="L1977" i="2"/>
  <c r="R1976" i="2"/>
  <c r="Q1976" i="2"/>
  <c r="P1976" i="2"/>
  <c r="O1976" i="2"/>
  <c r="M1976" i="2"/>
  <c r="L1976" i="2"/>
  <c r="R1975" i="2"/>
  <c r="Q1975" i="2"/>
  <c r="P1975" i="2"/>
  <c r="O1975" i="2"/>
  <c r="M1975" i="2"/>
  <c r="L1975" i="2"/>
  <c r="R1974" i="2"/>
  <c r="Q1974" i="2"/>
  <c r="P1974" i="2"/>
  <c r="O1974" i="2"/>
  <c r="M1974" i="2"/>
  <c r="L1974" i="2"/>
  <c r="R1973" i="2"/>
  <c r="Q1973" i="2"/>
  <c r="P1973" i="2"/>
  <c r="O1973" i="2"/>
  <c r="M1973" i="2"/>
  <c r="L1973" i="2"/>
  <c r="R1972" i="2"/>
  <c r="Q1972" i="2"/>
  <c r="P1972" i="2"/>
  <c r="O1972" i="2"/>
  <c r="M1972" i="2"/>
  <c r="L1972" i="2"/>
  <c r="R1971" i="2"/>
  <c r="Q1971" i="2"/>
  <c r="P1971" i="2"/>
  <c r="O1971" i="2"/>
  <c r="M1971" i="2"/>
  <c r="L1971" i="2"/>
  <c r="R1970" i="2"/>
  <c r="Q1970" i="2"/>
  <c r="P1970" i="2"/>
  <c r="O1970" i="2"/>
  <c r="M1970" i="2"/>
  <c r="L1970" i="2"/>
  <c r="R1969" i="2"/>
  <c r="Q1969" i="2"/>
  <c r="P1969" i="2"/>
  <c r="O1969" i="2"/>
  <c r="M1969" i="2"/>
  <c r="L1969" i="2"/>
  <c r="R1968" i="2"/>
  <c r="Q1968" i="2"/>
  <c r="P1968" i="2"/>
  <c r="O1968" i="2"/>
  <c r="M1968" i="2"/>
  <c r="L1968" i="2"/>
  <c r="R1967" i="2"/>
  <c r="Q1967" i="2"/>
  <c r="P1967" i="2"/>
  <c r="O1967" i="2"/>
  <c r="M1967" i="2"/>
  <c r="L1967" i="2"/>
  <c r="R1966" i="2"/>
  <c r="Q1966" i="2"/>
  <c r="P1966" i="2"/>
  <c r="O1966" i="2"/>
  <c r="M1966" i="2"/>
  <c r="L1966" i="2"/>
  <c r="R1965" i="2"/>
  <c r="Q1965" i="2"/>
  <c r="P1965" i="2"/>
  <c r="O1965" i="2"/>
  <c r="M1965" i="2"/>
  <c r="L1965" i="2"/>
  <c r="R1964" i="2"/>
  <c r="Q1964" i="2"/>
  <c r="P1964" i="2"/>
  <c r="O1964" i="2"/>
  <c r="M1964" i="2"/>
  <c r="L1964" i="2"/>
  <c r="R1963" i="2"/>
  <c r="Q1963" i="2"/>
  <c r="P1963" i="2"/>
  <c r="O1963" i="2"/>
  <c r="M1963" i="2"/>
  <c r="L1963" i="2"/>
  <c r="R1962" i="2"/>
  <c r="Q1962" i="2"/>
  <c r="P1962" i="2"/>
  <c r="O1962" i="2"/>
  <c r="M1962" i="2"/>
  <c r="L1962" i="2"/>
  <c r="R1961" i="2"/>
  <c r="Q1961" i="2"/>
  <c r="P1961" i="2"/>
  <c r="O1961" i="2"/>
  <c r="M1961" i="2"/>
  <c r="L1961" i="2"/>
  <c r="R1960" i="2"/>
  <c r="Q1960" i="2"/>
  <c r="P1960" i="2"/>
  <c r="O1960" i="2"/>
  <c r="M1960" i="2"/>
  <c r="L1960" i="2"/>
  <c r="R1959" i="2"/>
  <c r="Q1959" i="2"/>
  <c r="P1959" i="2"/>
  <c r="O1959" i="2"/>
  <c r="M1959" i="2"/>
  <c r="L1959" i="2"/>
  <c r="R1958" i="2"/>
  <c r="Q1958" i="2"/>
  <c r="P1958" i="2"/>
  <c r="O1958" i="2"/>
  <c r="M1958" i="2"/>
  <c r="L1958" i="2"/>
  <c r="R1957" i="2"/>
  <c r="Q1957" i="2"/>
  <c r="P1957" i="2"/>
  <c r="O1957" i="2"/>
  <c r="M1957" i="2"/>
  <c r="L1957" i="2"/>
  <c r="R1956" i="2"/>
  <c r="Q1956" i="2"/>
  <c r="P1956" i="2"/>
  <c r="O1956" i="2"/>
  <c r="M1956" i="2"/>
  <c r="L1956" i="2"/>
  <c r="R1955" i="2"/>
  <c r="Q1955" i="2"/>
  <c r="P1955" i="2"/>
  <c r="O1955" i="2"/>
  <c r="M1955" i="2"/>
  <c r="L1955" i="2"/>
  <c r="R1954" i="2"/>
  <c r="Q1954" i="2"/>
  <c r="P1954" i="2"/>
  <c r="O1954" i="2"/>
  <c r="M1954" i="2"/>
  <c r="L1954" i="2"/>
  <c r="R1953" i="2"/>
  <c r="Q1953" i="2"/>
  <c r="P1953" i="2"/>
  <c r="O1953" i="2"/>
  <c r="M1953" i="2"/>
  <c r="L1953" i="2"/>
  <c r="R1952" i="2"/>
  <c r="Q1952" i="2"/>
  <c r="P1952" i="2"/>
  <c r="O1952" i="2"/>
  <c r="M1952" i="2"/>
  <c r="L1952" i="2"/>
  <c r="R1951" i="2"/>
  <c r="Q1951" i="2"/>
  <c r="P1951" i="2"/>
  <c r="O1951" i="2"/>
  <c r="M1951" i="2"/>
  <c r="L1951" i="2"/>
  <c r="R1950" i="2"/>
  <c r="Q1950" i="2"/>
  <c r="P1950" i="2"/>
  <c r="O1950" i="2"/>
  <c r="M1950" i="2"/>
  <c r="L1950" i="2"/>
  <c r="R1949" i="2"/>
  <c r="Q1949" i="2"/>
  <c r="P1949" i="2"/>
  <c r="O1949" i="2"/>
  <c r="M1949" i="2"/>
  <c r="L1949" i="2"/>
  <c r="R1948" i="2"/>
  <c r="Q1948" i="2"/>
  <c r="P1948" i="2"/>
  <c r="O1948" i="2"/>
  <c r="M1948" i="2"/>
  <c r="L1948" i="2"/>
  <c r="R1947" i="2"/>
  <c r="Q1947" i="2"/>
  <c r="P1947" i="2"/>
  <c r="O1947" i="2"/>
  <c r="M1947" i="2"/>
  <c r="L1947" i="2"/>
  <c r="R1946" i="2"/>
  <c r="Q1946" i="2"/>
  <c r="P1946" i="2"/>
  <c r="O1946" i="2"/>
  <c r="M1946" i="2"/>
  <c r="L1946" i="2"/>
  <c r="R1945" i="2"/>
  <c r="Q1945" i="2"/>
  <c r="P1945" i="2"/>
  <c r="O1945" i="2"/>
  <c r="M1945" i="2"/>
  <c r="L1945" i="2"/>
  <c r="R1944" i="2"/>
  <c r="Q1944" i="2"/>
  <c r="P1944" i="2"/>
  <c r="O1944" i="2"/>
  <c r="M1944" i="2"/>
  <c r="L1944" i="2"/>
  <c r="R1943" i="2"/>
  <c r="Q1943" i="2"/>
  <c r="P1943" i="2"/>
  <c r="O1943" i="2"/>
  <c r="M1943" i="2"/>
  <c r="L1943" i="2"/>
  <c r="R1942" i="2"/>
  <c r="Q1942" i="2"/>
  <c r="P1942" i="2"/>
  <c r="O1942" i="2"/>
  <c r="M1942" i="2"/>
  <c r="L1942" i="2"/>
  <c r="R1941" i="2"/>
  <c r="Q1941" i="2"/>
  <c r="P1941" i="2"/>
  <c r="O1941" i="2"/>
  <c r="M1941" i="2"/>
  <c r="L1941" i="2"/>
  <c r="R1940" i="2"/>
  <c r="Q1940" i="2"/>
  <c r="P1940" i="2"/>
  <c r="O1940" i="2"/>
  <c r="M1940" i="2"/>
  <c r="L1940" i="2"/>
  <c r="R1939" i="2"/>
  <c r="Q1939" i="2"/>
  <c r="P1939" i="2"/>
  <c r="O1939" i="2"/>
  <c r="M1939" i="2"/>
  <c r="L1939" i="2"/>
  <c r="R1938" i="2"/>
  <c r="Q1938" i="2"/>
  <c r="P1938" i="2"/>
  <c r="O1938" i="2"/>
  <c r="M1938" i="2"/>
  <c r="L1938" i="2"/>
  <c r="R1937" i="2"/>
  <c r="Q1937" i="2"/>
  <c r="P1937" i="2"/>
  <c r="O1937" i="2"/>
  <c r="M1937" i="2"/>
  <c r="L1937" i="2"/>
  <c r="R1936" i="2"/>
  <c r="Q1936" i="2"/>
  <c r="P1936" i="2"/>
  <c r="O1936" i="2"/>
  <c r="M1936" i="2"/>
  <c r="L1936" i="2"/>
  <c r="R1935" i="2"/>
  <c r="Q1935" i="2"/>
  <c r="P1935" i="2"/>
  <c r="O1935" i="2"/>
  <c r="M1935" i="2"/>
  <c r="L1935" i="2"/>
  <c r="R1934" i="2"/>
  <c r="Q1934" i="2"/>
  <c r="P1934" i="2"/>
  <c r="O1934" i="2"/>
  <c r="M1934" i="2"/>
  <c r="L1934" i="2"/>
  <c r="R1933" i="2"/>
  <c r="Q1933" i="2"/>
  <c r="P1933" i="2"/>
  <c r="O1933" i="2"/>
  <c r="M1933" i="2"/>
  <c r="L1933" i="2"/>
  <c r="R1932" i="2"/>
  <c r="Q1932" i="2"/>
  <c r="P1932" i="2"/>
  <c r="O1932" i="2"/>
  <c r="M1932" i="2"/>
  <c r="L1932" i="2"/>
  <c r="R1931" i="2"/>
  <c r="Q1931" i="2"/>
  <c r="P1931" i="2"/>
  <c r="O1931" i="2"/>
  <c r="M1931" i="2"/>
  <c r="L1931" i="2"/>
  <c r="R1930" i="2"/>
  <c r="Q1930" i="2"/>
  <c r="P1930" i="2"/>
  <c r="O1930" i="2"/>
  <c r="M1930" i="2"/>
  <c r="L1930" i="2"/>
  <c r="R1929" i="2"/>
  <c r="Q1929" i="2"/>
  <c r="P1929" i="2"/>
  <c r="O1929" i="2"/>
  <c r="M1929" i="2"/>
  <c r="L1929" i="2"/>
  <c r="R1928" i="2"/>
  <c r="Q1928" i="2"/>
  <c r="P1928" i="2"/>
  <c r="O1928" i="2"/>
  <c r="M1928" i="2"/>
  <c r="L1928" i="2"/>
  <c r="R1927" i="2"/>
  <c r="Q1927" i="2"/>
  <c r="P1927" i="2"/>
  <c r="O1927" i="2"/>
  <c r="M1927" i="2"/>
  <c r="L1927" i="2"/>
  <c r="R1926" i="2"/>
  <c r="Q1926" i="2"/>
  <c r="P1926" i="2"/>
  <c r="O1926" i="2"/>
  <c r="M1926" i="2"/>
  <c r="L1926" i="2"/>
  <c r="R1925" i="2"/>
  <c r="Q1925" i="2"/>
  <c r="P1925" i="2"/>
  <c r="O1925" i="2"/>
  <c r="M1925" i="2"/>
  <c r="L1925" i="2"/>
  <c r="R1924" i="2"/>
  <c r="Q1924" i="2"/>
  <c r="P1924" i="2"/>
  <c r="O1924" i="2"/>
  <c r="M1924" i="2"/>
  <c r="L1924" i="2"/>
  <c r="R1923" i="2"/>
  <c r="Q1923" i="2"/>
  <c r="P1923" i="2"/>
  <c r="O1923" i="2"/>
  <c r="M1923" i="2"/>
  <c r="L1923" i="2"/>
  <c r="R1922" i="2"/>
  <c r="Q1922" i="2"/>
  <c r="P1922" i="2"/>
  <c r="O1922" i="2"/>
  <c r="M1922" i="2"/>
  <c r="L1922" i="2"/>
  <c r="R1921" i="2"/>
  <c r="Q1921" i="2"/>
  <c r="P1921" i="2"/>
  <c r="O1921" i="2"/>
  <c r="M1921" i="2"/>
  <c r="L1921" i="2"/>
  <c r="R1920" i="2"/>
  <c r="Q1920" i="2"/>
  <c r="P1920" i="2"/>
  <c r="O1920" i="2"/>
  <c r="M1920" i="2"/>
  <c r="L1920" i="2"/>
  <c r="R1919" i="2"/>
  <c r="Q1919" i="2"/>
  <c r="P1919" i="2"/>
  <c r="O1919" i="2"/>
  <c r="M1919" i="2"/>
  <c r="L1919" i="2"/>
  <c r="R1918" i="2"/>
  <c r="Q1918" i="2"/>
  <c r="P1918" i="2"/>
  <c r="O1918" i="2"/>
  <c r="M1918" i="2"/>
  <c r="L1918" i="2"/>
  <c r="R1917" i="2"/>
  <c r="Q1917" i="2"/>
  <c r="P1917" i="2"/>
  <c r="O1917" i="2"/>
  <c r="M1917" i="2"/>
  <c r="L1917" i="2"/>
  <c r="R1916" i="2"/>
  <c r="Q1916" i="2"/>
  <c r="P1916" i="2"/>
  <c r="O1916" i="2"/>
  <c r="M1916" i="2"/>
  <c r="L1916" i="2"/>
  <c r="R1915" i="2"/>
  <c r="Q1915" i="2"/>
  <c r="P1915" i="2"/>
  <c r="O1915" i="2"/>
  <c r="M1915" i="2"/>
  <c r="L1915" i="2"/>
  <c r="R1914" i="2"/>
  <c r="Q1914" i="2"/>
  <c r="P1914" i="2"/>
  <c r="O1914" i="2"/>
  <c r="M1914" i="2"/>
  <c r="L1914" i="2"/>
  <c r="R1913" i="2"/>
  <c r="Q1913" i="2"/>
  <c r="P1913" i="2"/>
  <c r="O1913" i="2"/>
  <c r="M1913" i="2"/>
  <c r="L1913" i="2"/>
  <c r="R1912" i="2"/>
  <c r="Q1912" i="2"/>
  <c r="P1912" i="2"/>
  <c r="O1912" i="2"/>
  <c r="M1912" i="2"/>
  <c r="L1912" i="2"/>
  <c r="R1911" i="2"/>
  <c r="Q1911" i="2"/>
  <c r="P1911" i="2"/>
  <c r="O1911" i="2"/>
  <c r="M1911" i="2"/>
  <c r="L1911" i="2"/>
  <c r="R1910" i="2"/>
  <c r="Q1910" i="2"/>
  <c r="P1910" i="2"/>
  <c r="O1910" i="2"/>
  <c r="M1910" i="2"/>
  <c r="L1910" i="2"/>
  <c r="R1909" i="2"/>
  <c r="Q1909" i="2"/>
  <c r="P1909" i="2"/>
  <c r="O1909" i="2"/>
  <c r="M1909" i="2"/>
  <c r="L1909" i="2"/>
  <c r="R1908" i="2"/>
  <c r="Q1908" i="2"/>
  <c r="P1908" i="2"/>
  <c r="O1908" i="2"/>
  <c r="M1908" i="2"/>
  <c r="L1908" i="2"/>
  <c r="R1907" i="2"/>
  <c r="Q1907" i="2"/>
  <c r="P1907" i="2"/>
  <c r="O1907" i="2"/>
  <c r="M1907" i="2"/>
  <c r="L1907" i="2"/>
  <c r="R1906" i="2"/>
  <c r="Q1906" i="2"/>
  <c r="P1906" i="2"/>
  <c r="O1906" i="2"/>
  <c r="M1906" i="2"/>
  <c r="L1906" i="2"/>
  <c r="R1905" i="2"/>
  <c r="Q1905" i="2"/>
  <c r="P1905" i="2"/>
  <c r="O1905" i="2"/>
  <c r="M1905" i="2"/>
  <c r="L1905" i="2"/>
  <c r="R1904" i="2"/>
  <c r="Q1904" i="2"/>
  <c r="P1904" i="2"/>
  <c r="O1904" i="2"/>
  <c r="M1904" i="2"/>
  <c r="L1904" i="2"/>
  <c r="R1903" i="2"/>
  <c r="Q1903" i="2"/>
  <c r="P1903" i="2"/>
  <c r="O1903" i="2"/>
  <c r="M1903" i="2"/>
  <c r="L1903" i="2"/>
  <c r="R1902" i="2"/>
  <c r="Q1902" i="2"/>
  <c r="P1902" i="2"/>
  <c r="O1902" i="2"/>
  <c r="M1902" i="2"/>
  <c r="L1902" i="2"/>
  <c r="R1901" i="2"/>
  <c r="Q1901" i="2"/>
  <c r="P1901" i="2"/>
  <c r="O1901" i="2"/>
  <c r="M1901" i="2"/>
  <c r="L1901" i="2"/>
  <c r="R1900" i="2"/>
  <c r="Q1900" i="2"/>
  <c r="P1900" i="2"/>
  <c r="O1900" i="2"/>
  <c r="M1900" i="2"/>
  <c r="L1900" i="2"/>
  <c r="R1899" i="2"/>
  <c r="Q1899" i="2"/>
  <c r="P1899" i="2"/>
  <c r="O1899" i="2"/>
  <c r="M1899" i="2"/>
  <c r="L1899" i="2"/>
  <c r="R1898" i="2"/>
  <c r="Q1898" i="2"/>
  <c r="P1898" i="2"/>
  <c r="O1898" i="2"/>
  <c r="M1898" i="2"/>
  <c r="L1898" i="2"/>
  <c r="R1897" i="2"/>
  <c r="Q1897" i="2"/>
  <c r="P1897" i="2"/>
  <c r="O1897" i="2"/>
  <c r="M1897" i="2"/>
  <c r="L1897" i="2"/>
  <c r="R1896" i="2"/>
  <c r="Q1896" i="2"/>
  <c r="P1896" i="2"/>
  <c r="O1896" i="2"/>
  <c r="M1896" i="2"/>
  <c r="L1896" i="2"/>
  <c r="R1895" i="2"/>
  <c r="Q1895" i="2"/>
  <c r="P1895" i="2"/>
  <c r="O1895" i="2"/>
  <c r="M1895" i="2"/>
  <c r="L1895" i="2"/>
  <c r="R1894" i="2"/>
  <c r="Q1894" i="2"/>
  <c r="P1894" i="2"/>
  <c r="O1894" i="2"/>
  <c r="M1894" i="2"/>
  <c r="L1894" i="2"/>
  <c r="R1893" i="2"/>
  <c r="Q1893" i="2"/>
  <c r="P1893" i="2"/>
  <c r="O1893" i="2"/>
  <c r="M1893" i="2"/>
  <c r="L1893" i="2"/>
  <c r="R1892" i="2"/>
  <c r="Q1892" i="2"/>
  <c r="P1892" i="2"/>
  <c r="O1892" i="2"/>
  <c r="M1892" i="2"/>
  <c r="L1892" i="2"/>
  <c r="R1891" i="2"/>
  <c r="Q1891" i="2"/>
  <c r="P1891" i="2"/>
  <c r="O1891" i="2"/>
  <c r="M1891" i="2"/>
  <c r="L1891" i="2"/>
  <c r="R1890" i="2"/>
  <c r="Q1890" i="2"/>
  <c r="P1890" i="2"/>
  <c r="O1890" i="2"/>
  <c r="M1890" i="2"/>
  <c r="L1890" i="2"/>
  <c r="R1889" i="2"/>
  <c r="Q1889" i="2"/>
  <c r="P1889" i="2"/>
  <c r="O1889" i="2"/>
  <c r="M1889" i="2"/>
  <c r="L1889" i="2"/>
  <c r="R1888" i="2"/>
  <c r="Q1888" i="2"/>
  <c r="P1888" i="2"/>
  <c r="O1888" i="2"/>
  <c r="M1888" i="2"/>
  <c r="L1888" i="2"/>
  <c r="R1887" i="2"/>
  <c r="Q1887" i="2"/>
  <c r="P1887" i="2"/>
  <c r="O1887" i="2"/>
  <c r="M1887" i="2"/>
  <c r="L1887" i="2"/>
  <c r="R1886" i="2"/>
  <c r="Q1886" i="2"/>
  <c r="P1886" i="2"/>
  <c r="O1886" i="2"/>
  <c r="M1886" i="2"/>
  <c r="L1886" i="2"/>
  <c r="R1885" i="2"/>
  <c r="Q1885" i="2"/>
  <c r="P1885" i="2"/>
  <c r="O1885" i="2"/>
  <c r="M1885" i="2"/>
  <c r="L1885" i="2"/>
  <c r="R1884" i="2"/>
  <c r="Q1884" i="2"/>
  <c r="P1884" i="2"/>
  <c r="O1884" i="2"/>
  <c r="M1884" i="2"/>
  <c r="L1884" i="2"/>
  <c r="R1883" i="2"/>
  <c r="Q1883" i="2"/>
  <c r="P1883" i="2"/>
  <c r="O1883" i="2"/>
  <c r="M1883" i="2"/>
  <c r="L1883" i="2"/>
  <c r="R1882" i="2"/>
  <c r="Q1882" i="2"/>
  <c r="P1882" i="2"/>
  <c r="O1882" i="2"/>
  <c r="M1882" i="2"/>
  <c r="L1882" i="2"/>
  <c r="R1881" i="2"/>
  <c r="Q1881" i="2"/>
  <c r="P1881" i="2"/>
  <c r="O1881" i="2"/>
  <c r="M1881" i="2"/>
  <c r="L1881" i="2"/>
  <c r="R1880" i="2"/>
  <c r="Q1880" i="2"/>
  <c r="P1880" i="2"/>
  <c r="O1880" i="2"/>
  <c r="M1880" i="2"/>
  <c r="L1880" i="2"/>
  <c r="R1879" i="2"/>
  <c r="Q1879" i="2"/>
  <c r="P1879" i="2"/>
  <c r="O1879" i="2"/>
  <c r="M1879" i="2"/>
  <c r="L1879" i="2"/>
  <c r="R1878" i="2"/>
  <c r="Q1878" i="2"/>
  <c r="P1878" i="2"/>
  <c r="O1878" i="2"/>
  <c r="M1878" i="2"/>
  <c r="L1878" i="2"/>
  <c r="R1877" i="2"/>
  <c r="Q1877" i="2"/>
  <c r="P1877" i="2"/>
  <c r="O1877" i="2"/>
  <c r="M1877" i="2"/>
  <c r="L1877" i="2"/>
  <c r="R1876" i="2"/>
  <c r="Q1876" i="2"/>
  <c r="P1876" i="2"/>
  <c r="O1876" i="2"/>
  <c r="M1876" i="2"/>
  <c r="L1876" i="2"/>
  <c r="R1875" i="2"/>
  <c r="Q1875" i="2"/>
  <c r="P1875" i="2"/>
  <c r="O1875" i="2"/>
  <c r="M1875" i="2"/>
  <c r="L1875" i="2"/>
  <c r="R1874" i="2"/>
  <c r="Q1874" i="2"/>
  <c r="P1874" i="2"/>
  <c r="O1874" i="2"/>
  <c r="M1874" i="2"/>
  <c r="L1874" i="2"/>
  <c r="R1873" i="2"/>
  <c r="Q1873" i="2"/>
  <c r="P1873" i="2"/>
  <c r="O1873" i="2"/>
  <c r="M1873" i="2"/>
  <c r="L1873" i="2"/>
  <c r="R1872" i="2"/>
  <c r="Q1872" i="2"/>
  <c r="P1872" i="2"/>
  <c r="O1872" i="2"/>
  <c r="M1872" i="2"/>
  <c r="L1872" i="2"/>
  <c r="R1871" i="2"/>
  <c r="Q1871" i="2"/>
  <c r="P1871" i="2"/>
  <c r="O1871" i="2"/>
  <c r="M1871" i="2"/>
  <c r="L1871" i="2"/>
  <c r="R1870" i="2"/>
  <c r="Q1870" i="2"/>
  <c r="P1870" i="2"/>
  <c r="O1870" i="2"/>
  <c r="M1870" i="2"/>
  <c r="L1870" i="2"/>
  <c r="R1869" i="2"/>
  <c r="Q1869" i="2"/>
  <c r="P1869" i="2"/>
  <c r="O1869" i="2"/>
  <c r="M1869" i="2"/>
  <c r="L1869" i="2"/>
  <c r="R1868" i="2"/>
  <c r="Q1868" i="2"/>
  <c r="P1868" i="2"/>
  <c r="O1868" i="2"/>
  <c r="M1868" i="2"/>
  <c r="L1868" i="2"/>
  <c r="R1867" i="2"/>
  <c r="Q1867" i="2"/>
  <c r="P1867" i="2"/>
  <c r="O1867" i="2"/>
  <c r="M1867" i="2"/>
  <c r="L1867" i="2"/>
  <c r="R1866" i="2"/>
  <c r="Q1866" i="2"/>
  <c r="P1866" i="2"/>
  <c r="O1866" i="2"/>
  <c r="M1866" i="2"/>
  <c r="L1866" i="2"/>
  <c r="R1865" i="2"/>
  <c r="Q1865" i="2"/>
  <c r="P1865" i="2"/>
  <c r="O1865" i="2"/>
  <c r="M1865" i="2"/>
  <c r="L1865" i="2"/>
  <c r="R1864" i="2"/>
  <c r="Q1864" i="2"/>
  <c r="P1864" i="2"/>
  <c r="O1864" i="2"/>
  <c r="M1864" i="2"/>
  <c r="L1864" i="2"/>
  <c r="R1863" i="2"/>
  <c r="Q1863" i="2"/>
  <c r="P1863" i="2"/>
  <c r="O1863" i="2"/>
  <c r="M1863" i="2"/>
  <c r="L1863" i="2"/>
  <c r="R1862" i="2"/>
  <c r="Q1862" i="2"/>
  <c r="P1862" i="2"/>
  <c r="O1862" i="2"/>
  <c r="M1862" i="2"/>
  <c r="L1862" i="2"/>
  <c r="R1861" i="2"/>
  <c r="Q1861" i="2"/>
  <c r="P1861" i="2"/>
  <c r="O1861" i="2"/>
  <c r="M1861" i="2"/>
  <c r="L1861" i="2"/>
  <c r="R1860" i="2"/>
  <c r="Q1860" i="2"/>
  <c r="P1860" i="2"/>
  <c r="O1860" i="2"/>
  <c r="M1860" i="2"/>
  <c r="L1860" i="2"/>
  <c r="R1859" i="2"/>
  <c r="Q1859" i="2"/>
  <c r="P1859" i="2"/>
  <c r="O1859" i="2"/>
  <c r="M1859" i="2"/>
  <c r="L1859" i="2"/>
  <c r="R1858" i="2"/>
  <c r="Q1858" i="2"/>
  <c r="P1858" i="2"/>
  <c r="O1858" i="2"/>
  <c r="M1858" i="2"/>
  <c r="L1858" i="2"/>
  <c r="R1857" i="2"/>
  <c r="Q1857" i="2"/>
  <c r="P1857" i="2"/>
  <c r="O1857" i="2"/>
  <c r="M1857" i="2"/>
  <c r="L1857" i="2"/>
  <c r="R1856" i="2"/>
  <c r="Q1856" i="2"/>
  <c r="P1856" i="2"/>
  <c r="O1856" i="2"/>
  <c r="M1856" i="2"/>
  <c r="L1856" i="2"/>
  <c r="R1855" i="2"/>
  <c r="Q1855" i="2"/>
  <c r="P1855" i="2"/>
  <c r="O1855" i="2"/>
  <c r="M1855" i="2"/>
  <c r="L1855" i="2"/>
  <c r="R1854" i="2"/>
  <c r="Q1854" i="2"/>
  <c r="P1854" i="2"/>
  <c r="O1854" i="2"/>
  <c r="M1854" i="2"/>
  <c r="L1854" i="2"/>
  <c r="R1853" i="2"/>
  <c r="Q1853" i="2"/>
  <c r="P1853" i="2"/>
  <c r="O1853" i="2"/>
  <c r="M1853" i="2"/>
  <c r="L1853" i="2"/>
  <c r="R1852" i="2"/>
  <c r="Q1852" i="2"/>
  <c r="P1852" i="2"/>
  <c r="O1852" i="2"/>
  <c r="M1852" i="2"/>
  <c r="L1852" i="2"/>
  <c r="R1851" i="2"/>
  <c r="Q1851" i="2"/>
  <c r="P1851" i="2"/>
  <c r="O1851" i="2"/>
  <c r="M1851" i="2"/>
  <c r="L1851" i="2"/>
  <c r="R1850" i="2"/>
  <c r="Q1850" i="2"/>
  <c r="P1850" i="2"/>
  <c r="O1850" i="2"/>
  <c r="M1850" i="2"/>
  <c r="L1850" i="2"/>
  <c r="R1849" i="2"/>
  <c r="Q1849" i="2"/>
  <c r="P1849" i="2"/>
  <c r="O1849" i="2"/>
  <c r="M1849" i="2"/>
  <c r="L1849" i="2"/>
  <c r="R1848" i="2"/>
  <c r="Q1848" i="2"/>
  <c r="P1848" i="2"/>
  <c r="O1848" i="2"/>
  <c r="M1848" i="2"/>
  <c r="L1848" i="2"/>
  <c r="R1847" i="2"/>
  <c r="Q1847" i="2"/>
  <c r="P1847" i="2"/>
  <c r="O1847" i="2"/>
  <c r="M1847" i="2"/>
  <c r="L1847" i="2"/>
  <c r="R1846" i="2"/>
  <c r="Q1846" i="2"/>
  <c r="P1846" i="2"/>
  <c r="O1846" i="2"/>
  <c r="M1846" i="2"/>
  <c r="L1846" i="2"/>
  <c r="R1845" i="2"/>
  <c r="Q1845" i="2"/>
  <c r="P1845" i="2"/>
  <c r="O1845" i="2"/>
  <c r="M1845" i="2"/>
  <c r="L1845" i="2"/>
  <c r="R1844" i="2"/>
  <c r="Q1844" i="2"/>
  <c r="P1844" i="2"/>
  <c r="O1844" i="2"/>
  <c r="M1844" i="2"/>
  <c r="L1844" i="2"/>
  <c r="R1843" i="2"/>
  <c r="Q1843" i="2"/>
  <c r="P1843" i="2"/>
  <c r="O1843" i="2"/>
  <c r="M1843" i="2"/>
  <c r="L1843" i="2"/>
  <c r="R1842" i="2"/>
  <c r="Q1842" i="2"/>
  <c r="P1842" i="2"/>
  <c r="O1842" i="2"/>
  <c r="M1842" i="2"/>
  <c r="L1842" i="2"/>
  <c r="R1841" i="2"/>
  <c r="Q1841" i="2"/>
  <c r="P1841" i="2"/>
  <c r="O1841" i="2"/>
  <c r="M1841" i="2"/>
  <c r="L1841" i="2"/>
  <c r="R1840" i="2"/>
  <c r="Q1840" i="2"/>
  <c r="P1840" i="2"/>
  <c r="O1840" i="2"/>
  <c r="M1840" i="2"/>
  <c r="L1840" i="2"/>
  <c r="R1839" i="2"/>
  <c r="Q1839" i="2"/>
  <c r="P1839" i="2"/>
  <c r="O1839" i="2"/>
  <c r="M1839" i="2"/>
  <c r="L1839" i="2"/>
  <c r="R1838" i="2"/>
  <c r="Q1838" i="2"/>
  <c r="P1838" i="2"/>
  <c r="O1838" i="2"/>
  <c r="M1838" i="2"/>
  <c r="L1838" i="2"/>
  <c r="R1837" i="2"/>
  <c r="Q1837" i="2"/>
  <c r="P1837" i="2"/>
  <c r="O1837" i="2"/>
  <c r="M1837" i="2"/>
  <c r="L1837" i="2"/>
  <c r="R1836" i="2"/>
  <c r="Q1836" i="2"/>
  <c r="P1836" i="2"/>
  <c r="O1836" i="2"/>
  <c r="M1836" i="2"/>
  <c r="L1836" i="2"/>
  <c r="R1835" i="2"/>
  <c r="Q1835" i="2"/>
  <c r="P1835" i="2"/>
  <c r="O1835" i="2"/>
  <c r="M1835" i="2"/>
  <c r="L1835" i="2"/>
  <c r="R1834" i="2"/>
  <c r="Q1834" i="2"/>
  <c r="P1834" i="2"/>
  <c r="O1834" i="2"/>
  <c r="M1834" i="2"/>
  <c r="L1834" i="2"/>
  <c r="R1833" i="2"/>
  <c r="Q1833" i="2"/>
  <c r="P1833" i="2"/>
  <c r="O1833" i="2"/>
  <c r="M1833" i="2"/>
  <c r="L1833" i="2"/>
  <c r="R1832" i="2"/>
  <c r="Q1832" i="2"/>
  <c r="P1832" i="2"/>
  <c r="O1832" i="2"/>
  <c r="M1832" i="2"/>
  <c r="L1832" i="2"/>
  <c r="R1831" i="2"/>
  <c r="Q1831" i="2"/>
  <c r="P1831" i="2"/>
  <c r="O1831" i="2"/>
  <c r="M1831" i="2"/>
  <c r="L1831" i="2"/>
  <c r="R1830" i="2"/>
  <c r="Q1830" i="2"/>
  <c r="P1830" i="2"/>
  <c r="O1830" i="2"/>
  <c r="M1830" i="2"/>
  <c r="L1830" i="2"/>
  <c r="R1829" i="2"/>
  <c r="Q1829" i="2"/>
  <c r="P1829" i="2"/>
  <c r="O1829" i="2"/>
  <c r="M1829" i="2"/>
  <c r="L1829" i="2"/>
  <c r="R1828" i="2"/>
  <c r="Q1828" i="2"/>
  <c r="P1828" i="2"/>
  <c r="O1828" i="2"/>
  <c r="M1828" i="2"/>
  <c r="L1828" i="2"/>
  <c r="R1827" i="2"/>
  <c r="Q1827" i="2"/>
  <c r="P1827" i="2"/>
  <c r="O1827" i="2"/>
  <c r="M1827" i="2"/>
  <c r="L1827" i="2"/>
  <c r="R1826" i="2"/>
  <c r="Q1826" i="2"/>
  <c r="P1826" i="2"/>
  <c r="O1826" i="2"/>
  <c r="M1826" i="2"/>
  <c r="L1826" i="2"/>
  <c r="R1825" i="2"/>
  <c r="Q1825" i="2"/>
  <c r="P1825" i="2"/>
  <c r="O1825" i="2"/>
  <c r="M1825" i="2"/>
  <c r="L1825" i="2"/>
  <c r="R1824" i="2"/>
  <c r="Q1824" i="2"/>
  <c r="P1824" i="2"/>
  <c r="O1824" i="2"/>
  <c r="M1824" i="2"/>
  <c r="L1824" i="2"/>
  <c r="R1823" i="2"/>
  <c r="Q1823" i="2"/>
  <c r="P1823" i="2"/>
  <c r="O1823" i="2"/>
  <c r="M1823" i="2"/>
  <c r="L1823" i="2"/>
  <c r="R1822" i="2"/>
  <c r="Q1822" i="2"/>
  <c r="P1822" i="2"/>
  <c r="O1822" i="2"/>
  <c r="M1822" i="2"/>
  <c r="L1822" i="2"/>
  <c r="R1821" i="2"/>
  <c r="Q1821" i="2"/>
  <c r="P1821" i="2"/>
  <c r="O1821" i="2"/>
  <c r="M1821" i="2"/>
  <c r="L1821" i="2"/>
  <c r="R1820" i="2"/>
  <c r="Q1820" i="2"/>
  <c r="P1820" i="2"/>
  <c r="O1820" i="2"/>
  <c r="M1820" i="2"/>
  <c r="L1820" i="2"/>
  <c r="R1819" i="2"/>
  <c r="Q1819" i="2"/>
  <c r="P1819" i="2"/>
  <c r="O1819" i="2"/>
  <c r="M1819" i="2"/>
  <c r="L1819" i="2"/>
  <c r="R1818" i="2"/>
  <c r="Q1818" i="2"/>
  <c r="P1818" i="2"/>
  <c r="O1818" i="2"/>
  <c r="M1818" i="2"/>
  <c r="L1818" i="2"/>
  <c r="R1817" i="2"/>
  <c r="Q1817" i="2"/>
  <c r="P1817" i="2"/>
  <c r="O1817" i="2"/>
  <c r="M1817" i="2"/>
  <c r="L1817" i="2"/>
  <c r="R1816" i="2"/>
  <c r="Q1816" i="2"/>
  <c r="P1816" i="2"/>
  <c r="O1816" i="2"/>
  <c r="M1816" i="2"/>
  <c r="L1816" i="2"/>
  <c r="R1815" i="2"/>
  <c r="Q1815" i="2"/>
  <c r="P1815" i="2"/>
  <c r="O1815" i="2"/>
  <c r="M1815" i="2"/>
  <c r="L1815" i="2"/>
  <c r="R1814" i="2"/>
  <c r="Q1814" i="2"/>
  <c r="P1814" i="2"/>
  <c r="O1814" i="2"/>
  <c r="M1814" i="2"/>
  <c r="L1814" i="2"/>
  <c r="R1813" i="2"/>
  <c r="Q1813" i="2"/>
  <c r="P1813" i="2"/>
  <c r="O1813" i="2"/>
  <c r="M1813" i="2"/>
  <c r="L1813" i="2"/>
  <c r="R1812" i="2"/>
  <c r="Q1812" i="2"/>
  <c r="P1812" i="2"/>
  <c r="O1812" i="2"/>
  <c r="M1812" i="2"/>
  <c r="L1812" i="2"/>
  <c r="R1811" i="2"/>
  <c r="Q1811" i="2"/>
  <c r="P1811" i="2"/>
  <c r="O1811" i="2"/>
  <c r="M1811" i="2"/>
  <c r="L1811" i="2"/>
  <c r="R1810" i="2"/>
  <c r="Q1810" i="2"/>
  <c r="P1810" i="2"/>
  <c r="O1810" i="2"/>
  <c r="M1810" i="2"/>
  <c r="L1810" i="2"/>
  <c r="R1809" i="2"/>
  <c r="Q1809" i="2"/>
  <c r="P1809" i="2"/>
  <c r="O1809" i="2"/>
  <c r="M1809" i="2"/>
  <c r="L1809" i="2"/>
  <c r="R1808" i="2"/>
  <c r="Q1808" i="2"/>
  <c r="P1808" i="2"/>
  <c r="O1808" i="2"/>
  <c r="M1808" i="2"/>
  <c r="L1808" i="2"/>
  <c r="R1807" i="2"/>
  <c r="Q1807" i="2"/>
  <c r="P1807" i="2"/>
  <c r="O1807" i="2"/>
  <c r="M1807" i="2"/>
  <c r="L1807" i="2"/>
  <c r="R1806" i="2"/>
  <c r="Q1806" i="2"/>
  <c r="P1806" i="2"/>
  <c r="O1806" i="2"/>
  <c r="M1806" i="2"/>
  <c r="L1806" i="2"/>
  <c r="R1805" i="2"/>
  <c r="Q1805" i="2"/>
  <c r="P1805" i="2"/>
  <c r="O1805" i="2"/>
  <c r="M1805" i="2"/>
  <c r="L1805" i="2"/>
  <c r="R1804" i="2"/>
  <c r="Q1804" i="2"/>
  <c r="P1804" i="2"/>
  <c r="O1804" i="2"/>
  <c r="M1804" i="2"/>
  <c r="L1804" i="2"/>
  <c r="R1803" i="2"/>
  <c r="Q1803" i="2"/>
  <c r="P1803" i="2"/>
  <c r="O1803" i="2"/>
  <c r="M1803" i="2"/>
  <c r="L1803" i="2"/>
  <c r="R1802" i="2"/>
  <c r="Q1802" i="2"/>
  <c r="P1802" i="2"/>
  <c r="O1802" i="2"/>
  <c r="M1802" i="2"/>
  <c r="L1802" i="2"/>
  <c r="R1801" i="2"/>
  <c r="Q1801" i="2"/>
  <c r="P1801" i="2"/>
  <c r="O1801" i="2"/>
  <c r="M1801" i="2"/>
  <c r="L1801" i="2"/>
  <c r="R1800" i="2"/>
  <c r="Q1800" i="2"/>
  <c r="P1800" i="2"/>
  <c r="O1800" i="2"/>
  <c r="M1800" i="2"/>
  <c r="L1800" i="2"/>
  <c r="R1799" i="2"/>
  <c r="Q1799" i="2"/>
  <c r="P1799" i="2"/>
  <c r="O1799" i="2"/>
  <c r="M1799" i="2"/>
  <c r="L1799" i="2"/>
  <c r="R1798" i="2"/>
  <c r="Q1798" i="2"/>
  <c r="P1798" i="2"/>
  <c r="O1798" i="2"/>
  <c r="M1798" i="2"/>
  <c r="L1798" i="2"/>
  <c r="R1797" i="2"/>
  <c r="Q1797" i="2"/>
  <c r="P1797" i="2"/>
  <c r="O1797" i="2"/>
  <c r="M1797" i="2"/>
  <c r="L1797" i="2"/>
  <c r="R1796" i="2"/>
  <c r="Q1796" i="2"/>
  <c r="P1796" i="2"/>
  <c r="O1796" i="2"/>
  <c r="M1796" i="2"/>
  <c r="L1796" i="2"/>
  <c r="R1795" i="2"/>
  <c r="Q1795" i="2"/>
  <c r="P1795" i="2"/>
  <c r="O1795" i="2"/>
  <c r="M1795" i="2"/>
  <c r="L1795" i="2"/>
  <c r="R1794" i="2"/>
  <c r="Q1794" i="2"/>
  <c r="P1794" i="2"/>
  <c r="O1794" i="2"/>
  <c r="M1794" i="2"/>
  <c r="L1794" i="2"/>
  <c r="R1793" i="2"/>
  <c r="Q1793" i="2"/>
  <c r="P1793" i="2"/>
  <c r="O1793" i="2"/>
  <c r="M1793" i="2"/>
  <c r="L1793" i="2"/>
  <c r="R1792" i="2"/>
  <c r="Q1792" i="2"/>
  <c r="P1792" i="2"/>
  <c r="O1792" i="2"/>
  <c r="M1792" i="2"/>
  <c r="L1792" i="2"/>
  <c r="R1791" i="2"/>
  <c r="Q1791" i="2"/>
  <c r="P1791" i="2"/>
  <c r="O1791" i="2"/>
  <c r="M1791" i="2"/>
  <c r="L1791" i="2"/>
  <c r="R1790" i="2"/>
  <c r="Q1790" i="2"/>
  <c r="P1790" i="2"/>
  <c r="O1790" i="2"/>
  <c r="M1790" i="2"/>
  <c r="L1790" i="2"/>
  <c r="R1789" i="2"/>
  <c r="Q1789" i="2"/>
  <c r="P1789" i="2"/>
  <c r="O1789" i="2"/>
  <c r="M1789" i="2"/>
  <c r="L1789" i="2"/>
  <c r="R1788" i="2"/>
  <c r="Q1788" i="2"/>
  <c r="P1788" i="2"/>
  <c r="O1788" i="2"/>
  <c r="M1788" i="2"/>
  <c r="L1788" i="2"/>
  <c r="R1787" i="2"/>
  <c r="Q1787" i="2"/>
  <c r="P1787" i="2"/>
  <c r="O1787" i="2"/>
  <c r="M1787" i="2"/>
  <c r="L1787" i="2"/>
  <c r="R1786" i="2"/>
  <c r="Q1786" i="2"/>
  <c r="P1786" i="2"/>
  <c r="O1786" i="2"/>
  <c r="M1786" i="2"/>
  <c r="L1786" i="2"/>
  <c r="R1785" i="2"/>
  <c r="Q1785" i="2"/>
  <c r="P1785" i="2"/>
  <c r="O1785" i="2"/>
  <c r="M1785" i="2"/>
  <c r="L1785" i="2"/>
  <c r="R1784" i="2"/>
  <c r="Q1784" i="2"/>
  <c r="P1784" i="2"/>
  <c r="O1784" i="2"/>
  <c r="M1784" i="2"/>
  <c r="L1784" i="2"/>
  <c r="R1783" i="2"/>
  <c r="Q1783" i="2"/>
  <c r="P1783" i="2"/>
  <c r="O1783" i="2"/>
  <c r="M1783" i="2"/>
  <c r="L1783" i="2"/>
  <c r="R1782" i="2"/>
  <c r="Q1782" i="2"/>
  <c r="P1782" i="2"/>
  <c r="O1782" i="2"/>
  <c r="M1782" i="2"/>
  <c r="L1782" i="2"/>
  <c r="R1781" i="2"/>
  <c r="Q1781" i="2"/>
  <c r="P1781" i="2"/>
  <c r="O1781" i="2"/>
  <c r="M1781" i="2"/>
  <c r="L1781" i="2"/>
  <c r="R1780" i="2"/>
  <c r="Q1780" i="2"/>
  <c r="P1780" i="2"/>
  <c r="O1780" i="2"/>
  <c r="M1780" i="2"/>
  <c r="L1780" i="2"/>
  <c r="R1779" i="2"/>
  <c r="Q1779" i="2"/>
  <c r="P1779" i="2"/>
  <c r="O1779" i="2"/>
  <c r="M1779" i="2"/>
  <c r="L1779" i="2"/>
  <c r="R1778" i="2"/>
  <c r="Q1778" i="2"/>
  <c r="P1778" i="2"/>
  <c r="O1778" i="2"/>
  <c r="M1778" i="2"/>
  <c r="L1778" i="2"/>
  <c r="R1777" i="2"/>
  <c r="Q1777" i="2"/>
  <c r="P1777" i="2"/>
  <c r="O1777" i="2"/>
  <c r="M1777" i="2"/>
  <c r="L1777" i="2"/>
  <c r="R1776" i="2"/>
  <c r="Q1776" i="2"/>
  <c r="P1776" i="2"/>
  <c r="O1776" i="2"/>
  <c r="M1776" i="2"/>
  <c r="L1776" i="2"/>
  <c r="R1775" i="2"/>
  <c r="Q1775" i="2"/>
  <c r="P1775" i="2"/>
  <c r="O1775" i="2"/>
  <c r="M1775" i="2"/>
  <c r="L1775" i="2"/>
  <c r="R1774" i="2"/>
  <c r="Q1774" i="2"/>
  <c r="P1774" i="2"/>
  <c r="O1774" i="2"/>
  <c r="M1774" i="2"/>
  <c r="L1774" i="2"/>
  <c r="R1773" i="2"/>
  <c r="Q1773" i="2"/>
  <c r="P1773" i="2"/>
  <c r="O1773" i="2"/>
  <c r="M1773" i="2"/>
  <c r="L1773" i="2"/>
  <c r="R1772" i="2"/>
  <c r="Q1772" i="2"/>
  <c r="P1772" i="2"/>
  <c r="O1772" i="2"/>
  <c r="M1772" i="2"/>
  <c r="L1772" i="2"/>
  <c r="R1771" i="2"/>
  <c r="Q1771" i="2"/>
  <c r="P1771" i="2"/>
  <c r="O1771" i="2"/>
  <c r="M1771" i="2"/>
  <c r="L1771" i="2"/>
  <c r="R1770" i="2"/>
  <c r="Q1770" i="2"/>
  <c r="P1770" i="2"/>
  <c r="O1770" i="2"/>
  <c r="M1770" i="2"/>
  <c r="L1770" i="2"/>
  <c r="R1769" i="2"/>
  <c r="Q1769" i="2"/>
  <c r="P1769" i="2"/>
  <c r="O1769" i="2"/>
  <c r="M1769" i="2"/>
  <c r="L1769" i="2"/>
  <c r="R1768" i="2"/>
  <c r="Q1768" i="2"/>
  <c r="P1768" i="2"/>
  <c r="O1768" i="2"/>
  <c r="M1768" i="2"/>
  <c r="L1768" i="2"/>
  <c r="R1767" i="2"/>
  <c r="Q1767" i="2"/>
  <c r="P1767" i="2"/>
  <c r="O1767" i="2"/>
  <c r="M1767" i="2"/>
  <c r="L1767" i="2"/>
  <c r="R1766" i="2"/>
  <c r="Q1766" i="2"/>
  <c r="P1766" i="2"/>
  <c r="O1766" i="2"/>
  <c r="M1766" i="2"/>
  <c r="L1766" i="2"/>
  <c r="R1765" i="2"/>
  <c r="Q1765" i="2"/>
  <c r="P1765" i="2"/>
  <c r="O1765" i="2"/>
  <c r="M1765" i="2"/>
  <c r="L1765" i="2"/>
  <c r="R1764" i="2"/>
  <c r="Q1764" i="2"/>
  <c r="P1764" i="2"/>
  <c r="O1764" i="2"/>
  <c r="M1764" i="2"/>
  <c r="L1764" i="2"/>
  <c r="R1763" i="2"/>
  <c r="Q1763" i="2"/>
  <c r="P1763" i="2"/>
  <c r="O1763" i="2"/>
  <c r="M1763" i="2"/>
  <c r="L1763" i="2"/>
  <c r="R1762" i="2"/>
  <c r="Q1762" i="2"/>
  <c r="P1762" i="2"/>
  <c r="O1762" i="2"/>
  <c r="M1762" i="2"/>
  <c r="L1762" i="2"/>
  <c r="R1761" i="2"/>
  <c r="Q1761" i="2"/>
  <c r="P1761" i="2"/>
  <c r="O1761" i="2"/>
  <c r="M1761" i="2"/>
  <c r="L1761" i="2"/>
  <c r="R1760" i="2"/>
  <c r="Q1760" i="2"/>
  <c r="P1760" i="2"/>
  <c r="O1760" i="2"/>
  <c r="M1760" i="2"/>
  <c r="L1760" i="2"/>
  <c r="R1759" i="2"/>
  <c r="Q1759" i="2"/>
  <c r="P1759" i="2"/>
  <c r="O1759" i="2"/>
  <c r="M1759" i="2"/>
  <c r="L1759" i="2"/>
  <c r="R1758" i="2"/>
  <c r="Q1758" i="2"/>
  <c r="P1758" i="2"/>
  <c r="O1758" i="2"/>
  <c r="M1758" i="2"/>
  <c r="L1758" i="2"/>
  <c r="R1757" i="2"/>
  <c r="Q1757" i="2"/>
  <c r="P1757" i="2"/>
  <c r="O1757" i="2"/>
  <c r="M1757" i="2"/>
  <c r="L1757" i="2"/>
  <c r="R1756" i="2"/>
  <c r="Q1756" i="2"/>
  <c r="P1756" i="2"/>
  <c r="O1756" i="2"/>
  <c r="M1756" i="2"/>
  <c r="L1756" i="2"/>
  <c r="R1755" i="2"/>
  <c r="Q1755" i="2"/>
  <c r="P1755" i="2"/>
  <c r="O1755" i="2"/>
  <c r="M1755" i="2"/>
  <c r="L1755" i="2"/>
  <c r="R1754" i="2"/>
  <c r="Q1754" i="2"/>
  <c r="P1754" i="2"/>
  <c r="O1754" i="2"/>
  <c r="M1754" i="2"/>
  <c r="L1754" i="2"/>
  <c r="R1753" i="2"/>
  <c r="Q1753" i="2"/>
  <c r="P1753" i="2"/>
  <c r="O1753" i="2"/>
  <c r="M1753" i="2"/>
  <c r="L1753" i="2"/>
  <c r="R1752" i="2"/>
  <c r="Q1752" i="2"/>
  <c r="P1752" i="2"/>
  <c r="O1752" i="2"/>
  <c r="M1752" i="2"/>
  <c r="L1752" i="2"/>
  <c r="R1751" i="2"/>
  <c r="Q1751" i="2"/>
  <c r="P1751" i="2"/>
  <c r="O1751" i="2"/>
  <c r="M1751" i="2"/>
  <c r="L1751" i="2"/>
  <c r="R1750" i="2"/>
  <c r="Q1750" i="2"/>
  <c r="P1750" i="2"/>
  <c r="O1750" i="2"/>
  <c r="M1750" i="2"/>
  <c r="L1750" i="2"/>
  <c r="R1749" i="2"/>
  <c r="Q1749" i="2"/>
  <c r="P1749" i="2"/>
  <c r="O1749" i="2"/>
  <c r="M1749" i="2"/>
  <c r="L1749" i="2"/>
  <c r="R1748" i="2"/>
  <c r="Q1748" i="2"/>
  <c r="P1748" i="2"/>
  <c r="O1748" i="2"/>
  <c r="M1748" i="2"/>
  <c r="L1748" i="2"/>
  <c r="R1747" i="2"/>
  <c r="Q1747" i="2"/>
  <c r="P1747" i="2"/>
  <c r="O1747" i="2"/>
  <c r="M1747" i="2"/>
  <c r="L1747" i="2"/>
  <c r="R1746" i="2"/>
  <c r="Q1746" i="2"/>
  <c r="P1746" i="2"/>
  <c r="O1746" i="2"/>
  <c r="M1746" i="2"/>
  <c r="L1746" i="2"/>
  <c r="R1745" i="2"/>
  <c r="Q1745" i="2"/>
  <c r="P1745" i="2"/>
  <c r="O1745" i="2"/>
  <c r="M1745" i="2"/>
  <c r="L1745" i="2"/>
  <c r="R1744" i="2"/>
  <c r="Q1744" i="2"/>
  <c r="P1744" i="2"/>
  <c r="O1744" i="2"/>
  <c r="M1744" i="2"/>
  <c r="L1744" i="2"/>
  <c r="R1743" i="2"/>
  <c r="Q1743" i="2"/>
  <c r="P1743" i="2"/>
  <c r="O1743" i="2"/>
  <c r="M1743" i="2"/>
  <c r="L1743" i="2"/>
  <c r="R1742" i="2"/>
  <c r="Q1742" i="2"/>
  <c r="P1742" i="2"/>
  <c r="O1742" i="2"/>
  <c r="M1742" i="2"/>
  <c r="L1742" i="2"/>
  <c r="R1741" i="2"/>
  <c r="Q1741" i="2"/>
  <c r="P1741" i="2"/>
  <c r="O1741" i="2"/>
  <c r="M1741" i="2"/>
  <c r="L1741" i="2"/>
  <c r="R1740" i="2"/>
  <c r="Q1740" i="2"/>
  <c r="P1740" i="2"/>
  <c r="O1740" i="2"/>
  <c r="M1740" i="2"/>
  <c r="L1740" i="2"/>
  <c r="R1739" i="2"/>
  <c r="Q1739" i="2"/>
  <c r="P1739" i="2"/>
  <c r="O1739" i="2"/>
  <c r="M1739" i="2"/>
  <c r="L1739" i="2"/>
  <c r="R1738" i="2"/>
  <c r="Q1738" i="2"/>
  <c r="P1738" i="2"/>
  <c r="O1738" i="2"/>
  <c r="M1738" i="2"/>
  <c r="L1738" i="2"/>
  <c r="R1737" i="2"/>
  <c r="Q1737" i="2"/>
  <c r="P1737" i="2"/>
  <c r="O1737" i="2"/>
  <c r="M1737" i="2"/>
  <c r="L1737" i="2"/>
  <c r="R1736" i="2"/>
  <c r="Q1736" i="2"/>
  <c r="P1736" i="2"/>
  <c r="O1736" i="2"/>
  <c r="M1736" i="2"/>
  <c r="L1736" i="2"/>
  <c r="R1735" i="2"/>
  <c r="Q1735" i="2"/>
  <c r="P1735" i="2"/>
  <c r="O1735" i="2"/>
  <c r="M1735" i="2"/>
  <c r="L1735" i="2"/>
  <c r="R1734" i="2"/>
  <c r="Q1734" i="2"/>
  <c r="P1734" i="2"/>
  <c r="O1734" i="2"/>
  <c r="M1734" i="2"/>
  <c r="L1734" i="2"/>
  <c r="R1733" i="2"/>
  <c r="Q1733" i="2"/>
  <c r="P1733" i="2"/>
  <c r="O1733" i="2"/>
  <c r="M1733" i="2"/>
  <c r="L1733" i="2"/>
  <c r="R1732" i="2"/>
  <c r="Q1732" i="2"/>
  <c r="P1732" i="2"/>
  <c r="O1732" i="2"/>
  <c r="M1732" i="2"/>
  <c r="L1732" i="2"/>
  <c r="R1731" i="2"/>
  <c r="Q1731" i="2"/>
  <c r="P1731" i="2"/>
  <c r="O1731" i="2"/>
  <c r="M1731" i="2"/>
  <c r="L1731" i="2"/>
  <c r="R1730" i="2"/>
  <c r="Q1730" i="2"/>
  <c r="P1730" i="2"/>
  <c r="O1730" i="2"/>
  <c r="M1730" i="2"/>
  <c r="L1730" i="2"/>
  <c r="R1729" i="2"/>
  <c r="Q1729" i="2"/>
  <c r="P1729" i="2"/>
  <c r="O1729" i="2"/>
  <c r="M1729" i="2"/>
  <c r="L1729" i="2"/>
  <c r="R1728" i="2"/>
  <c r="Q1728" i="2"/>
  <c r="P1728" i="2"/>
  <c r="O1728" i="2"/>
  <c r="M1728" i="2"/>
  <c r="L1728" i="2"/>
  <c r="R1727" i="2"/>
  <c r="Q1727" i="2"/>
  <c r="P1727" i="2"/>
  <c r="O1727" i="2"/>
  <c r="M1727" i="2"/>
  <c r="L1727" i="2"/>
  <c r="R1726" i="2"/>
  <c r="Q1726" i="2"/>
  <c r="P1726" i="2"/>
  <c r="O1726" i="2"/>
  <c r="M1726" i="2"/>
  <c r="L1726" i="2"/>
  <c r="R1725" i="2"/>
  <c r="Q1725" i="2"/>
  <c r="P1725" i="2"/>
  <c r="O1725" i="2"/>
  <c r="M1725" i="2"/>
  <c r="L1725" i="2"/>
  <c r="R1724" i="2"/>
  <c r="Q1724" i="2"/>
  <c r="P1724" i="2"/>
  <c r="O1724" i="2"/>
  <c r="M1724" i="2"/>
  <c r="L1724" i="2"/>
  <c r="R1723" i="2"/>
  <c r="Q1723" i="2"/>
  <c r="P1723" i="2"/>
  <c r="O1723" i="2"/>
  <c r="M1723" i="2"/>
  <c r="L1723" i="2"/>
  <c r="R1722" i="2"/>
  <c r="Q1722" i="2"/>
  <c r="P1722" i="2"/>
  <c r="O1722" i="2"/>
  <c r="M1722" i="2"/>
  <c r="L1722" i="2"/>
  <c r="R1721" i="2"/>
  <c r="Q1721" i="2"/>
  <c r="P1721" i="2"/>
  <c r="O1721" i="2"/>
  <c r="M1721" i="2"/>
  <c r="L1721" i="2"/>
  <c r="R1720" i="2"/>
  <c r="Q1720" i="2"/>
  <c r="P1720" i="2"/>
  <c r="O1720" i="2"/>
  <c r="M1720" i="2"/>
  <c r="L1720" i="2"/>
  <c r="R1719" i="2"/>
  <c r="Q1719" i="2"/>
  <c r="P1719" i="2"/>
  <c r="O1719" i="2"/>
  <c r="M1719" i="2"/>
  <c r="L1719" i="2"/>
  <c r="R1718" i="2"/>
  <c r="Q1718" i="2"/>
  <c r="P1718" i="2"/>
  <c r="O1718" i="2"/>
  <c r="M1718" i="2"/>
  <c r="L1718" i="2"/>
  <c r="R1717" i="2"/>
  <c r="Q1717" i="2"/>
  <c r="P1717" i="2"/>
  <c r="O1717" i="2"/>
  <c r="M1717" i="2"/>
  <c r="L1717" i="2"/>
  <c r="R1716" i="2"/>
  <c r="Q1716" i="2"/>
  <c r="P1716" i="2"/>
  <c r="O1716" i="2"/>
  <c r="M1716" i="2"/>
  <c r="L1716" i="2"/>
  <c r="R1715" i="2"/>
  <c r="Q1715" i="2"/>
  <c r="P1715" i="2"/>
  <c r="O1715" i="2"/>
  <c r="M1715" i="2"/>
  <c r="L1715" i="2"/>
  <c r="R1714" i="2"/>
  <c r="Q1714" i="2"/>
  <c r="P1714" i="2"/>
  <c r="O1714" i="2"/>
  <c r="M1714" i="2"/>
  <c r="L1714" i="2"/>
  <c r="R1713" i="2"/>
  <c r="Q1713" i="2"/>
  <c r="P1713" i="2"/>
  <c r="O1713" i="2"/>
  <c r="M1713" i="2"/>
  <c r="L1713" i="2"/>
  <c r="R1712" i="2"/>
  <c r="Q1712" i="2"/>
  <c r="P1712" i="2"/>
  <c r="O1712" i="2"/>
  <c r="M1712" i="2"/>
  <c r="L1712" i="2"/>
  <c r="R1711" i="2"/>
  <c r="Q1711" i="2"/>
  <c r="P1711" i="2"/>
  <c r="O1711" i="2"/>
  <c r="M1711" i="2"/>
  <c r="L1711" i="2"/>
  <c r="R1710" i="2"/>
  <c r="Q1710" i="2"/>
  <c r="P1710" i="2"/>
  <c r="O1710" i="2"/>
  <c r="M1710" i="2"/>
  <c r="L1710" i="2"/>
  <c r="R1709" i="2"/>
  <c r="Q1709" i="2"/>
  <c r="P1709" i="2"/>
  <c r="O1709" i="2"/>
  <c r="M1709" i="2"/>
  <c r="L1709" i="2"/>
  <c r="R1708" i="2"/>
  <c r="Q1708" i="2"/>
  <c r="P1708" i="2"/>
  <c r="O1708" i="2"/>
  <c r="M1708" i="2"/>
  <c r="L1708" i="2"/>
  <c r="R1707" i="2"/>
  <c r="Q1707" i="2"/>
  <c r="P1707" i="2"/>
  <c r="O1707" i="2"/>
  <c r="M1707" i="2"/>
  <c r="L1707" i="2"/>
  <c r="R1706" i="2"/>
  <c r="Q1706" i="2"/>
  <c r="P1706" i="2"/>
  <c r="O1706" i="2"/>
  <c r="M1706" i="2"/>
  <c r="L1706" i="2"/>
  <c r="R1705" i="2"/>
  <c r="Q1705" i="2"/>
  <c r="P1705" i="2"/>
  <c r="O1705" i="2"/>
  <c r="M1705" i="2"/>
  <c r="L1705" i="2"/>
  <c r="R1704" i="2"/>
  <c r="Q1704" i="2"/>
  <c r="P1704" i="2"/>
  <c r="O1704" i="2"/>
  <c r="M1704" i="2"/>
  <c r="L1704" i="2"/>
  <c r="R1703" i="2"/>
  <c r="Q1703" i="2"/>
  <c r="P1703" i="2"/>
  <c r="O1703" i="2"/>
  <c r="M1703" i="2"/>
  <c r="L1703" i="2"/>
  <c r="R1702" i="2"/>
  <c r="Q1702" i="2"/>
  <c r="P1702" i="2"/>
  <c r="O1702" i="2"/>
  <c r="M1702" i="2"/>
  <c r="L1702" i="2"/>
  <c r="R1701" i="2"/>
  <c r="Q1701" i="2"/>
  <c r="P1701" i="2"/>
  <c r="O1701" i="2"/>
  <c r="M1701" i="2"/>
  <c r="L1701" i="2"/>
  <c r="R1700" i="2"/>
  <c r="Q1700" i="2"/>
  <c r="P1700" i="2"/>
  <c r="O1700" i="2"/>
  <c r="M1700" i="2"/>
  <c r="L1700" i="2"/>
  <c r="R1699" i="2"/>
  <c r="Q1699" i="2"/>
  <c r="P1699" i="2"/>
  <c r="O1699" i="2"/>
  <c r="M1699" i="2"/>
  <c r="L1699" i="2"/>
  <c r="R1698" i="2"/>
  <c r="Q1698" i="2"/>
  <c r="P1698" i="2"/>
  <c r="O1698" i="2"/>
  <c r="M1698" i="2"/>
  <c r="L1698" i="2"/>
  <c r="R1697" i="2"/>
  <c r="Q1697" i="2"/>
  <c r="P1697" i="2"/>
  <c r="O1697" i="2"/>
  <c r="M1697" i="2"/>
  <c r="L1697" i="2"/>
  <c r="R1696" i="2"/>
  <c r="Q1696" i="2"/>
  <c r="P1696" i="2"/>
  <c r="O1696" i="2"/>
  <c r="M1696" i="2"/>
  <c r="L1696" i="2"/>
  <c r="R1695" i="2"/>
  <c r="Q1695" i="2"/>
  <c r="P1695" i="2"/>
  <c r="O1695" i="2"/>
  <c r="M1695" i="2"/>
  <c r="L1695" i="2"/>
  <c r="R1694" i="2"/>
  <c r="Q1694" i="2"/>
  <c r="P1694" i="2"/>
  <c r="O1694" i="2"/>
  <c r="M1694" i="2"/>
  <c r="L1694" i="2"/>
  <c r="R1693" i="2"/>
  <c r="Q1693" i="2"/>
  <c r="P1693" i="2"/>
  <c r="O1693" i="2"/>
  <c r="M1693" i="2"/>
  <c r="L1693" i="2"/>
  <c r="R1692" i="2"/>
  <c r="Q1692" i="2"/>
  <c r="P1692" i="2"/>
  <c r="O1692" i="2"/>
  <c r="M1692" i="2"/>
  <c r="L1692" i="2"/>
  <c r="R1691" i="2"/>
  <c r="Q1691" i="2"/>
  <c r="P1691" i="2"/>
  <c r="O1691" i="2"/>
  <c r="M1691" i="2"/>
  <c r="L1691" i="2"/>
  <c r="R1690" i="2"/>
  <c r="Q1690" i="2"/>
  <c r="P1690" i="2"/>
  <c r="O1690" i="2"/>
  <c r="M1690" i="2"/>
  <c r="L1690" i="2"/>
  <c r="R1689" i="2"/>
  <c r="Q1689" i="2"/>
  <c r="P1689" i="2"/>
  <c r="O1689" i="2"/>
  <c r="M1689" i="2"/>
  <c r="L1689" i="2"/>
  <c r="R1688" i="2"/>
  <c r="Q1688" i="2"/>
  <c r="P1688" i="2"/>
  <c r="O1688" i="2"/>
  <c r="M1688" i="2"/>
  <c r="L1688" i="2"/>
  <c r="R1687" i="2"/>
  <c r="Q1687" i="2"/>
  <c r="P1687" i="2"/>
  <c r="O1687" i="2"/>
  <c r="M1687" i="2"/>
  <c r="L1687" i="2"/>
  <c r="R1686" i="2"/>
  <c r="Q1686" i="2"/>
  <c r="P1686" i="2"/>
  <c r="O1686" i="2"/>
  <c r="M1686" i="2"/>
  <c r="L1686" i="2"/>
  <c r="R1685" i="2"/>
  <c r="Q1685" i="2"/>
  <c r="P1685" i="2"/>
  <c r="O1685" i="2"/>
  <c r="M1685" i="2"/>
  <c r="L1685" i="2"/>
  <c r="R1684" i="2"/>
  <c r="Q1684" i="2"/>
  <c r="P1684" i="2"/>
  <c r="O1684" i="2"/>
  <c r="M1684" i="2"/>
  <c r="L1684" i="2"/>
  <c r="R1683" i="2"/>
  <c r="Q1683" i="2"/>
  <c r="P1683" i="2"/>
  <c r="O1683" i="2"/>
  <c r="M1683" i="2"/>
  <c r="L1683" i="2"/>
  <c r="R1682" i="2"/>
  <c r="Q1682" i="2"/>
  <c r="P1682" i="2"/>
  <c r="O1682" i="2"/>
  <c r="M1682" i="2"/>
  <c r="L1682" i="2"/>
  <c r="R1681" i="2"/>
  <c r="Q1681" i="2"/>
  <c r="P1681" i="2"/>
  <c r="O1681" i="2"/>
  <c r="M1681" i="2"/>
  <c r="L1681" i="2"/>
  <c r="R1680" i="2"/>
  <c r="Q1680" i="2"/>
  <c r="P1680" i="2"/>
  <c r="O1680" i="2"/>
  <c r="M1680" i="2"/>
  <c r="L1680" i="2"/>
  <c r="R1679" i="2"/>
  <c r="Q1679" i="2"/>
  <c r="P1679" i="2"/>
  <c r="O1679" i="2"/>
  <c r="M1679" i="2"/>
  <c r="L1679" i="2"/>
  <c r="R1678" i="2"/>
  <c r="Q1678" i="2"/>
  <c r="P1678" i="2"/>
  <c r="O1678" i="2"/>
  <c r="M1678" i="2"/>
  <c r="L1678" i="2"/>
  <c r="R1677" i="2"/>
  <c r="Q1677" i="2"/>
  <c r="P1677" i="2"/>
  <c r="O1677" i="2"/>
  <c r="M1677" i="2"/>
  <c r="L1677" i="2"/>
  <c r="R1676" i="2"/>
  <c r="Q1676" i="2"/>
  <c r="P1676" i="2"/>
  <c r="O1676" i="2"/>
  <c r="M1676" i="2"/>
  <c r="L1676" i="2"/>
  <c r="R1675" i="2"/>
  <c r="Q1675" i="2"/>
  <c r="P1675" i="2"/>
  <c r="O1675" i="2"/>
  <c r="M1675" i="2"/>
  <c r="L1675" i="2"/>
  <c r="R1674" i="2"/>
  <c r="Q1674" i="2"/>
  <c r="P1674" i="2"/>
  <c r="O1674" i="2"/>
  <c r="M1674" i="2"/>
  <c r="L1674" i="2"/>
  <c r="R1673" i="2"/>
  <c r="Q1673" i="2"/>
  <c r="P1673" i="2"/>
  <c r="O1673" i="2"/>
  <c r="M1673" i="2"/>
  <c r="L1673" i="2"/>
  <c r="R1672" i="2"/>
  <c r="Q1672" i="2"/>
  <c r="P1672" i="2"/>
  <c r="O1672" i="2"/>
  <c r="M1672" i="2"/>
  <c r="L1672" i="2"/>
  <c r="R1671" i="2"/>
  <c r="Q1671" i="2"/>
  <c r="P1671" i="2"/>
  <c r="O1671" i="2"/>
  <c r="M1671" i="2"/>
  <c r="L1671" i="2"/>
  <c r="R1670" i="2"/>
  <c r="Q1670" i="2"/>
  <c r="P1670" i="2"/>
  <c r="O1670" i="2"/>
  <c r="M1670" i="2"/>
  <c r="L1670" i="2"/>
  <c r="R1669" i="2"/>
  <c r="Q1669" i="2"/>
  <c r="P1669" i="2"/>
  <c r="O1669" i="2"/>
  <c r="M1669" i="2"/>
  <c r="L1669" i="2"/>
  <c r="R1668" i="2"/>
  <c r="Q1668" i="2"/>
  <c r="P1668" i="2"/>
  <c r="O1668" i="2"/>
  <c r="M1668" i="2"/>
  <c r="L1668" i="2"/>
  <c r="R1667" i="2"/>
  <c r="Q1667" i="2"/>
  <c r="P1667" i="2"/>
  <c r="O1667" i="2"/>
  <c r="M1667" i="2"/>
  <c r="L1667" i="2"/>
  <c r="R1666" i="2"/>
  <c r="Q1666" i="2"/>
  <c r="P1666" i="2"/>
  <c r="O1666" i="2"/>
  <c r="M1666" i="2"/>
  <c r="L1666" i="2"/>
  <c r="R1665" i="2"/>
  <c r="Q1665" i="2"/>
  <c r="P1665" i="2"/>
  <c r="O1665" i="2"/>
  <c r="M1665" i="2"/>
  <c r="L1665" i="2"/>
  <c r="R1664" i="2"/>
  <c r="Q1664" i="2"/>
  <c r="P1664" i="2"/>
  <c r="O1664" i="2"/>
  <c r="M1664" i="2"/>
  <c r="L1664" i="2"/>
  <c r="R1663" i="2"/>
  <c r="Q1663" i="2"/>
  <c r="P1663" i="2"/>
  <c r="O1663" i="2"/>
  <c r="M1663" i="2"/>
  <c r="L1663" i="2"/>
  <c r="R1662" i="2"/>
  <c r="Q1662" i="2"/>
  <c r="P1662" i="2"/>
  <c r="O1662" i="2"/>
  <c r="M1662" i="2"/>
  <c r="L1662" i="2"/>
  <c r="R1661" i="2"/>
  <c r="Q1661" i="2"/>
  <c r="P1661" i="2"/>
  <c r="O1661" i="2"/>
  <c r="M1661" i="2"/>
  <c r="L1661" i="2"/>
  <c r="R1660" i="2"/>
  <c r="Q1660" i="2"/>
  <c r="P1660" i="2"/>
  <c r="O1660" i="2"/>
  <c r="M1660" i="2"/>
  <c r="L1660" i="2"/>
  <c r="R1659" i="2"/>
  <c r="Q1659" i="2"/>
  <c r="P1659" i="2"/>
  <c r="O1659" i="2"/>
  <c r="M1659" i="2"/>
  <c r="L1659" i="2"/>
  <c r="R1658" i="2"/>
  <c r="Q1658" i="2"/>
  <c r="P1658" i="2"/>
  <c r="O1658" i="2"/>
  <c r="M1658" i="2"/>
  <c r="L1658" i="2"/>
  <c r="R1657" i="2"/>
  <c r="Q1657" i="2"/>
  <c r="P1657" i="2"/>
  <c r="O1657" i="2"/>
  <c r="M1657" i="2"/>
  <c r="L1657" i="2"/>
  <c r="R1656" i="2"/>
  <c r="Q1656" i="2"/>
  <c r="P1656" i="2"/>
  <c r="O1656" i="2"/>
  <c r="M1656" i="2"/>
  <c r="L1656" i="2"/>
  <c r="R1655" i="2"/>
  <c r="Q1655" i="2"/>
  <c r="P1655" i="2"/>
  <c r="O1655" i="2"/>
  <c r="M1655" i="2"/>
  <c r="L1655" i="2"/>
  <c r="R1654" i="2"/>
  <c r="Q1654" i="2"/>
  <c r="P1654" i="2"/>
  <c r="O1654" i="2"/>
  <c r="M1654" i="2"/>
  <c r="L1654" i="2"/>
  <c r="R1653" i="2"/>
  <c r="Q1653" i="2"/>
  <c r="P1653" i="2"/>
  <c r="O1653" i="2"/>
  <c r="M1653" i="2"/>
  <c r="L1653" i="2"/>
  <c r="R1652" i="2"/>
  <c r="Q1652" i="2"/>
  <c r="P1652" i="2"/>
  <c r="O1652" i="2"/>
  <c r="M1652" i="2"/>
  <c r="L1652" i="2"/>
  <c r="R1651" i="2"/>
  <c r="Q1651" i="2"/>
  <c r="P1651" i="2"/>
  <c r="O1651" i="2"/>
  <c r="M1651" i="2"/>
  <c r="L1651" i="2"/>
  <c r="R1650" i="2"/>
  <c r="Q1650" i="2"/>
  <c r="P1650" i="2"/>
  <c r="O1650" i="2"/>
  <c r="M1650" i="2"/>
  <c r="L1650" i="2"/>
  <c r="R1649" i="2"/>
  <c r="Q1649" i="2"/>
  <c r="P1649" i="2"/>
  <c r="O1649" i="2"/>
  <c r="M1649" i="2"/>
  <c r="L1649" i="2"/>
  <c r="R1648" i="2"/>
  <c r="Q1648" i="2"/>
  <c r="P1648" i="2"/>
  <c r="O1648" i="2"/>
  <c r="M1648" i="2"/>
  <c r="L1648" i="2"/>
  <c r="R1647" i="2"/>
  <c r="Q1647" i="2"/>
  <c r="P1647" i="2"/>
  <c r="O1647" i="2"/>
  <c r="M1647" i="2"/>
  <c r="L1647" i="2"/>
  <c r="R1646" i="2"/>
  <c r="Q1646" i="2"/>
  <c r="P1646" i="2"/>
  <c r="O1646" i="2"/>
  <c r="M1646" i="2"/>
  <c r="L1646" i="2"/>
  <c r="R1645" i="2"/>
  <c r="Q1645" i="2"/>
  <c r="P1645" i="2"/>
  <c r="O1645" i="2"/>
  <c r="M1645" i="2"/>
  <c r="L1645" i="2"/>
  <c r="R1644" i="2"/>
  <c r="Q1644" i="2"/>
  <c r="P1644" i="2"/>
  <c r="O1644" i="2"/>
  <c r="M1644" i="2"/>
  <c r="L1644" i="2"/>
  <c r="R1643" i="2"/>
  <c r="Q1643" i="2"/>
  <c r="P1643" i="2"/>
  <c r="O1643" i="2"/>
  <c r="M1643" i="2"/>
  <c r="L1643" i="2"/>
  <c r="R1642" i="2"/>
  <c r="Q1642" i="2"/>
  <c r="P1642" i="2"/>
  <c r="O1642" i="2"/>
  <c r="M1642" i="2"/>
  <c r="L1642" i="2"/>
  <c r="R1641" i="2"/>
  <c r="Q1641" i="2"/>
  <c r="P1641" i="2"/>
  <c r="O1641" i="2"/>
  <c r="M1641" i="2"/>
  <c r="L1641" i="2"/>
  <c r="R1640" i="2"/>
  <c r="Q1640" i="2"/>
  <c r="P1640" i="2"/>
  <c r="O1640" i="2"/>
  <c r="M1640" i="2"/>
  <c r="L1640" i="2"/>
  <c r="R1639" i="2"/>
  <c r="Q1639" i="2"/>
  <c r="P1639" i="2"/>
  <c r="O1639" i="2"/>
  <c r="M1639" i="2"/>
  <c r="L1639" i="2"/>
  <c r="R1638" i="2"/>
  <c r="Q1638" i="2"/>
  <c r="P1638" i="2"/>
  <c r="O1638" i="2"/>
  <c r="M1638" i="2"/>
  <c r="L1638" i="2"/>
  <c r="R1637" i="2"/>
  <c r="Q1637" i="2"/>
  <c r="P1637" i="2"/>
  <c r="O1637" i="2"/>
  <c r="M1637" i="2"/>
  <c r="L1637" i="2"/>
  <c r="R1636" i="2"/>
  <c r="Q1636" i="2"/>
  <c r="P1636" i="2"/>
  <c r="O1636" i="2"/>
  <c r="M1636" i="2"/>
  <c r="L1636" i="2"/>
  <c r="R1635" i="2"/>
  <c r="Q1635" i="2"/>
  <c r="P1635" i="2"/>
  <c r="O1635" i="2"/>
  <c r="M1635" i="2"/>
  <c r="L1635" i="2"/>
  <c r="R1634" i="2"/>
  <c r="Q1634" i="2"/>
  <c r="P1634" i="2"/>
  <c r="O1634" i="2"/>
  <c r="M1634" i="2"/>
  <c r="L1634" i="2"/>
  <c r="R1633" i="2"/>
  <c r="Q1633" i="2"/>
  <c r="P1633" i="2"/>
  <c r="O1633" i="2"/>
  <c r="M1633" i="2"/>
  <c r="L1633" i="2"/>
  <c r="R1632" i="2"/>
  <c r="Q1632" i="2"/>
  <c r="P1632" i="2"/>
  <c r="O1632" i="2"/>
  <c r="M1632" i="2"/>
  <c r="L1632" i="2"/>
  <c r="R1631" i="2"/>
  <c r="Q1631" i="2"/>
  <c r="P1631" i="2"/>
  <c r="O1631" i="2"/>
  <c r="M1631" i="2"/>
  <c r="L1631" i="2"/>
  <c r="R1630" i="2"/>
  <c r="Q1630" i="2"/>
  <c r="P1630" i="2"/>
  <c r="O1630" i="2"/>
  <c r="M1630" i="2"/>
  <c r="L1630" i="2"/>
  <c r="R1629" i="2"/>
  <c r="Q1629" i="2"/>
  <c r="P1629" i="2"/>
  <c r="O1629" i="2"/>
  <c r="M1629" i="2"/>
  <c r="L1629" i="2"/>
  <c r="R1628" i="2"/>
  <c r="Q1628" i="2"/>
  <c r="P1628" i="2"/>
  <c r="O1628" i="2"/>
  <c r="M1628" i="2"/>
  <c r="L1628" i="2"/>
  <c r="R1627" i="2"/>
  <c r="Q1627" i="2"/>
  <c r="P1627" i="2"/>
  <c r="O1627" i="2"/>
  <c r="M1627" i="2"/>
  <c r="L1627" i="2"/>
  <c r="R1626" i="2"/>
  <c r="Q1626" i="2"/>
  <c r="P1626" i="2"/>
  <c r="O1626" i="2"/>
  <c r="M1626" i="2"/>
  <c r="L1626" i="2"/>
  <c r="R1625" i="2"/>
  <c r="Q1625" i="2"/>
  <c r="P1625" i="2"/>
  <c r="O1625" i="2"/>
  <c r="M1625" i="2"/>
  <c r="L1625" i="2"/>
  <c r="R1624" i="2"/>
  <c r="Q1624" i="2"/>
  <c r="P1624" i="2"/>
  <c r="O1624" i="2"/>
  <c r="M1624" i="2"/>
  <c r="L1624" i="2"/>
  <c r="R1623" i="2"/>
  <c r="Q1623" i="2"/>
  <c r="P1623" i="2"/>
  <c r="O1623" i="2"/>
  <c r="M1623" i="2"/>
  <c r="L1623" i="2"/>
  <c r="R1622" i="2"/>
  <c r="Q1622" i="2"/>
  <c r="P1622" i="2"/>
  <c r="O1622" i="2"/>
  <c r="M1622" i="2"/>
  <c r="L1622" i="2"/>
  <c r="R1621" i="2"/>
  <c r="Q1621" i="2"/>
  <c r="P1621" i="2"/>
  <c r="O1621" i="2"/>
  <c r="M1621" i="2"/>
  <c r="L1621" i="2"/>
  <c r="R1620" i="2"/>
  <c r="Q1620" i="2"/>
  <c r="P1620" i="2"/>
  <c r="O1620" i="2"/>
  <c r="M1620" i="2"/>
  <c r="L1620" i="2"/>
  <c r="R1619" i="2"/>
  <c r="Q1619" i="2"/>
  <c r="P1619" i="2"/>
  <c r="O1619" i="2"/>
  <c r="M1619" i="2"/>
  <c r="L1619" i="2"/>
  <c r="R1618" i="2"/>
  <c r="Q1618" i="2"/>
  <c r="P1618" i="2"/>
  <c r="O1618" i="2"/>
  <c r="M1618" i="2"/>
  <c r="L1618" i="2"/>
  <c r="R1617" i="2"/>
  <c r="Q1617" i="2"/>
  <c r="P1617" i="2"/>
  <c r="O1617" i="2"/>
  <c r="M1617" i="2"/>
  <c r="L1617" i="2"/>
  <c r="R1616" i="2"/>
  <c r="Q1616" i="2"/>
  <c r="P1616" i="2"/>
  <c r="O1616" i="2"/>
  <c r="M1616" i="2"/>
  <c r="L1616" i="2"/>
  <c r="R1615" i="2"/>
  <c r="Q1615" i="2"/>
  <c r="P1615" i="2"/>
  <c r="O1615" i="2"/>
  <c r="M1615" i="2"/>
  <c r="L1615" i="2"/>
  <c r="R1614" i="2"/>
  <c r="Q1614" i="2"/>
  <c r="P1614" i="2"/>
  <c r="O1614" i="2"/>
  <c r="M1614" i="2"/>
  <c r="L1614" i="2"/>
  <c r="R1613" i="2"/>
  <c r="Q1613" i="2"/>
  <c r="P1613" i="2"/>
  <c r="O1613" i="2"/>
  <c r="M1613" i="2"/>
  <c r="L1613" i="2"/>
  <c r="R1612" i="2"/>
  <c r="Q1612" i="2"/>
  <c r="P1612" i="2"/>
  <c r="O1612" i="2"/>
  <c r="M1612" i="2"/>
  <c r="L1612" i="2"/>
  <c r="R1611" i="2"/>
  <c r="Q1611" i="2"/>
  <c r="P1611" i="2"/>
  <c r="O1611" i="2"/>
  <c r="M1611" i="2"/>
  <c r="L1611" i="2"/>
  <c r="R1610" i="2"/>
  <c r="Q1610" i="2"/>
  <c r="P1610" i="2"/>
  <c r="O1610" i="2"/>
  <c r="M1610" i="2"/>
  <c r="L1610" i="2"/>
  <c r="R1609" i="2"/>
  <c r="Q1609" i="2"/>
  <c r="P1609" i="2"/>
  <c r="O1609" i="2"/>
  <c r="M1609" i="2"/>
  <c r="L1609" i="2"/>
  <c r="R1608" i="2"/>
  <c r="Q1608" i="2"/>
  <c r="P1608" i="2"/>
  <c r="O1608" i="2"/>
  <c r="M1608" i="2"/>
  <c r="L1608" i="2"/>
  <c r="R1607" i="2"/>
  <c r="Q1607" i="2"/>
  <c r="P1607" i="2"/>
  <c r="O1607" i="2"/>
  <c r="M1607" i="2"/>
  <c r="L1607" i="2"/>
  <c r="R1606" i="2"/>
  <c r="Q1606" i="2"/>
  <c r="P1606" i="2"/>
  <c r="O1606" i="2"/>
  <c r="M1606" i="2"/>
  <c r="L1606" i="2"/>
  <c r="R1605" i="2"/>
  <c r="Q1605" i="2"/>
  <c r="P1605" i="2"/>
  <c r="O1605" i="2"/>
  <c r="M1605" i="2"/>
  <c r="L1605" i="2"/>
  <c r="R1604" i="2"/>
  <c r="Q1604" i="2"/>
  <c r="P1604" i="2"/>
  <c r="O1604" i="2"/>
  <c r="M1604" i="2"/>
  <c r="L1604" i="2"/>
  <c r="R1603" i="2"/>
  <c r="Q1603" i="2"/>
  <c r="P1603" i="2"/>
  <c r="O1603" i="2"/>
  <c r="M1603" i="2"/>
  <c r="L1603" i="2"/>
  <c r="R1602" i="2"/>
  <c r="Q1602" i="2"/>
  <c r="P1602" i="2"/>
  <c r="O1602" i="2"/>
  <c r="M1602" i="2"/>
  <c r="L1602" i="2"/>
  <c r="R1601" i="2"/>
  <c r="Q1601" i="2"/>
  <c r="P1601" i="2"/>
  <c r="O1601" i="2"/>
  <c r="M1601" i="2"/>
  <c r="L1601" i="2"/>
  <c r="R1600" i="2"/>
  <c r="Q1600" i="2"/>
  <c r="P1600" i="2"/>
  <c r="O1600" i="2"/>
  <c r="M1600" i="2"/>
  <c r="L1600" i="2"/>
  <c r="R1599" i="2"/>
  <c r="Q1599" i="2"/>
  <c r="P1599" i="2"/>
  <c r="O1599" i="2"/>
  <c r="M1599" i="2"/>
  <c r="L1599" i="2"/>
  <c r="R1598" i="2"/>
  <c r="Q1598" i="2"/>
  <c r="P1598" i="2"/>
  <c r="O1598" i="2"/>
  <c r="M1598" i="2"/>
  <c r="L1598" i="2"/>
  <c r="R1597" i="2"/>
  <c r="Q1597" i="2"/>
  <c r="P1597" i="2"/>
  <c r="O1597" i="2"/>
  <c r="M1597" i="2"/>
  <c r="L1597" i="2"/>
  <c r="R1596" i="2"/>
  <c r="Q1596" i="2"/>
  <c r="P1596" i="2"/>
  <c r="O1596" i="2"/>
  <c r="M1596" i="2"/>
  <c r="L1596" i="2"/>
  <c r="R1595" i="2"/>
  <c r="Q1595" i="2"/>
  <c r="P1595" i="2"/>
  <c r="O1595" i="2"/>
  <c r="M1595" i="2"/>
  <c r="L1595" i="2"/>
  <c r="R1594" i="2"/>
  <c r="Q1594" i="2"/>
  <c r="P1594" i="2"/>
  <c r="O1594" i="2"/>
  <c r="M1594" i="2"/>
  <c r="L1594" i="2"/>
  <c r="R1593" i="2"/>
  <c r="Q1593" i="2"/>
  <c r="P1593" i="2"/>
  <c r="O1593" i="2"/>
  <c r="M1593" i="2"/>
  <c r="L1593" i="2"/>
  <c r="R1592" i="2"/>
  <c r="Q1592" i="2"/>
  <c r="P1592" i="2"/>
  <c r="O1592" i="2"/>
  <c r="M1592" i="2"/>
  <c r="L1592" i="2"/>
  <c r="R1591" i="2"/>
  <c r="Q1591" i="2"/>
  <c r="P1591" i="2"/>
  <c r="O1591" i="2"/>
  <c r="M1591" i="2"/>
  <c r="L1591" i="2"/>
  <c r="R1590" i="2"/>
  <c r="Q1590" i="2"/>
  <c r="P1590" i="2"/>
  <c r="O1590" i="2"/>
  <c r="M1590" i="2"/>
  <c r="L1590" i="2"/>
  <c r="R1589" i="2"/>
  <c r="Q1589" i="2"/>
  <c r="P1589" i="2"/>
  <c r="O1589" i="2"/>
  <c r="M1589" i="2"/>
  <c r="L1589" i="2"/>
  <c r="R1588" i="2"/>
  <c r="Q1588" i="2"/>
  <c r="P1588" i="2"/>
  <c r="O1588" i="2"/>
  <c r="M1588" i="2"/>
  <c r="L1588" i="2"/>
  <c r="R1587" i="2"/>
  <c r="Q1587" i="2"/>
  <c r="P1587" i="2"/>
  <c r="O1587" i="2"/>
  <c r="M1587" i="2"/>
  <c r="L1587" i="2"/>
  <c r="R1586" i="2"/>
  <c r="Q1586" i="2"/>
  <c r="P1586" i="2"/>
  <c r="O1586" i="2"/>
  <c r="M1586" i="2"/>
  <c r="L1586" i="2"/>
  <c r="R1585" i="2"/>
  <c r="Q1585" i="2"/>
  <c r="P1585" i="2"/>
  <c r="O1585" i="2"/>
  <c r="M1585" i="2"/>
  <c r="L1585" i="2"/>
  <c r="R1584" i="2"/>
  <c r="Q1584" i="2"/>
  <c r="P1584" i="2"/>
  <c r="O1584" i="2"/>
  <c r="M1584" i="2"/>
  <c r="L1584" i="2"/>
  <c r="R1583" i="2"/>
  <c r="Q1583" i="2"/>
  <c r="P1583" i="2"/>
  <c r="O1583" i="2"/>
  <c r="M1583" i="2"/>
  <c r="L1583" i="2"/>
  <c r="R1582" i="2"/>
  <c r="Q1582" i="2"/>
  <c r="P1582" i="2"/>
  <c r="O1582" i="2"/>
  <c r="M1582" i="2"/>
  <c r="L1582" i="2"/>
  <c r="R1581" i="2"/>
  <c r="Q1581" i="2"/>
  <c r="P1581" i="2"/>
  <c r="O1581" i="2"/>
  <c r="M1581" i="2"/>
  <c r="L1581" i="2"/>
  <c r="R1580" i="2"/>
  <c r="Q1580" i="2"/>
  <c r="P1580" i="2"/>
  <c r="O1580" i="2"/>
  <c r="M1580" i="2"/>
  <c r="L1580" i="2"/>
  <c r="R1579" i="2"/>
  <c r="Q1579" i="2"/>
  <c r="P1579" i="2"/>
  <c r="O1579" i="2"/>
  <c r="M1579" i="2"/>
  <c r="L1579" i="2"/>
  <c r="R1578" i="2"/>
  <c r="Q1578" i="2"/>
  <c r="P1578" i="2"/>
  <c r="O1578" i="2"/>
  <c r="M1578" i="2"/>
  <c r="L1578" i="2"/>
  <c r="R1577" i="2"/>
  <c r="Q1577" i="2"/>
  <c r="P1577" i="2"/>
  <c r="O1577" i="2"/>
  <c r="M1577" i="2"/>
  <c r="L1577" i="2"/>
  <c r="R1576" i="2"/>
  <c r="Q1576" i="2"/>
  <c r="P1576" i="2"/>
  <c r="O1576" i="2"/>
  <c r="M1576" i="2"/>
  <c r="L1576" i="2"/>
  <c r="R1575" i="2"/>
  <c r="Q1575" i="2"/>
  <c r="P1575" i="2"/>
  <c r="O1575" i="2"/>
  <c r="M1575" i="2"/>
  <c r="L1575" i="2"/>
  <c r="R1574" i="2"/>
  <c r="Q1574" i="2"/>
  <c r="P1574" i="2"/>
  <c r="O1574" i="2"/>
  <c r="M1574" i="2"/>
  <c r="L1574" i="2"/>
  <c r="R1573" i="2"/>
  <c r="Q1573" i="2"/>
  <c r="P1573" i="2"/>
  <c r="O1573" i="2"/>
  <c r="M1573" i="2"/>
  <c r="L1573" i="2"/>
  <c r="R1572" i="2"/>
  <c r="Q1572" i="2"/>
  <c r="P1572" i="2"/>
  <c r="O1572" i="2"/>
  <c r="M1572" i="2"/>
  <c r="L1572" i="2"/>
  <c r="R1571" i="2"/>
  <c r="Q1571" i="2"/>
  <c r="P1571" i="2"/>
  <c r="O1571" i="2"/>
  <c r="M1571" i="2"/>
  <c r="L1571" i="2"/>
  <c r="R1570" i="2"/>
  <c r="Q1570" i="2"/>
  <c r="P1570" i="2"/>
  <c r="O1570" i="2"/>
  <c r="M1570" i="2"/>
  <c r="L1570" i="2"/>
  <c r="R1569" i="2"/>
  <c r="Q1569" i="2"/>
  <c r="P1569" i="2"/>
  <c r="O1569" i="2"/>
  <c r="M1569" i="2"/>
  <c r="L1569" i="2"/>
  <c r="R1568" i="2"/>
  <c r="Q1568" i="2"/>
  <c r="P1568" i="2"/>
  <c r="O1568" i="2"/>
  <c r="M1568" i="2"/>
  <c r="L1568" i="2"/>
  <c r="R1567" i="2"/>
  <c r="Q1567" i="2"/>
  <c r="P1567" i="2"/>
  <c r="O1567" i="2"/>
  <c r="M1567" i="2"/>
  <c r="L1567" i="2"/>
  <c r="R1566" i="2"/>
  <c r="Q1566" i="2"/>
  <c r="P1566" i="2"/>
  <c r="O1566" i="2"/>
  <c r="M1566" i="2"/>
  <c r="L1566" i="2"/>
  <c r="R1565" i="2"/>
  <c r="Q1565" i="2"/>
  <c r="P1565" i="2"/>
  <c r="O1565" i="2"/>
  <c r="M1565" i="2"/>
  <c r="L1565" i="2"/>
  <c r="R1564" i="2"/>
  <c r="Q1564" i="2"/>
  <c r="P1564" i="2"/>
  <c r="O1564" i="2"/>
  <c r="M1564" i="2"/>
  <c r="L1564" i="2"/>
  <c r="R1563" i="2"/>
  <c r="Q1563" i="2"/>
  <c r="P1563" i="2"/>
  <c r="O1563" i="2"/>
  <c r="M1563" i="2"/>
  <c r="L1563" i="2"/>
  <c r="R1562" i="2"/>
  <c r="Q1562" i="2"/>
  <c r="P1562" i="2"/>
  <c r="O1562" i="2"/>
  <c r="M1562" i="2"/>
  <c r="L1562" i="2"/>
  <c r="R1561" i="2"/>
  <c r="Q1561" i="2"/>
  <c r="P1561" i="2"/>
  <c r="O1561" i="2"/>
  <c r="M1561" i="2"/>
  <c r="L1561" i="2"/>
  <c r="R1560" i="2"/>
  <c r="Q1560" i="2"/>
  <c r="P1560" i="2"/>
  <c r="O1560" i="2"/>
  <c r="M1560" i="2"/>
  <c r="L1560" i="2"/>
  <c r="R1559" i="2"/>
  <c r="Q1559" i="2"/>
  <c r="P1559" i="2"/>
  <c r="O1559" i="2"/>
  <c r="M1559" i="2"/>
  <c r="L1559" i="2"/>
  <c r="R1558" i="2"/>
  <c r="Q1558" i="2"/>
  <c r="P1558" i="2"/>
  <c r="O1558" i="2"/>
  <c r="M1558" i="2"/>
  <c r="L1558" i="2"/>
  <c r="R1557" i="2"/>
  <c r="Q1557" i="2"/>
  <c r="P1557" i="2"/>
  <c r="O1557" i="2"/>
  <c r="M1557" i="2"/>
  <c r="L1557" i="2"/>
  <c r="R1556" i="2"/>
  <c r="Q1556" i="2"/>
  <c r="P1556" i="2"/>
  <c r="O1556" i="2"/>
  <c r="M1556" i="2"/>
  <c r="L1556" i="2"/>
  <c r="R1555" i="2"/>
  <c r="Q1555" i="2"/>
  <c r="P1555" i="2"/>
  <c r="O1555" i="2"/>
  <c r="M1555" i="2"/>
  <c r="L1555" i="2"/>
  <c r="R1554" i="2"/>
  <c r="Q1554" i="2"/>
  <c r="P1554" i="2"/>
  <c r="O1554" i="2"/>
  <c r="M1554" i="2"/>
  <c r="L1554" i="2"/>
  <c r="R1553" i="2"/>
  <c r="Q1553" i="2"/>
  <c r="P1553" i="2"/>
  <c r="O1553" i="2"/>
  <c r="M1553" i="2"/>
  <c r="L1553" i="2"/>
  <c r="R1552" i="2"/>
  <c r="Q1552" i="2"/>
  <c r="P1552" i="2"/>
  <c r="O1552" i="2"/>
  <c r="M1552" i="2"/>
  <c r="L1552" i="2"/>
  <c r="R1551" i="2"/>
  <c r="Q1551" i="2"/>
  <c r="P1551" i="2"/>
  <c r="O1551" i="2"/>
  <c r="M1551" i="2"/>
  <c r="L1551" i="2"/>
  <c r="R1550" i="2"/>
  <c r="Q1550" i="2"/>
  <c r="P1550" i="2"/>
  <c r="O1550" i="2"/>
  <c r="M1550" i="2"/>
  <c r="L1550" i="2"/>
  <c r="R1549" i="2"/>
  <c r="Q1549" i="2"/>
  <c r="P1549" i="2"/>
  <c r="O1549" i="2"/>
  <c r="M1549" i="2"/>
  <c r="L1549" i="2"/>
  <c r="R1548" i="2"/>
  <c r="Q1548" i="2"/>
  <c r="P1548" i="2"/>
  <c r="O1548" i="2"/>
  <c r="M1548" i="2"/>
  <c r="L1548" i="2"/>
  <c r="R1547" i="2"/>
  <c r="Q1547" i="2"/>
  <c r="P1547" i="2"/>
  <c r="O1547" i="2"/>
  <c r="M1547" i="2"/>
  <c r="L1547" i="2"/>
  <c r="R1546" i="2"/>
  <c r="Q1546" i="2"/>
  <c r="P1546" i="2"/>
  <c r="O1546" i="2"/>
  <c r="M1546" i="2"/>
  <c r="L1546" i="2"/>
  <c r="R1545" i="2"/>
  <c r="Q1545" i="2"/>
  <c r="P1545" i="2"/>
  <c r="O1545" i="2"/>
  <c r="M1545" i="2"/>
  <c r="L1545" i="2"/>
  <c r="R1544" i="2"/>
  <c r="Q1544" i="2"/>
  <c r="P1544" i="2"/>
  <c r="O1544" i="2"/>
  <c r="M1544" i="2"/>
  <c r="L1544" i="2"/>
  <c r="R1543" i="2"/>
  <c r="Q1543" i="2"/>
  <c r="P1543" i="2"/>
  <c r="O1543" i="2"/>
  <c r="M1543" i="2"/>
  <c r="L1543" i="2"/>
  <c r="R1542" i="2"/>
  <c r="Q1542" i="2"/>
  <c r="P1542" i="2"/>
  <c r="O1542" i="2"/>
  <c r="M1542" i="2"/>
  <c r="L1542" i="2"/>
  <c r="R1541" i="2"/>
  <c r="Q1541" i="2"/>
  <c r="P1541" i="2"/>
  <c r="O1541" i="2"/>
  <c r="M1541" i="2"/>
  <c r="L1541" i="2"/>
  <c r="R1540" i="2"/>
  <c r="Q1540" i="2"/>
  <c r="P1540" i="2"/>
  <c r="O1540" i="2"/>
  <c r="M1540" i="2"/>
  <c r="L1540" i="2"/>
  <c r="R1539" i="2"/>
  <c r="Q1539" i="2"/>
  <c r="P1539" i="2"/>
  <c r="O1539" i="2"/>
  <c r="M1539" i="2"/>
  <c r="L1539" i="2"/>
  <c r="R1538" i="2"/>
  <c r="Q1538" i="2"/>
  <c r="P1538" i="2"/>
  <c r="O1538" i="2"/>
  <c r="M1538" i="2"/>
  <c r="L1538" i="2"/>
  <c r="R1537" i="2"/>
  <c r="Q1537" i="2"/>
  <c r="P1537" i="2"/>
  <c r="O1537" i="2"/>
  <c r="M1537" i="2"/>
  <c r="L1537" i="2"/>
  <c r="R1536" i="2"/>
  <c r="Q1536" i="2"/>
  <c r="P1536" i="2"/>
  <c r="O1536" i="2"/>
  <c r="M1536" i="2"/>
  <c r="L1536" i="2"/>
  <c r="R1535" i="2"/>
  <c r="Q1535" i="2"/>
  <c r="P1535" i="2"/>
  <c r="O1535" i="2"/>
  <c r="M1535" i="2"/>
  <c r="L1535" i="2"/>
  <c r="R1534" i="2"/>
  <c r="Q1534" i="2"/>
  <c r="P1534" i="2"/>
  <c r="O1534" i="2"/>
  <c r="M1534" i="2"/>
  <c r="L1534" i="2"/>
  <c r="R1533" i="2"/>
  <c r="Q1533" i="2"/>
  <c r="P1533" i="2"/>
  <c r="O1533" i="2"/>
  <c r="M1533" i="2"/>
  <c r="L1533" i="2"/>
  <c r="R1532" i="2"/>
  <c r="Q1532" i="2"/>
  <c r="P1532" i="2"/>
  <c r="O1532" i="2"/>
  <c r="M1532" i="2"/>
  <c r="L1532" i="2"/>
  <c r="R1531" i="2"/>
  <c r="Q1531" i="2"/>
  <c r="P1531" i="2"/>
  <c r="O1531" i="2"/>
  <c r="M1531" i="2"/>
  <c r="L1531" i="2"/>
  <c r="R1530" i="2"/>
  <c r="Q1530" i="2"/>
  <c r="P1530" i="2"/>
  <c r="O1530" i="2"/>
  <c r="M1530" i="2"/>
  <c r="L1530" i="2"/>
  <c r="R1529" i="2"/>
  <c r="Q1529" i="2"/>
  <c r="P1529" i="2"/>
  <c r="O1529" i="2"/>
  <c r="M1529" i="2"/>
  <c r="L1529" i="2"/>
  <c r="R1528" i="2"/>
  <c r="Q1528" i="2"/>
  <c r="P1528" i="2"/>
  <c r="O1528" i="2"/>
  <c r="M1528" i="2"/>
  <c r="L1528" i="2"/>
  <c r="R1527" i="2"/>
  <c r="Q1527" i="2"/>
  <c r="P1527" i="2"/>
  <c r="O1527" i="2"/>
  <c r="M1527" i="2"/>
  <c r="L1527" i="2"/>
  <c r="R1526" i="2"/>
  <c r="Q1526" i="2"/>
  <c r="P1526" i="2"/>
  <c r="O1526" i="2"/>
  <c r="M1526" i="2"/>
  <c r="L1526" i="2"/>
  <c r="R1525" i="2"/>
  <c r="Q1525" i="2"/>
  <c r="P1525" i="2"/>
  <c r="O1525" i="2"/>
  <c r="M1525" i="2"/>
  <c r="L1525" i="2"/>
  <c r="R1524" i="2"/>
  <c r="Q1524" i="2"/>
  <c r="P1524" i="2"/>
  <c r="O1524" i="2"/>
  <c r="M1524" i="2"/>
  <c r="L1524" i="2"/>
  <c r="R1523" i="2"/>
  <c r="Q1523" i="2"/>
  <c r="P1523" i="2"/>
  <c r="O1523" i="2"/>
  <c r="M1523" i="2"/>
  <c r="L1523" i="2"/>
  <c r="R1522" i="2"/>
  <c r="Q1522" i="2"/>
  <c r="P1522" i="2"/>
  <c r="O1522" i="2"/>
  <c r="M1522" i="2"/>
  <c r="L1522" i="2"/>
  <c r="R1521" i="2"/>
  <c r="Q1521" i="2"/>
  <c r="P1521" i="2"/>
  <c r="O1521" i="2"/>
  <c r="M1521" i="2"/>
  <c r="L1521" i="2"/>
  <c r="R1520" i="2"/>
  <c r="Q1520" i="2"/>
  <c r="P1520" i="2"/>
  <c r="O1520" i="2"/>
  <c r="M1520" i="2"/>
  <c r="L1520" i="2"/>
  <c r="R1519" i="2"/>
  <c r="Q1519" i="2"/>
  <c r="P1519" i="2"/>
  <c r="O1519" i="2"/>
  <c r="M1519" i="2"/>
  <c r="L1519" i="2"/>
  <c r="R1518" i="2"/>
  <c r="Q1518" i="2"/>
  <c r="P1518" i="2"/>
  <c r="O1518" i="2"/>
  <c r="M1518" i="2"/>
  <c r="L1518" i="2"/>
  <c r="R1517" i="2"/>
  <c r="Q1517" i="2"/>
  <c r="P1517" i="2"/>
  <c r="O1517" i="2"/>
  <c r="M1517" i="2"/>
  <c r="L1517" i="2"/>
  <c r="R1516" i="2"/>
  <c r="Q1516" i="2"/>
  <c r="P1516" i="2"/>
  <c r="O1516" i="2"/>
  <c r="M1516" i="2"/>
  <c r="L1516" i="2"/>
  <c r="R1515" i="2"/>
  <c r="Q1515" i="2"/>
  <c r="P1515" i="2"/>
  <c r="O1515" i="2"/>
  <c r="M1515" i="2"/>
  <c r="L1515" i="2"/>
  <c r="R1514" i="2"/>
  <c r="Q1514" i="2"/>
  <c r="P1514" i="2"/>
  <c r="O1514" i="2"/>
  <c r="M1514" i="2"/>
  <c r="L1514" i="2"/>
  <c r="R1513" i="2"/>
  <c r="Q1513" i="2"/>
  <c r="P1513" i="2"/>
  <c r="O1513" i="2"/>
  <c r="M1513" i="2"/>
  <c r="L1513" i="2"/>
  <c r="R1512" i="2"/>
  <c r="Q1512" i="2"/>
  <c r="P1512" i="2"/>
  <c r="O1512" i="2"/>
  <c r="M1512" i="2"/>
  <c r="L1512" i="2"/>
  <c r="R1511" i="2"/>
  <c r="Q1511" i="2"/>
  <c r="P1511" i="2"/>
  <c r="O1511" i="2"/>
  <c r="M1511" i="2"/>
  <c r="L1511" i="2"/>
  <c r="R1510" i="2"/>
  <c r="Q1510" i="2"/>
  <c r="P1510" i="2"/>
  <c r="O1510" i="2"/>
  <c r="M1510" i="2"/>
  <c r="L1510" i="2"/>
  <c r="R1509" i="2"/>
  <c r="Q1509" i="2"/>
  <c r="P1509" i="2"/>
  <c r="O1509" i="2"/>
  <c r="M1509" i="2"/>
  <c r="L1509" i="2"/>
  <c r="R1508" i="2"/>
  <c r="Q1508" i="2"/>
  <c r="P1508" i="2"/>
  <c r="O1508" i="2"/>
  <c r="M1508" i="2"/>
  <c r="L1508" i="2"/>
  <c r="R1507" i="2"/>
  <c r="Q1507" i="2"/>
  <c r="P1507" i="2"/>
  <c r="O1507" i="2"/>
  <c r="M1507" i="2"/>
  <c r="L1507" i="2"/>
  <c r="R1506" i="2"/>
  <c r="Q1506" i="2"/>
  <c r="P1506" i="2"/>
  <c r="O1506" i="2"/>
  <c r="M1506" i="2"/>
  <c r="L1506" i="2"/>
  <c r="R1505" i="2"/>
  <c r="Q1505" i="2"/>
  <c r="P1505" i="2"/>
  <c r="O1505" i="2"/>
  <c r="M1505" i="2"/>
  <c r="L1505" i="2"/>
  <c r="R1504" i="2"/>
  <c r="Q1504" i="2"/>
  <c r="P1504" i="2"/>
  <c r="O1504" i="2"/>
  <c r="M1504" i="2"/>
  <c r="L1504" i="2"/>
  <c r="R1503" i="2"/>
  <c r="Q1503" i="2"/>
  <c r="P1503" i="2"/>
  <c r="O1503" i="2"/>
  <c r="M1503" i="2"/>
  <c r="L1503" i="2"/>
  <c r="R1502" i="2"/>
  <c r="Q1502" i="2"/>
  <c r="P1502" i="2"/>
  <c r="O1502" i="2"/>
  <c r="M1502" i="2"/>
  <c r="L1502" i="2"/>
  <c r="R1501" i="2"/>
  <c r="Q1501" i="2"/>
  <c r="P1501" i="2"/>
  <c r="O1501" i="2"/>
  <c r="M1501" i="2"/>
  <c r="L1501" i="2"/>
  <c r="R1500" i="2"/>
  <c r="Q1500" i="2"/>
  <c r="P1500" i="2"/>
  <c r="O1500" i="2"/>
  <c r="M1500" i="2"/>
  <c r="L1500" i="2"/>
  <c r="R1499" i="2"/>
  <c r="Q1499" i="2"/>
  <c r="P1499" i="2"/>
  <c r="O1499" i="2"/>
  <c r="M1499" i="2"/>
  <c r="L1499" i="2"/>
  <c r="R1498" i="2"/>
  <c r="Q1498" i="2"/>
  <c r="P1498" i="2"/>
  <c r="O1498" i="2"/>
  <c r="M1498" i="2"/>
  <c r="L1498" i="2"/>
  <c r="R1497" i="2"/>
  <c r="Q1497" i="2"/>
  <c r="P1497" i="2"/>
  <c r="O1497" i="2"/>
  <c r="M1497" i="2"/>
  <c r="L1497" i="2"/>
  <c r="R1496" i="2"/>
  <c r="Q1496" i="2"/>
  <c r="P1496" i="2"/>
  <c r="O1496" i="2"/>
  <c r="M1496" i="2"/>
  <c r="L1496" i="2"/>
  <c r="R1495" i="2"/>
  <c r="Q1495" i="2"/>
  <c r="P1495" i="2"/>
  <c r="O1495" i="2"/>
  <c r="M1495" i="2"/>
  <c r="L1495" i="2"/>
  <c r="R1494" i="2"/>
  <c r="Q1494" i="2"/>
  <c r="P1494" i="2"/>
  <c r="O1494" i="2"/>
  <c r="M1494" i="2"/>
  <c r="L1494" i="2"/>
  <c r="R1493" i="2"/>
  <c r="Q1493" i="2"/>
  <c r="P1493" i="2"/>
  <c r="O1493" i="2"/>
  <c r="M1493" i="2"/>
  <c r="L1493" i="2"/>
  <c r="R1492" i="2"/>
  <c r="Q1492" i="2"/>
  <c r="P1492" i="2"/>
  <c r="O1492" i="2"/>
  <c r="M1492" i="2"/>
  <c r="L1492" i="2"/>
  <c r="R1491" i="2"/>
  <c r="Q1491" i="2"/>
  <c r="P1491" i="2"/>
  <c r="O1491" i="2"/>
  <c r="M1491" i="2"/>
  <c r="L1491" i="2"/>
  <c r="R1490" i="2"/>
  <c r="Q1490" i="2"/>
  <c r="P1490" i="2"/>
  <c r="O1490" i="2"/>
  <c r="M1490" i="2"/>
  <c r="L1490" i="2"/>
  <c r="R1489" i="2"/>
  <c r="Q1489" i="2"/>
  <c r="P1489" i="2"/>
  <c r="O1489" i="2"/>
  <c r="M1489" i="2"/>
  <c r="L1489" i="2"/>
  <c r="R1488" i="2"/>
  <c r="Q1488" i="2"/>
  <c r="P1488" i="2"/>
  <c r="O1488" i="2"/>
  <c r="M1488" i="2"/>
  <c r="L1488" i="2"/>
  <c r="R1487" i="2"/>
  <c r="Q1487" i="2"/>
  <c r="P1487" i="2"/>
  <c r="O1487" i="2"/>
  <c r="M1487" i="2"/>
  <c r="L1487" i="2"/>
  <c r="R1486" i="2"/>
  <c r="Q1486" i="2"/>
  <c r="P1486" i="2"/>
  <c r="O1486" i="2"/>
  <c r="M1486" i="2"/>
  <c r="L1486" i="2"/>
  <c r="R1485" i="2"/>
  <c r="Q1485" i="2"/>
  <c r="P1485" i="2"/>
  <c r="O1485" i="2"/>
  <c r="M1485" i="2"/>
  <c r="L1485" i="2"/>
  <c r="R1484" i="2"/>
  <c r="Q1484" i="2"/>
  <c r="P1484" i="2"/>
  <c r="O1484" i="2"/>
  <c r="M1484" i="2"/>
  <c r="L1484" i="2"/>
  <c r="R1483" i="2"/>
  <c r="Q1483" i="2"/>
  <c r="P1483" i="2"/>
  <c r="O1483" i="2"/>
  <c r="M1483" i="2"/>
  <c r="L1483" i="2"/>
  <c r="R1482" i="2"/>
  <c r="Q1482" i="2"/>
  <c r="P1482" i="2"/>
  <c r="O1482" i="2"/>
  <c r="M1482" i="2"/>
  <c r="L1482" i="2"/>
  <c r="R1481" i="2"/>
  <c r="Q1481" i="2"/>
  <c r="P1481" i="2"/>
  <c r="O1481" i="2"/>
  <c r="M1481" i="2"/>
  <c r="L1481" i="2"/>
  <c r="R1480" i="2"/>
  <c r="Q1480" i="2"/>
  <c r="P1480" i="2"/>
  <c r="O1480" i="2"/>
  <c r="M1480" i="2"/>
  <c r="L1480" i="2"/>
  <c r="R1479" i="2"/>
  <c r="Q1479" i="2"/>
  <c r="P1479" i="2"/>
  <c r="O1479" i="2"/>
  <c r="M1479" i="2"/>
  <c r="L1479" i="2"/>
  <c r="R1478" i="2"/>
  <c r="Q1478" i="2"/>
  <c r="P1478" i="2"/>
  <c r="O1478" i="2"/>
  <c r="M1478" i="2"/>
  <c r="L1478" i="2"/>
  <c r="R1477" i="2"/>
  <c r="Q1477" i="2"/>
  <c r="P1477" i="2"/>
  <c r="O1477" i="2"/>
  <c r="M1477" i="2"/>
  <c r="L1477" i="2"/>
  <c r="R1476" i="2"/>
  <c r="Q1476" i="2"/>
  <c r="P1476" i="2"/>
  <c r="O1476" i="2"/>
  <c r="M1476" i="2"/>
  <c r="L1476" i="2"/>
  <c r="R1475" i="2"/>
  <c r="Q1475" i="2"/>
  <c r="P1475" i="2"/>
  <c r="O1475" i="2"/>
  <c r="M1475" i="2"/>
  <c r="L1475" i="2"/>
  <c r="R1474" i="2"/>
  <c r="Q1474" i="2"/>
  <c r="P1474" i="2"/>
  <c r="O1474" i="2"/>
  <c r="M1474" i="2"/>
  <c r="L1474" i="2"/>
  <c r="R1473" i="2"/>
  <c r="Q1473" i="2"/>
  <c r="P1473" i="2"/>
  <c r="O1473" i="2"/>
  <c r="M1473" i="2"/>
  <c r="L1473" i="2"/>
  <c r="R1472" i="2"/>
  <c r="Q1472" i="2"/>
  <c r="P1472" i="2"/>
  <c r="O1472" i="2"/>
  <c r="M1472" i="2"/>
  <c r="L1472" i="2"/>
  <c r="R1471" i="2"/>
  <c r="Q1471" i="2"/>
  <c r="P1471" i="2"/>
  <c r="O1471" i="2"/>
  <c r="M1471" i="2"/>
  <c r="L1471" i="2"/>
  <c r="R1470" i="2"/>
  <c r="Q1470" i="2"/>
  <c r="P1470" i="2"/>
  <c r="O1470" i="2"/>
  <c r="M1470" i="2"/>
  <c r="L1470" i="2"/>
  <c r="R1469" i="2"/>
  <c r="Q1469" i="2"/>
  <c r="P1469" i="2"/>
  <c r="O1469" i="2"/>
  <c r="M1469" i="2"/>
  <c r="L1469" i="2"/>
  <c r="R1468" i="2"/>
  <c r="Q1468" i="2"/>
  <c r="P1468" i="2"/>
  <c r="O1468" i="2"/>
  <c r="M1468" i="2"/>
  <c r="L1468" i="2"/>
  <c r="R1467" i="2"/>
  <c r="Q1467" i="2"/>
  <c r="P1467" i="2"/>
  <c r="O1467" i="2"/>
  <c r="M1467" i="2"/>
  <c r="L1467" i="2"/>
  <c r="R1466" i="2"/>
  <c r="Q1466" i="2"/>
  <c r="P1466" i="2"/>
  <c r="O1466" i="2"/>
  <c r="M1466" i="2"/>
  <c r="L1466" i="2"/>
  <c r="R1465" i="2"/>
  <c r="Q1465" i="2"/>
  <c r="P1465" i="2"/>
  <c r="O1465" i="2"/>
  <c r="M1465" i="2"/>
  <c r="L1465" i="2"/>
  <c r="R1464" i="2"/>
  <c r="Q1464" i="2"/>
  <c r="P1464" i="2"/>
  <c r="O1464" i="2"/>
  <c r="M1464" i="2"/>
  <c r="L1464" i="2"/>
  <c r="R1463" i="2"/>
  <c r="Q1463" i="2"/>
  <c r="P1463" i="2"/>
  <c r="O1463" i="2"/>
  <c r="M1463" i="2"/>
  <c r="L1463" i="2"/>
  <c r="R1462" i="2"/>
  <c r="Q1462" i="2"/>
  <c r="P1462" i="2"/>
  <c r="O1462" i="2"/>
  <c r="M1462" i="2"/>
  <c r="L1462" i="2"/>
  <c r="R1461" i="2"/>
  <c r="Q1461" i="2"/>
  <c r="P1461" i="2"/>
  <c r="O1461" i="2"/>
  <c r="M1461" i="2"/>
  <c r="L1461" i="2"/>
  <c r="R1460" i="2"/>
  <c r="Q1460" i="2"/>
  <c r="P1460" i="2"/>
  <c r="O1460" i="2"/>
  <c r="M1460" i="2"/>
  <c r="L1460" i="2"/>
  <c r="R1459" i="2"/>
  <c r="Q1459" i="2"/>
  <c r="P1459" i="2"/>
  <c r="O1459" i="2"/>
  <c r="M1459" i="2"/>
  <c r="L1459" i="2"/>
  <c r="R1458" i="2"/>
  <c r="Q1458" i="2"/>
  <c r="P1458" i="2"/>
  <c r="O1458" i="2"/>
  <c r="M1458" i="2"/>
  <c r="L1458" i="2"/>
  <c r="R1457" i="2"/>
  <c r="Q1457" i="2"/>
  <c r="P1457" i="2"/>
  <c r="O1457" i="2"/>
  <c r="M1457" i="2"/>
  <c r="L1457" i="2"/>
  <c r="R1456" i="2"/>
  <c r="Q1456" i="2"/>
  <c r="P1456" i="2"/>
  <c r="O1456" i="2"/>
  <c r="M1456" i="2"/>
  <c r="L1456" i="2"/>
  <c r="R1455" i="2"/>
  <c r="Q1455" i="2"/>
  <c r="P1455" i="2"/>
  <c r="O1455" i="2"/>
  <c r="M1455" i="2"/>
  <c r="L1455" i="2"/>
  <c r="R1454" i="2"/>
  <c r="Q1454" i="2"/>
  <c r="P1454" i="2"/>
  <c r="O1454" i="2"/>
  <c r="M1454" i="2"/>
  <c r="L1454" i="2"/>
  <c r="R1453" i="2"/>
  <c r="Q1453" i="2"/>
  <c r="P1453" i="2"/>
  <c r="O1453" i="2"/>
  <c r="M1453" i="2"/>
  <c r="L1453" i="2"/>
  <c r="R1452" i="2"/>
  <c r="Q1452" i="2"/>
  <c r="P1452" i="2"/>
  <c r="O1452" i="2"/>
  <c r="M1452" i="2"/>
  <c r="L1452" i="2"/>
  <c r="R1451" i="2"/>
  <c r="Q1451" i="2"/>
  <c r="P1451" i="2"/>
  <c r="O1451" i="2"/>
  <c r="M1451" i="2"/>
  <c r="L1451" i="2"/>
  <c r="R1450" i="2"/>
  <c r="Q1450" i="2"/>
  <c r="P1450" i="2"/>
  <c r="O1450" i="2"/>
  <c r="M1450" i="2"/>
  <c r="L1450" i="2"/>
  <c r="R1449" i="2"/>
  <c r="Q1449" i="2"/>
  <c r="P1449" i="2"/>
  <c r="O1449" i="2"/>
  <c r="M1449" i="2"/>
  <c r="L1449" i="2"/>
  <c r="R1448" i="2"/>
  <c r="Q1448" i="2"/>
  <c r="P1448" i="2"/>
  <c r="O1448" i="2"/>
  <c r="M1448" i="2"/>
  <c r="L1448" i="2"/>
  <c r="R1447" i="2"/>
  <c r="Q1447" i="2"/>
  <c r="P1447" i="2"/>
  <c r="O1447" i="2"/>
  <c r="M1447" i="2"/>
  <c r="L1447" i="2"/>
  <c r="R1446" i="2"/>
  <c r="Q1446" i="2"/>
  <c r="P1446" i="2"/>
  <c r="O1446" i="2"/>
  <c r="M1446" i="2"/>
  <c r="L1446" i="2"/>
  <c r="R1445" i="2"/>
  <c r="Q1445" i="2"/>
  <c r="P1445" i="2"/>
  <c r="O1445" i="2"/>
  <c r="M1445" i="2"/>
  <c r="L1445" i="2"/>
  <c r="R1444" i="2"/>
  <c r="Q1444" i="2"/>
  <c r="P1444" i="2"/>
  <c r="O1444" i="2"/>
  <c r="M1444" i="2"/>
  <c r="L1444" i="2"/>
  <c r="R1443" i="2"/>
  <c r="Q1443" i="2"/>
  <c r="P1443" i="2"/>
  <c r="O1443" i="2"/>
  <c r="M1443" i="2"/>
  <c r="L1443" i="2"/>
  <c r="R1442" i="2"/>
  <c r="Q1442" i="2"/>
  <c r="P1442" i="2"/>
  <c r="O1442" i="2"/>
  <c r="M1442" i="2"/>
  <c r="L1442" i="2"/>
  <c r="R1441" i="2"/>
  <c r="Q1441" i="2"/>
  <c r="P1441" i="2"/>
  <c r="O1441" i="2"/>
  <c r="M1441" i="2"/>
  <c r="L1441" i="2"/>
  <c r="R1440" i="2"/>
  <c r="Q1440" i="2"/>
  <c r="P1440" i="2"/>
  <c r="O1440" i="2"/>
  <c r="M1440" i="2"/>
  <c r="L1440" i="2"/>
  <c r="R1439" i="2"/>
  <c r="Q1439" i="2"/>
  <c r="P1439" i="2"/>
  <c r="O1439" i="2"/>
  <c r="M1439" i="2"/>
  <c r="L1439" i="2"/>
  <c r="R1438" i="2"/>
  <c r="Q1438" i="2"/>
  <c r="P1438" i="2"/>
  <c r="O1438" i="2"/>
  <c r="M1438" i="2"/>
  <c r="L1438" i="2"/>
  <c r="R1437" i="2"/>
  <c r="Q1437" i="2"/>
  <c r="P1437" i="2"/>
  <c r="O1437" i="2"/>
  <c r="M1437" i="2"/>
  <c r="L1437" i="2"/>
  <c r="R1436" i="2"/>
  <c r="Q1436" i="2"/>
  <c r="P1436" i="2"/>
  <c r="O1436" i="2"/>
  <c r="M1436" i="2"/>
  <c r="L1436" i="2"/>
  <c r="R1435" i="2"/>
  <c r="Q1435" i="2"/>
  <c r="P1435" i="2"/>
  <c r="O1435" i="2"/>
  <c r="M1435" i="2"/>
  <c r="L1435" i="2"/>
  <c r="R1434" i="2"/>
  <c r="Q1434" i="2"/>
  <c r="P1434" i="2"/>
  <c r="O1434" i="2"/>
  <c r="M1434" i="2"/>
  <c r="L1434" i="2"/>
  <c r="R1433" i="2"/>
  <c r="Q1433" i="2"/>
  <c r="P1433" i="2"/>
  <c r="O1433" i="2"/>
  <c r="M1433" i="2"/>
  <c r="L1433" i="2"/>
  <c r="R1432" i="2"/>
  <c r="Q1432" i="2"/>
  <c r="P1432" i="2"/>
  <c r="O1432" i="2"/>
  <c r="M1432" i="2"/>
  <c r="L1432" i="2"/>
  <c r="R1431" i="2"/>
  <c r="Q1431" i="2"/>
  <c r="P1431" i="2"/>
  <c r="O1431" i="2"/>
  <c r="M1431" i="2"/>
  <c r="L1431" i="2"/>
  <c r="R1430" i="2"/>
  <c r="Q1430" i="2"/>
  <c r="P1430" i="2"/>
  <c r="O1430" i="2"/>
  <c r="M1430" i="2"/>
  <c r="L1430" i="2"/>
  <c r="R1429" i="2"/>
  <c r="Q1429" i="2"/>
  <c r="P1429" i="2"/>
  <c r="O1429" i="2"/>
  <c r="M1429" i="2"/>
  <c r="L1429" i="2"/>
  <c r="R1428" i="2"/>
  <c r="Q1428" i="2"/>
  <c r="P1428" i="2"/>
  <c r="O1428" i="2"/>
  <c r="M1428" i="2"/>
  <c r="L1428" i="2"/>
  <c r="R1427" i="2"/>
  <c r="Q1427" i="2"/>
  <c r="P1427" i="2"/>
  <c r="O1427" i="2"/>
  <c r="M1427" i="2"/>
  <c r="L1427" i="2"/>
  <c r="R1426" i="2"/>
  <c r="Q1426" i="2"/>
  <c r="P1426" i="2"/>
  <c r="O1426" i="2"/>
  <c r="M1426" i="2"/>
  <c r="L1426" i="2"/>
  <c r="R1425" i="2"/>
  <c r="Q1425" i="2"/>
  <c r="P1425" i="2"/>
  <c r="O1425" i="2"/>
  <c r="M1425" i="2"/>
  <c r="L1425" i="2"/>
  <c r="R1424" i="2"/>
  <c r="Q1424" i="2"/>
  <c r="P1424" i="2"/>
  <c r="O1424" i="2"/>
  <c r="M1424" i="2"/>
  <c r="L1424" i="2"/>
  <c r="R1423" i="2"/>
  <c r="Q1423" i="2"/>
  <c r="P1423" i="2"/>
  <c r="O1423" i="2"/>
  <c r="M1423" i="2"/>
  <c r="L1423" i="2"/>
  <c r="R1422" i="2"/>
  <c r="Q1422" i="2"/>
  <c r="P1422" i="2"/>
  <c r="O1422" i="2"/>
  <c r="M1422" i="2"/>
  <c r="L1422" i="2"/>
  <c r="R1421" i="2"/>
  <c r="Q1421" i="2"/>
  <c r="P1421" i="2"/>
  <c r="O1421" i="2"/>
  <c r="M1421" i="2"/>
  <c r="L1421" i="2"/>
  <c r="R1420" i="2"/>
  <c r="Q1420" i="2"/>
  <c r="P1420" i="2"/>
  <c r="O1420" i="2"/>
  <c r="M1420" i="2"/>
  <c r="L1420" i="2"/>
  <c r="R1419" i="2"/>
  <c r="Q1419" i="2"/>
  <c r="P1419" i="2"/>
  <c r="O1419" i="2"/>
  <c r="M1419" i="2"/>
  <c r="L1419" i="2"/>
  <c r="R1418" i="2"/>
  <c r="Q1418" i="2"/>
  <c r="P1418" i="2"/>
  <c r="O1418" i="2"/>
  <c r="M1418" i="2"/>
  <c r="L1418" i="2"/>
  <c r="R1417" i="2"/>
  <c r="Q1417" i="2"/>
  <c r="P1417" i="2"/>
  <c r="O1417" i="2"/>
  <c r="M1417" i="2"/>
  <c r="L1417" i="2"/>
  <c r="R1416" i="2"/>
  <c r="Q1416" i="2"/>
  <c r="P1416" i="2"/>
  <c r="O1416" i="2"/>
  <c r="M1416" i="2"/>
  <c r="L1416" i="2"/>
  <c r="R1415" i="2"/>
  <c r="Q1415" i="2"/>
  <c r="P1415" i="2"/>
  <c r="O1415" i="2"/>
  <c r="M1415" i="2"/>
  <c r="L1415" i="2"/>
  <c r="R1414" i="2"/>
  <c r="Q1414" i="2"/>
  <c r="P1414" i="2"/>
  <c r="O1414" i="2"/>
  <c r="M1414" i="2"/>
  <c r="L1414" i="2"/>
  <c r="R1413" i="2"/>
  <c r="Q1413" i="2"/>
  <c r="P1413" i="2"/>
  <c r="O1413" i="2"/>
  <c r="M1413" i="2"/>
  <c r="L1413" i="2"/>
  <c r="R1412" i="2"/>
  <c r="Q1412" i="2"/>
  <c r="P1412" i="2"/>
  <c r="O1412" i="2"/>
  <c r="M1412" i="2"/>
  <c r="L1412" i="2"/>
  <c r="R1411" i="2"/>
  <c r="Q1411" i="2"/>
  <c r="P1411" i="2"/>
  <c r="O1411" i="2"/>
  <c r="M1411" i="2"/>
  <c r="L1411" i="2"/>
  <c r="R1410" i="2"/>
  <c r="Q1410" i="2"/>
  <c r="P1410" i="2"/>
  <c r="O1410" i="2"/>
  <c r="M1410" i="2"/>
  <c r="L1410" i="2"/>
  <c r="R1409" i="2"/>
  <c r="Q1409" i="2"/>
  <c r="P1409" i="2"/>
  <c r="O1409" i="2"/>
  <c r="M1409" i="2"/>
  <c r="L1409" i="2"/>
  <c r="R1408" i="2"/>
  <c r="Q1408" i="2"/>
  <c r="P1408" i="2"/>
  <c r="O1408" i="2"/>
  <c r="M1408" i="2"/>
  <c r="L1408" i="2"/>
  <c r="R1407" i="2"/>
  <c r="Q1407" i="2"/>
  <c r="P1407" i="2"/>
  <c r="O1407" i="2"/>
  <c r="M1407" i="2"/>
  <c r="L1407" i="2"/>
  <c r="R1406" i="2"/>
  <c r="Q1406" i="2"/>
  <c r="P1406" i="2"/>
  <c r="O1406" i="2"/>
  <c r="M1406" i="2"/>
  <c r="L1406" i="2"/>
  <c r="R1405" i="2"/>
  <c r="Q1405" i="2"/>
  <c r="P1405" i="2"/>
  <c r="O1405" i="2"/>
  <c r="M1405" i="2"/>
  <c r="L1405" i="2"/>
  <c r="R1404" i="2"/>
  <c r="Q1404" i="2"/>
  <c r="P1404" i="2"/>
  <c r="O1404" i="2"/>
  <c r="M1404" i="2"/>
  <c r="L1404" i="2"/>
  <c r="R1403" i="2"/>
  <c r="Q1403" i="2"/>
  <c r="P1403" i="2"/>
  <c r="O1403" i="2"/>
  <c r="M1403" i="2"/>
  <c r="L1403" i="2"/>
  <c r="R1402" i="2"/>
  <c r="Q1402" i="2"/>
  <c r="P1402" i="2"/>
  <c r="O1402" i="2"/>
  <c r="M1402" i="2"/>
  <c r="L1402" i="2"/>
  <c r="R1401" i="2"/>
  <c r="Q1401" i="2"/>
  <c r="P1401" i="2"/>
  <c r="O1401" i="2"/>
  <c r="M1401" i="2"/>
  <c r="L1401" i="2"/>
  <c r="R1400" i="2"/>
  <c r="Q1400" i="2"/>
  <c r="P1400" i="2"/>
  <c r="O1400" i="2"/>
  <c r="M1400" i="2"/>
  <c r="L1400" i="2"/>
  <c r="R1399" i="2"/>
  <c r="Q1399" i="2"/>
  <c r="P1399" i="2"/>
  <c r="O1399" i="2"/>
  <c r="M1399" i="2"/>
  <c r="L1399" i="2"/>
  <c r="R1398" i="2"/>
  <c r="Q1398" i="2"/>
  <c r="P1398" i="2"/>
  <c r="O1398" i="2"/>
  <c r="M1398" i="2"/>
  <c r="L1398" i="2"/>
  <c r="R1397" i="2"/>
  <c r="Q1397" i="2"/>
  <c r="P1397" i="2"/>
  <c r="O1397" i="2"/>
  <c r="M1397" i="2"/>
  <c r="L1397" i="2"/>
  <c r="R1396" i="2"/>
  <c r="Q1396" i="2"/>
  <c r="P1396" i="2"/>
  <c r="O1396" i="2"/>
  <c r="M1396" i="2"/>
  <c r="L1396" i="2"/>
  <c r="R1395" i="2"/>
  <c r="Q1395" i="2"/>
  <c r="P1395" i="2"/>
  <c r="O1395" i="2"/>
  <c r="M1395" i="2"/>
  <c r="L1395" i="2"/>
  <c r="R1394" i="2"/>
  <c r="Q1394" i="2"/>
  <c r="P1394" i="2"/>
  <c r="O1394" i="2"/>
  <c r="M1394" i="2"/>
  <c r="L1394" i="2"/>
  <c r="R1393" i="2"/>
  <c r="Q1393" i="2"/>
  <c r="P1393" i="2"/>
  <c r="O1393" i="2"/>
  <c r="M1393" i="2"/>
  <c r="L1393" i="2"/>
  <c r="R1392" i="2"/>
  <c r="Q1392" i="2"/>
  <c r="P1392" i="2"/>
  <c r="O1392" i="2"/>
  <c r="M1392" i="2"/>
  <c r="L1392" i="2"/>
  <c r="R1391" i="2"/>
  <c r="Q1391" i="2"/>
  <c r="P1391" i="2"/>
  <c r="O1391" i="2"/>
  <c r="M1391" i="2"/>
  <c r="L1391" i="2"/>
  <c r="R1390" i="2"/>
  <c r="Q1390" i="2"/>
  <c r="P1390" i="2"/>
  <c r="O1390" i="2"/>
  <c r="M1390" i="2"/>
  <c r="L1390" i="2"/>
  <c r="R1389" i="2"/>
  <c r="Q1389" i="2"/>
  <c r="P1389" i="2"/>
  <c r="O1389" i="2"/>
  <c r="M1389" i="2"/>
  <c r="L1389" i="2"/>
  <c r="R1388" i="2"/>
  <c r="Q1388" i="2"/>
  <c r="P1388" i="2"/>
  <c r="O1388" i="2"/>
  <c r="M1388" i="2"/>
  <c r="L1388" i="2"/>
  <c r="R1387" i="2"/>
  <c r="Q1387" i="2"/>
  <c r="P1387" i="2"/>
  <c r="O1387" i="2"/>
  <c r="M1387" i="2"/>
  <c r="L1387" i="2"/>
  <c r="R1386" i="2"/>
  <c r="Q1386" i="2"/>
  <c r="P1386" i="2"/>
  <c r="O1386" i="2"/>
  <c r="M1386" i="2"/>
  <c r="L1386" i="2"/>
  <c r="R1385" i="2"/>
  <c r="Q1385" i="2"/>
  <c r="P1385" i="2"/>
  <c r="O1385" i="2"/>
  <c r="M1385" i="2"/>
  <c r="L1385" i="2"/>
  <c r="R1384" i="2"/>
  <c r="Q1384" i="2"/>
  <c r="P1384" i="2"/>
  <c r="O1384" i="2"/>
  <c r="M1384" i="2"/>
  <c r="L1384" i="2"/>
  <c r="R1383" i="2"/>
  <c r="Q1383" i="2"/>
  <c r="P1383" i="2"/>
  <c r="O1383" i="2"/>
  <c r="M1383" i="2"/>
  <c r="L1383" i="2"/>
  <c r="R1382" i="2"/>
  <c r="Q1382" i="2"/>
  <c r="P1382" i="2"/>
  <c r="O1382" i="2"/>
  <c r="M1382" i="2"/>
  <c r="L1382" i="2"/>
  <c r="R1381" i="2"/>
  <c r="Q1381" i="2"/>
  <c r="P1381" i="2"/>
  <c r="O1381" i="2"/>
  <c r="M1381" i="2"/>
  <c r="L1381" i="2"/>
  <c r="R1380" i="2"/>
  <c r="Q1380" i="2"/>
  <c r="P1380" i="2"/>
  <c r="O1380" i="2"/>
  <c r="M1380" i="2"/>
  <c r="L1380" i="2"/>
  <c r="R1379" i="2"/>
  <c r="Q1379" i="2"/>
  <c r="P1379" i="2"/>
  <c r="O1379" i="2"/>
  <c r="M1379" i="2"/>
  <c r="L1379" i="2"/>
  <c r="R1378" i="2"/>
  <c r="Q1378" i="2"/>
  <c r="P1378" i="2"/>
  <c r="O1378" i="2"/>
  <c r="M1378" i="2"/>
  <c r="L1378" i="2"/>
  <c r="R1377" i="2"/>
  <c r="Q1377" i="2"/>
  <c r="P1377" i="2"/>
  <c r="O1377" i="2"/>
  <c r="M1377" i="2"/>
  <c r="L1377" i="2"/>
  <c r="R1376" i="2"/>
  <c r="Q1376" i="2"/>
  <c r="P1376" i="2"/>
  <c r="O1376" i="2"/>
  <c r="M1376" i="2"/>
  <c r="L1376" i="2"/>
  <c r="R1375" i="2"/>
  <c r="Q1375" i="2"/>
  <c r="P1375" i="2"/>
  <c r="O1375" i="2"/>
  <c r="M1375" i="2"/>
  <c r="L1375" i="2"/>
  <c r="R1374" i="2"/>
  <c r="Q1374" i="2"/>
  <c r="P1374" i="2"/>
  <c r="O1374" i="2"/>
  <c r="M1374" i="2"/>
  <c r="L1374" i="2"/>
  <c r="R1373" i="2"/>
  <c r="Q1373" i="2"/>
  <c r="P1373" i="2"/>
  <c r="O1373" i="2"/>
  <c r="M1373" i="2"/>
  <c r="L1373" i="2"/>
  <c r="R1372" i="2"/>
  <c r="Q1372" i="2"/>
  <c r="P1372" i="2"/>
  <c r="O1372" i="2"/>
  <c r="M1372" i="2"/>
  <c r="L1372" i="2"/>
  <c r="R1371" i="2"/>
  <c r="Q1371" i="2"/>
  <c r="P1371" i="2"/>
  <c r="O1371" i="2"/>
  <c r="M1371" i="2"/>
  <c r="L1371" i="2"/>
  <c r="R1370" i="2"/>
  <c r="Q1370" i="2"/>
  <c r="P1370" i="2"/>
  <c r="O1370" i="2"/>
  <c r="M1370" i="2"/>
  <c r="L1370" i="2"/>
  <c r="R1369" i="2"/>
  <c r="Q1369" i="2"/>
  <c r="P1369" i="2"/>
  <c r="O1369" i="2"/>
  <c r="M1369" i="2"/>
  <c r="L1369" i="2"/>
  <c r="R1368" i="2"/>
  <c r="Q1368" i="2"/>
  <c r="P1368" i="2"/>
  <c r="O1368" i="2"/>
  <c r="M1368" i="2"/>
  <c r="L1368" i="2"/>
  <c r="R1367" i="2"/>
  <c r="Q1367" i="2"/>
  <c r="P1367" i="2"/>
  <c r="O1367" i="2"/>
  <c r="M1367" i="2"/>
  <c r="L1367" i="2"/>
  <c r="R1366" i="2"/>
  <c r="Q1366" i="2"/>
  <c r="P1366" i="2"/>
  <c r="O1366" i="2"/>
  <c r="M1366" i="2"/>
  <c r="L1366" i="2"/>
  <c r="R1365" i="2"/>
  <c r="Q1365" i="2"/>
  <c r="P1365" i="2"/>
  <c r="O1365" i="2"/>
  <c r="M1365" i="2"/>
  <c r="L1365" i="2"/>
  <c r="R1364" i="2"/>
  <c r="Q1364" i="2"/>
  <c r="P1364" i="2"/>
  <c r="O1364" i="2"/>
  <c r="M1364" i="2"/>
  <c r="L1364" i="2"/>
  <c r="R1363" i="2"/>
  <c r="Q1363" i="2"/>
  <c r="P1363" i="2"/>
  <c r="O1363" i="2"/>
  <c r="M1363" i="2"/>
  <c r="L1363" i="2"/>
  <c r="R1362" i="2"/>
  <c r="Q1362" i="2"/>
  <c r="P1362" i="2"/>
  <c r="O1362" i="2"/>
  <c r="M1362" i="2"/>
  <c r="L1362" i="2"/>
  <c r="R1361" i="2"/>
  <c r="Q1361" i="2"/>
  <c r="P1361" i="2"/>
  <c r="O1361" i="2"/>
  <c r="M1361" i="2"/>
  <c r="L1361" i="2"/>
  <c r="R1360" i="2"/>
  <c r="Q1360" i="2"/>
  <c r="P1360" i="2"/>
  <c r="O1360" i="2"/>
  <c r="M1360" i="2"/>
  <c r="L1360" i="2"/>
  <c r="R1359" i="2"/>
  <c r="Q1359" i="2"/>
  <c r="P1359" i="2"/>
  <c r="O1359" i="2"/>
  <c r="M1359" i="2"/>
  <c r="L1359" i="2"/>
  <c r="R1358" i="2"/>
  <c r="Q1358" i="2"/>
  <c r="P1358" i="2"/>
  <c r="O1358" i="2"/>
  <c r="M1358" i="2"/>
  <c r="L1358" i="2"/>
  <c r="R1357" i="2"/>
  <c r="Q1357" i="2"/>
  <c r="P1357" i="2"/>
  <c r="O1357" i="2"/>
  <c r="M1357" i="2"/>
  <c r="L1357" i="2"/>
  <c r="R1356" i="2"/>
  <c r="Q1356" i="2"/>
  <c r="P1356" i="2"/>
  <c r="O1356" i="2"/>
  <c r="M1356" i="2"/>
  <c r="L1356" i="2"/>
  <c r="R1355" i="2"/>
  <c r="Q1355" i="2"/>
  <c r="P1355" i="2"/>
  <c r="O1355" i="2"/>
  <c r="M1355" i="2"/>
  <c r="L1355" i="2"/>
  <c r="R1354" i="2"/>
  <c r="Q1354" i="2"/>
  <c r="P1354" i="2"/>
  <c r="O1354" i="2"/>
  <c r="M1354" i="2"/>
  <c r="L1354" i="2"/>
  <c r="R1353" i="2"/>
  <c r="Q1353" i="2"/>
  <c r="P1353" i="2"/>
  <c r="O1353" i="2"/>
  <c r="M1353" i="2"/>
  <c r="L1353" i="2"/>
  <c r="R1352" i="2"/>
  <c r="Q1352" i="2"/>
  <c r="P1352" i="2"/>
  <c r="O1352" i="2"/>
  <c r="M1352" i="2"/>
  <c r="L1352" i="2"/>
  <c r="R1351" i="2"/>
  <c r="Q1351" i="2"/>
  <c r="P1351" i="2"/>
  <c r="O1351" i="2"/>
  <c r="M1351" i="2"/>
  <c r="L1351" i="2"/>
  <c r="R1350" i="2"/>
  <c r="Q1350" i="2"/>
  <c r="P1350" i="2"/>
  <c r="O1350" i="2"/>
  <c r="M1350" i="2"/>
  <c r="L1350" i="2"/>
  <c r="R1349" i="2"/>
  <c r="Q1349" i="2"/>
  <c r="P1349" i="2"/>
  <c r="O1349" i="2"/>
  <c r="M1349" i="2"/>
  <c r="L1349" i="2"/>
  <c r="R1348" i="2"/>
  <c r="Q1348" i="2"/>
  <c r="P1348" i="2"/>
  <c r="O1348" i="2"/>
  <c r="M1348" i="2"/>
  <c r="L1348" i="2"/>
  <c r="R1347" i="2"/>
  <c r="Q1347" i="2"/>
  <c r="P1347" i="2"/>
  <c r="O1347" i="2"/>
  <c r="M1347" i="2"/>
  <c r="L1347" i="2"/>
  <c r="R1346" i="2"/>
  <c r="Q1346" i="2"/>
  <c r="P1346" i="2"/>
  <c r="O1346" i="2"/>
  <c r="M1346" i="2"/>
  <c r="L1346" i="2"/>
  <c r="R1345" i="2"/>
  <c r="Q1345" i="2"/>
  <c r="P1345" i="2"/>
  <c r="O1345" i="2"/>
  <c r="M1345" i="2"/>
  <c r="L1345" i="2"/>
  <c r="R1344" i="2"/>
  <c r="Q1344" i="2"/>
  <c r="P1344" i="2"/>
  <c r="O1344" i="2"/>
  <c r="M1344" i="2"/>
  <c r="L1344" i="2"/>
  <c r="R1343" i="2"/>
  <c r="Q1343" i="2"/>
  <c r="P1343" i="2"/>
  <c r="O1343" i="2"/>
  <c r="M1343" i="2"/>
  <c r="L1343" i="2"/>
  <c r="R1342" i="2"/>
  <c r="Q1342" i="2"/>
  <c r="P1342" i="2"/>
  <c r="O1342" i="2"/>
  <c r="M1342" i="2"/>
  <c r="L1342" i="2"/>
  <c r="R1341" i="2"/>
  <c r="Q1341" i="2"/>
  <c r="P1341" i="2"/>
  <c r="O1341" i="2"/>
  <c r="M1341" i="2"/>
  <c r="L1341" i="2"/>
  <c r="R1340" i="2"/>
  <c r="Q1340" i="2"/>
  <c r="P1340" i="2"/>
  <c r="O1340" i="2"/>
  <c r="M1340" i="2"/>
  <c r="L1340" i="2"/>
  <c r="R1339" i="2"/>
  <c r="Q1339" i="2"/>
  <c r="P1339" i="2"/>
  <c r="O1339" i="2"/>
  <c r="M1339" i="2"/>
  <c r="L1339" i="2"/>
  <c r="R1338" i="2"/>
  <c r="Q1338" i="2"/>
  <c r="P1338" i="2"/>
  <c r="O1338" i="2"/>
  <c r="M1338" i="2"/>
  <c r="L1338" i="2"/>
  <c r="R1337" i="2"/>
  <c r="Q1337" i="2"/>
  <c r="P1337" i="2"/>
  <c r="O1337" i="2"/>
  <c r="M1337" i="2"/>
  <c r="L1337" i="2"/>
  <c r="R1336" i="2"/>
  <c r="Q1336" i="2"/>
  <c r="P1336" i="2"/>
  <c r="O1336" i="2"/>
  <c r="M1336" i="2"/>
  <c r="L1336" i="2"/>
  <c r="R1335" i="2"/>
  <c r="Q1335" i="2"/>
  <c r="P1335" i="2"/>
  <c r="O1335" i="2"/>
  <c r="M1335" i="2"/>
  <c r="L1335" i="2"/>
  <c r="R1334" i="2"/>
  <c r="Q1334" i="2"/>
  <c r="P1334" i="2"/>
  <c r="O1334" i="2"/>
  <c r="M1334" i="2"/>
  <c r="L1334" i="2"/>
  <c r="R1333" i="2"/>
  <c r="Q1333" i="2"/>
  <c r="P1333" i="2"/>
  <c r="O1333" i="2"/>
  <c r="M1333" i="2"/>
  <c r="L1333" i="2"/>
  <c r="R1332" i="2"/>
  <c r="Q1332" i="2"/>
  <c r="P1332" i="2"/>
  <c r="O1332" i="2"/>
  <c r="M1332" i="2"/>
  <c r="L1332" i="2"/>
  <c r="R1331" i="2"/>
  <c r="Q1331" i="2"/>
  <c r="P1331" i="2"/>
  <c r="O1331" i="2"/>
  <c r="M1331" i="2"/>
  <c r="L1331" i="2"/>
  <c r="R1330" i="2"/>
  <c r="Q1330" i="2"/>
  <c r="P1330" i="2"/>
  <c r="O1330" i="2"/>
  <c r="M1330" i="2"/>
  <c r="L1330" i="2"/>
  <c r="R1329" i="2"/>
  <c r="Q1329" i="2"/>
  <c r="P1329" i="2"/>
  <c r="O1329" i="2"/>
  <c r="M1329" i="2"/>
  <c r="L1329" i="2"/>
  <c r="R1328" i="2"/>
  <c r="Q1328" i="2"/>
  <c r="P1328" i="2"/>
  <c r="O1328" i="2"/>
  <c r="M1328" i="2"/>
  <c r="L1328" i="2"/>
  <c r="R1327" i="2"/>
  <c r="Q1327" i="2"/>
  <c r="P1327" i="2"/>
  <c r="O1327" i="2"/>
  <c r="M1327" i="2"/>
  <c r="L1327" i="2"/>
  <c r="R1326" i="2"/>
  <c r="Q1326" i="2"/>
  <c r="P1326" i="2"/>
  <c r="O1326" i="2"/>
  <c r="M1326" i="2"/>
  <c r="L1326" i="2"/>
  <c r="R1325" i="2"/>
  <c r="Q1325" i="2"/>
  <c r="P1325" i="2"/>
  <c r="O1325" i="2"/>
  <c r="M1325" i="2"/>
  <c r="L1325" i="2"/>
  <c r="R1324" i="2"/>
  <c r="Q1324" i="2"/>
  <c r="P1324" i="2"/>
  <c r="O1324" i="2"/>
  <c r="M1324" i="2"/>
  <c r="L1324" i="2"/>
  <c r="R1323" i="2"/>
  <c r="Q1323" i="2"/>
  <c r="P1323" i="2"/>
  <c r="O1323" i="2"/>
  <c r="M1323" i="2"/>
  <c r="L1323" i="2"/>
  <c r="R1322" i="2"/>
  <c r="Q1322" i="2"/>
  <c r="P1322" i="2"/>
  <c r="O1322" i="2"/>
  <c r="M1322" i="2"/>
  <c r="L1322" i="2"/>
  <c r="R1321" i="2"/>
  <c r="Q1321" i="2"/>
  <c r="P1321" i="2"/>
  <c r="O1321" i="2"/>
  <c r="M1321" i="2"/>
  <c r="L1321" i="2"/>
  <c r="R1320" i="2"/>
  <c r="Q1320" i="2"/>
  <c r="P1320" i="2"/>
  <c r="O1320" i="2"/>
  <c r="M1320" i="2"/>
  <c r="L1320" i="2"/>
  <c r="R1319" i="2"/>
  <c r="Q1319" i="2"/>
  <c r="P1319" i="2"/>
  <c r="O1319" i="2"/>
  <c r="M1319" i="2"/>
  <c r="L1319" i="2"/>
  <c r="R1318" i="2"/>
  <c r="Q1318" i="2"/>
  <c r="P1318" i="2"/>
  <c r="O1318" i="2"/>
  <c r="M1318" i="2"/>
  <c r="L1318" i="2"/>
  <c r="R1317" i="2"/>
  <c r="Q1317" i="2"/>
  <c r="P1317" i="2"/>
  <c r="O1317" i="2"/>
  <c r="M1317" i="2"/>
  <c r="L1317" i="2"/>
  <c r="R1316" i="2"/>
  <c r="Q1316" i="2"/>
  <c r="P1316" i="2"/>
  <c r="O1316" i="2"/>
  <c r="M1316" i="2"/>
  <c r="L1316" i="2"/>
  <c r="R1315" i="2"/>
  <c r="Q1315" i="2"/>
  <c r="P1315" i="2"/>
  <c r="O1315" i="2"/>
  <c r="M1315" i="2"/>
  <c r="L1315" i="2"/>
  <c r="R1314" i="2"/>
  <c r="Q1314" i="2"/>
  <c r="P1314" i="2"/>
  <c r="O1314" i="2"/>
  <c r="M1314" i="2"/>
  <c r="L1314" i="2"/>
  <c r="R1313" i="2"/>
  <c r="Q1313" i="2"/>
  <c r="P1313" i="2"/>
  <c r="O1313" i="2"/>
  <c r="M1313" i="2"/>
  <c r="L1313" i="2"/>
  <c r="R1312" i="2"/>
  <c r="Q1312" i="2"/>
  <c r="P1312" i="2"/>
  <c r="O1312" i="2"/>
  <c r="M1312" i="2"/>
  <c r="L1312" i="2"/>
  <c r="R1311" i="2"/>
  <c r="Q1311" i="2"/>
  <c r="P1311" i="2"/>
  <c r="O1311" i="2"/>
  <c r="M1311" i="2"/>
  <c r="L1311" i="2"/>
  <c r="R1310" i="2"/>
  <c r="Q1310" i="2"/>
  <c r="P1310" i="2"/>
  <c r="O1310" i="2"/>
  <c r="M1310" i="2"/>
  <c r="L1310" i="2"/>
  <c r="R1309" i="2"/>
  <c r="Q1309" i="2"/>
  <c r="P1309" i="2"/>
  <c r="O1309" i="2"/>
  <c r="M1309" i="2"/>
  <c r="L1309" i="2"/>
  <c r="R1308" i="2"/>
  <c r="Q1308" i="2"/>
  <c r="P1308" i="2"/>
  <c r="O1308" i="2"/>
  <c r="M1308" i="2"/>
  <c r="L1308" i="2"/>
  <c r="R1307" i="2"/>
  <c r="Q1307" i="2"/>
  <c r="P1307" i="2"/>
  <c r="O1307" i="2"/>
  <c r="M1307" i="2"/>
  <c r="L1307" i="2"/>
  <c r="R1306" i="2"/>
  <c r="Q1306" i="2"/>
  <c r="P1306" i="2"/>
  <c r="O1306" i="2"/>
  <c r="M1306" i="2"/>
  <c r="L1306" i="2"/>
  <c r="R1305" i="2"/>
  <c r="Q1305" i="2"/>
  <c r="P1305" i="2"/>
  <c r="O1305" i="2"/>
  <c r="M1305" i="2"/>
  <c r="L1305" i="2"/>
  <c r="R1304" i="2"/>
  <c r="Q1304" i="2"/>
  <c r="P1304" i="2"/>
  <c r="O1304" i="2"/>
  <c r="M1304" i="2"/>
  <c r="L1304" i="2"/>
  <c r="R1303" i="2"/>
  <c r="Q1303" i="2"/>
  <c r="P1303" i="2"/>
  <c r="O1303" i="2"/>
  <c r="M1303" i="2"/>
  <c r="L1303" i="2"/>
  <c r="R1302" i="2"/>
  <c r="Q1302" i="2"/>
  <c r="P1302" i="2"/>
  <c r="O1302" i="2"/>
  <c r="M1302" i="2"/>
  <c r="L1302" i="2"/>
  <c r="R1301" i="2"/>
  <c r="Q1301" i="2"/>
  <c r="P1301" i="2"/>
  <c r="O1301" i="2"/>
  <c r="M1301" i="2"/>
  <c r="L1301" i="2"/>
  <c r="R1300" i="2"/>
  <c r="Q1300" i="2"/>
  <c r="P1300" i="2"/>
  <c r="O1300" i="2"/>
  <c r="M1300" i="2"/>
  <c r="L1300" i="2"/>
  <c r="R1299" i="2"/>
  <c r="Q1299" i="2"/>
  <c r="P1299" i="2"/>
  <c r="O1299" i="2"/>
  <c r="M1299" i="2"/>
  <c r="L1299" i="2"/>
  <c r="R1298" i="2"/>
  <c r="Q1298" i="2"/>
  <c r="P1298" i="2"/>
  <c r="O1298" i="2"/>
  <c r="M1298" i="2"/>
  <c r="L1298" i="2"/>
  <c r="R1297" i="2"/>
  <c r="Q1297" i="2"/>
  <c r="P1297" i="2"/>
  <c r="O1297" i="2"/>
  <c r="M1297" i="2"/>
  <c r="L1297" i="2"/>
  <c r="R1296" i="2"/>
  <c r="Q1296" i="2"/>
  <c r="P1296" i="2"/>
  <c r="O1296" i="2"/>
  <c r="M1296" i="2"/>
  <c r="L1296" i="2"/>
  <c r="R1295" i="2"/>
  <c r="Q1295" i="2"/>
  <c r="P1295" i="2"/>
  <c r="O1295" i="2"/>
  <c r="M1295" i="2"/>
  <c r="L1295" i="2"/>
  <c r="R1294" i="2"/>
  <c r="Q1294" i="2"/>
  <c r="P1294" i="2"/>
  <c r="O1294" i="2"/>
  <c r="M1294" i="2"/>
  <c r="L1294" i="2"/>
  <c r="R1293" i="2"/>
  <c r="Q1293" i="2"/>
  <c r="P1293" i="2"/>
  <c r="O1293" i="2"/>
  <c r="M1293" i="2"/>
  <c r="L1293" i="2"/>
  <c r="R1292" i="2"/>
  <c r="Q1292" i="2"/>
  <c r="P1292" i="2"/>
  <c r="O1292" i="2"/>
  <c r="M1292" i="2"/>
  <c r="L1292" i="2"/>
  <c r="R1291" i="2"/>
  <c r="Q1291" i="2"/>
  <c r="P1291" i="2"/>
  <c r="O1291" i="2"/>
  <c r="M1291" i="2"/>
  <c r="L1291" i="2"/>
  <c r="R1290" i="2"/>
  <c r="Q1290" i="2"/>
  <c r="P1290" i="2"/>
  <c r="O1290" i="2"/>
  <c r="M1290" i="2"/>
  <c r="L1290" i="2"/>
  <c r="R1289" i="2"/>
  <c r="Q1289" i="2"/>
  <c r="P1289" i="2"/>
  <c r="O1289" i="2"/>
  <c r="M1289" i="2"/>
  <c r="L1289" i="2"/>
  <c r="R1288" i="2"/>
  <c r="Q1288" i="2"/>
  <c r="P1288" i="2"/>
  <c r="O1288" i="2"/>
  <c r="M1288" i="2"/>
  <c r="L1288" i="2"/>
  <c r="R1287" i="2"/>
  <c r="Q1287" i="2"/>
  <c r="P1287" i="2"/>
  <c r="O1287" i="2"/>
  <c r="M1287" i="2"/>
  <c r="L1287" i="2"/>
  <c r="R1286" i="2"/>
  <c r="Q1286" i="2"/>
  <c r="P1286" i="2"/>
  <c r="O1286" i="2"/>
  <c r="M1286" i="2"/>
  <c r="L1286" i="2"/>
  <c r="R1285" i="2"/>
  <c r="Q1285" i="2"/>
  <c r="P1285" i="2"/>
  <c r="O1285" i="2"/>
  <c r="M1285" i="2"/>
  <c r="L1285" i="2"/>
  <c r="R1284" i="2"/>
  <c r="Q1284" i="2"/>
  <c r="P1284" i="2"/>
  <c r="O1284" i="2"/>
  <c r="M1284" i="2"/>
  <c r="L1284" i="2"/>
  <c r="R1283" i="2"/>
  <c r="Q1283" i="2"/>
  <c r="P1283" i="2"/>
  <c r="O1283" i="2"/>
  <c r="M1283" i="2"/>
  <c r="L1283" i="2"/>
  <c r="R1282" i="2"/>
  <c r="Q1282" i="2"/>
  <c r="P1282" i="2"/>
  <c r="O1282" i="2"/>
  <c r="M1282" i="2"/>
  <c r="L1282" i="2"/>
  <c r="R1281" i="2"/>
  <c r="Q1281" i="2"/>
  <c r="P1281" i="2"/>
  <c r="O1281" i="2"/>
  <c r="M1281" i="2"/>
  <c r="L1281" i="2"/>
  <c r="R1280" i="2"/>
  <c r="Q1280" i="2"/>
  <c r="P1280" i="2"/>
  <c r="O1280" i="2"/>
  <c r="M1280" i="2"/>
  <c r="L1280" i="2"/>
  <c r="R1279" i="2"/>
  <c r="Q1279" i="2"/>
  <c r="P1279" i="2"/>
  <c r="O1279" i="2"/>
  <c r="M1279" i="2"/>
  <c r="L1279" i="2"/>
  <c r="R1278" i="2"/>
  <c r="Q1278" i="2"/>
  <c r="P1278" i="2"/>
  <c r="O1278" i="2"/>
  <c r="M1278" i="2"/>
  <c r="L1278" i="2"/>
  <c r="R1277" i="2"/>
  <c r="Q1277" i="2"/>
  <c r="P1277" i="2"/>
  <c r="O1277" i="2"/>
  <c r="M1277" i="2"/>
  <c r="L1277" i="2"/>
  <c r="R1276" i="2"/>
  <c r="Q1276" i="2"/>
  <c r="P1276" i="2"/>
  <c r="O1276" i="2"/>
  <c r="M1276" i="2"/>
  <c r="L1276" i="2"/>
  <c r="R1275" i="2"/>
  <c r="Q1275" i="2"/>
  <c r="P1275" i="2"/>
  <c r="O1275" i="2"/>
  <c r="M1275" i="2"/>
  <c r="L1275" i="2"/>
  <c r="R1274" i="2"/>
  <c r="Q1274" i="2"/>
  <c r="P1274" i="2"/>
  <c r="O1274" i="2"/>
  <c r="M1274" i="2"/>
  <c r="L1274" i="2"/>
  <c r="R1273" i="2"/>
  <c r="Q1273" i="2"/>
  <c r="P1273" i="2"/>
  <c r="O1273" i="2"/>
  <c r="M1273" i="2"/>
  <c r="L1273" i="2"/>
  <c r="R1272" i="2"/>
  <c r="Q1272" i="2"/>
  <c r="P1272" i="2"/>
  <c r="O1272" i="2"/>
  <c r="M1272" i="2"/>
  <c r="L1272" i="2"/>
  <c r="R1271" i="2"/>
  <c r="Q1271" i="2"/>
  <c r="P1271" i="2"/>
  <c r="O1271" i="2"/>
  <c r="M1271" i="2"/>
  <c r="L1271" i="2"/>
  <c r="R1270" i="2"/>
  <c r="Q1270" i="2"/>
  <c r="P1270" i="2"/>
  <c r="O1270" i="2"/>
  <c r="M1270" i="2"/>
  <c r="L1270" i="2"/>
  <c r="R1269" i="2"/>
  <c r="Q1269" i="2"/>
  <c r="P1269" i="2"/>
  <c r="O1269" i="2"/>
  <c r="M1269" i="2"/>
  <c r="L1269" i="2"/>
  <c r="R1268" i="2"/>
  <c r="Q1268" i="2"/>
  <c r="P1268" i="2"/>
  <c r="O1268" i="2"/>
  <c r="M1268" i="2"/>
  <c r="L1268" i="2"/>
  <c r="R1267" i="2"/>
  <c r="Q1267" i="2"/>
  <c r="P1267" i="2"/>
  <c r="O1267" i="2"/>
  <c r="M1267" i="2"/>
  <c r="L1267" i="2"/>
  <c r="R1266" i="2"/>
  <c r="Q1266" i="2"/>
  <c r="P1266" i="2"/>
  <c r="O1266" i="2"/>
  <c r="M1266" i="2"/>
  <c r="L1266" i="2"/>
  <c r="R1265" i="2"/>
  <c r="Q1265" i="2"/>
  <c r="P1265" i="2"/>
  <c r="O1265" i="2"/>
  <c r="M1265" i="2"/>
  <c r="L1265" i="2"/>
  <c r="R1264" i="2"/>
  <c r="Q1264" i="2"/>
  <c r="P1264" i="2"/>
  <c r="O1264" i="2"/>
  <c r="M1264" i="2"/>
  <c r="L1264" i="2"/>
  <c r="R1263" i="2"/>
  <c r="Q1263" i="2"/>
  <c r="P1263" i="2"/>
  <c r="O1263" i="2"/>
  <c r="M1263" i="2"/>
  <c r="L1263" i="2"/>
  <c r="R1262" i="2"/>
  <c r="Q1262" i="2"/>
  <c r="P1262" i="2"/>
  <c r="O1262" i="2"/>
  <c r="M1262" i="2"/>
  <c r="L1262" i="2"/>
  <c r="R1261" i="2"/>
  <c r="Q1261" i="2"/>
  <c r="P1261" i="2"/>
  <c r="O1261" i="2"/>
  <c r="M1261" i="2"/>
  <c r="L1261" i="2"/>
  <c r="R1260" i="2"/>
  <c r="Q1260" i="2"/>
  <c r="P1260" i="2"/>
  <c r="O1260" i="2"/>
  <c r="M1260" i="2"/>
  <c r="L1260" i="2"/>
  <c r="R1259" i="2"/>
  <c r="Q1259" i="2"/>
  <c r="P1259" i="2"/>
  <c r="O1259" i="2"/>
  <c r="M1259" i="2"/>
  <c r="L1259" i="2"/>
  <c r="R1258" i="2"/>
  <c r="Q1258" i="2"/>
  <c r="P1258" i="2"/>
  <c r="O1258" i="2"/>
  <c r="M1258" i="2"/>
  <c r="L1258" i="2"/>
  <c r="R1257" i="2"/>
  <c r="Q1257" i="2"/>
  <c r="P1257" i="2"/>
  <c r="O1257" i="2"/>
  <c r="M1257" i="2"/>
  <c r="L1257" i="2"/>
  <c r="R1256" i="2"/>
  <c r="Q1256" i="2"/>
  <c r="P1256" i="2"/>
  <c r="O1256" i="2"/>
  <c r="M1256" i="2"/>
  <c r="L1256" i="2"/>
  <c r="R1255" i="2"/>
  <c r="Q1255" i="2"/>
  <c r="P1255" i="2"/>
  <c r="O1255" i="2"/>
  <c r="M1255" i="2"/>
  <c r="L1255" i="2"/>
  <c r="R1254" i="2"/>
  <c r="Q1254" i="2"/>
  <c r="P1254" i="2"/>
  <c r="O1254" i="2"/>
  <c r="M1254" i="2"/>
  <c r="L1254" i="2"/>
  <c r="R1253" i="2"/>
  <c r="Q1253" i="2"/>
  <c r="P1253" i="2"/>
  <c r="O1253" i="2"/>
  <c r="M1253" i="2"/>
  <c r="L1253" i="2"/>
  <c r="R1252" i="2"/>
  <c r="Q1252" i="2"/>
  <c r="P1252" i="2"/>
  <c r="O1252" i="2"/>
  <c r="M1252" i="2"/>
  <c r="L1252" i="2"/>
  <c r="R1251" i="2"/>
  <c r="Q1251" i="2"/>
  <c r="P1251" i="2"/>
  <c r="O1251" i="2"/>
  <c r="M1251" i="2"/>
  <c r="L1251" i="2"/>
  <c r="R1250" i="2"/>
  <c r="Q1250" i="2"/>
  <c r="P1250" i="2"/>
  <c r="O1250" i="2"/>
  <c r="M1250" i="2"/>
  <c r="L1250" i="2"/>
  <c r="R1249" i="2"/>
  <c r="Q1249" i="2"/>
  <c r="P1249" i="2"/>
  <c r="O1249" i="2"/>
  <c r="M1249" i="2"/>
  <c r="L1249" i="2"/>
  <c r="R1248" i="2"/>
  <c r="Q1248" i="2"/>
  <c r="P1248" i="2"/>
  <c r="O1248" i="2"/>
  <c r="M1248" i="2"/>
  <c r="L1248" i="2"/>
  <c r="R1247" i="2"/>
  <c r="Q1247" i="2"/>
  <c r="P1247" i="2"/>
  <c r="O1247" i="2"/>
  <c r="M1247" i="2"/>
  <c r="L1247" i="2"/>
  <c r="R1246" i="2"/>
  <c r="Q1246" i="2"/>
  <c r="P1246" i="2"/>
  <c r="O1246" i="2"/>
  <c r="M1246" i="2"/>
  <c r="L1246" i="2"/>
  <c r="R1245" i="2"/>
  <c r="Q1245" i="2"/>
  <c r="P1245" i="2"/>
  <c r="O1245" i="2"/>
  <c r="M1245" i="2"/>
  <c r="L1245" i="2"/>
  <c r="R1244" i="2"/>
  <c r="Q1244" i="2"/>
  <c r="P1244" i="2"/>
  <c r="O1244" i="2"/>
  <c r="M1244" i="2"/>
  <c r="L1244" i="2"/>
  <c r="R1243" i="2"/>
  <c r="Q1243" i="2"/>
  <c r="P1243" i="2"/>
  <c r="O1243" i="2"/>
  <c r="M1243" i="2"/>
  <c r="L1243" i="2"/>
  <c r="R1242" i="2"/>
  <c r="Q1242" i="2"/>
  <c r="P1242" i="2"/>
  <c r="O1242" i="2"/>
  <c r="M1242" i="2"/>
  <c r="L1242" i="2"/>
  <c r="R1241" i="2"/>
  <c r="Q1241" i="2"/>
  <c r="P1241" i="2"/>
  <c r="O1241" i="2"/>
  <c r="M1241" i="2"/>
  <c r="L1241" i="2"/>
  <c r="R1240" i="2"/>
  <c r="Q1240" i="2"/>
  <c r="P1240" i="2"/>
  <c r="O1240" i="2"/>
  <c r="M1240" i="2"/>
  <c r="L1240" i="2"/>
  <c r="R1239" i="2"/>
  <c r="Q1239" i="2"/>
  <c r="P1239" i="2"/>
  <c r="O1239" i="2"/>
  <c r="M1239" i="2"/>
  <c r="L1239" i="2"/>
  <c r="R1238" i="2"/>
  <c r="Q1238" i="2"/>
  <c r="P1238" i="2"/>
  <c r="O1238" i="2"/>
  <c r="M1238" i="2"/>
  <c r="L1238" i="2"/>
  <c r="R1237" i="2"/>
  <c r="Q1237" i="2"/>
  <c r="P1237" i="2"/>
  <c r="O1237" i="2"/>
  <c r="M1237" i="2"/>
  <c r="L1237" i="2"/>
  <c r="R1236" i="2"/>
  <c r="Q1236" i="2"/>
  <c r="P1236" i="2"/>
  <c r="O1236" i="2"/>
  <c r="M1236" i="2"/>
  <c r="L1236" i="2"/>
  <c r="R1235" i="2"/>
  <c r="Q1235" i="2"/>
  <c r="P1235" i="2"/>
  <c r="O1235" i="2"/>
  <c r="M1235" i="2"/>
  <c r="L1235" i="2"/>
  <c r="R1234" i="2"/>
  <c r="Q1234" i="2"/>
  <c r="P1234" i="2"/>
  <c r="O1234" i="2"/>
  <c r="M1234" i="2"/>
  <c r="L1234" i="2"/>
  <c r="R1233" i="2"/>
  <c r="Q1233" i="2"/>
  <c r="P1233" i="2"/>
  <c r="O1233" i="2"/>
  <c r="M1233" i="2"/>
  <c r="L1233" i="2"/>
  <c r="R1232" i="2"/>
  <c r="Q1232" i="2"/>
  <c r="P1232" i="2"/>
  <c r="O1232" i="2"/>
  <c r="M1232" i="2"/>
  <c r="L1232" i="2"/>
  <c r="R1231" i="2"/>
  <c r="Q1231" i="2"/>
  <c r="P1231" i="2"/>
  <c r="O1231" i="2"/>
  <c r="M1231" i="2"/>
  <c r="L1231" i="2"/>
  <c r="R1230" i="2"/>
  <c r="Q1230" i="2"/>
  <c r="P1230" i="2"/>
  <c r="O1230" i="2"/>
  <c r="M1230" i="2"/>
  <c r="L1230" i="2"/>
  <c r="R1229" i="2"/>
  <c r="Q1229" i="2"/>
  <c r="P1229" i="2"/>
  <c r="O1229" i="2"/>
  <c r="M1229" i="2"/>
  <c r="L1229" i="2"/>
  <c r="R1228" i="2"/>
  <c r="Q1228" i="2"/>
  <c r="P1228" i="2"/>
  <c r="O1228" i="2"/>
  <c r="M1228" i="2"/>
  <c r="L1228" i="2"/>
  <c r="R1227" i="2"/>
  <c r="Q1227" i="2"/>
  <c r="P1227" i="2"/>
  <c r="O1227" i="2"/>
  <c r="M1227" i="2"/>
  <c r="L1227" i="2"/>
  <c r="R1226" i="2"/>
  <c r="Q1226" i="2"/>
  <c r="P1226" i="2"/>
  <c r="O1226" i="2"/>
  <c r="M1226" i="2"/>
  <c r="L1226" i="2"/>
  <c r="R1225" i="2"/>
  <c r="Q1225" i="2"/>
  <c r="P1225" i="2"/>
  <c r="O1225" i="2"/>
  <c r="M1225" i="2"/>
  <c r="L1225" i="2"/>
  <c r="R1224" i="2"/>
  <c r="Q1224" i="2"/>
  <c r="P1224" i="2"/>
  <c r="O1224" i="2"/>
  <c r="M1224" i="2"/>
  <c r="L1224" i="2"/>
  <c r="R1223" i="2"/>
  <c r="Q1223" i="2"/>
  <c r="P1223" i="2"/>
  <c r="O1223" i="2"/>
  <c r="M1223" i="2"/>
  <c r="L1223" i="2"/>
  <c r="R1222" i="2"/>
  <c r="Q1222" i="2"/>
  <c r="P1222" i="2"/>
  <c r="O1222" i="2"/>
  <c r="M1222" i="2"/>
  <c r="L1222" i="2"/>
  <c r="R1221" i="2"/>
  <c r="Q1221" i="2"/>
  <c r="P1221" i="2"/>
  <c r="O1221" i="2"/>
  <c r="M1221" i="2"/>
  <c r="L1221" i="2"/>
  <c r="R1220" i="2"/>
  <c r="Q1220" i="2"/>
  <c r="P1220" i="2"/>
  <c r="O1220" i="2"/>
  <c r="M1220" i="2"/>
  <c r="L1220" i="2"/>
  <c r="R1219" i="2"/>
  <c r="Q1219" i="2"/>
  <c r="P1219" i="2"/>
  <c r="O1219" i="2"/>
  <c r="M1219" i="2"/>
  <c r="L1219" i="2"/>
  <c r="R1218" i="2"/>
  <c r="Q1218" i="2"/>
  <c r="P1218" i="2"/>
  <c r="O1218" i="2"/>
  <c r="M1218" i="2"/>
  <c r="L1218" i="2"/>
  <c r="R1217" i="2"/>
  <c r="Q1217" i="2"/>
  <c r="P1217" i="2"/>
  <c r="O1217" i="2"/>
  <c r="M1217" i="2"/>
  <c r="L1217" i="2"/>
  <c r="R1216" i="2"/>
  <c r="Q1216" i="2"/>
  <c r="P1216" i="2"/>
  <c r="O1216" i="2"/>
  <c r="M1216" i="2"/>
  <c r="L1216" i="2"/>
  <c r="R1215" i="2"/>
  <c r="Q1215" i="2"/>
  <c r="P1215" i="2"/>
  <c r="O1215" i="2"/>
  <c r="M1215" i="2"/>
  <c r="L1215" i="2"/>
  <c r="R1214" i="2"/>
  <c r="Q1214" i="2"/>
  <c r="P1214" i="2"/>
  <c r="O1214" i="2"/>
  <c r="M1214" i="2"/>
  <c r="L1214" i="2"/>
  <c r="R1213" i="2"/>
  <c r="Q1213" i="2"/>
  <c r="P1213" i="2"/>
  <c r="O1213" i="2"/>
  <c r="M1213" i="2"/>
  <c r="L1213" i="2"/>
  <c r="R1212" i="2"/>
  <c r="Q1212" i="2"/>
  <c r="P1212" i="2"/>
  <c r="O1212" i="2"/>
  <c r="M1212" i="2"/>
  <c r="L1212" i="2"/>
  <c r="R1211" i="2"/>
  <c r="Q1211" i="2"/>
  <c r="P1211" i="2"/>
  <c r="O1211" i="2"/>
  <c r="M1211" i="2"/>
  <c r="L1211" i="2"/>
  <c r="R1210" i="2"/>
  <c r="Q1210" i="2"/>
  <c r="P1210" i="2"/>
  <c r="O1210" i="2"/>
  <c r="M1210" i="2"/>
  <c r="L1210" i="2"/>
  <c r="R1209" i="2"/>
  <c r="Q1209" i="2"/>
  <c r="P1209" i="2"/>
  <c r="O1209" i="2"/>
  <c r="M1209" i="2"/>
  <c r="L1209" i="2"/>
  <c r="R1208" i="2"/>
  <c r="Q1208" i="2"/>
  <c r="P1208" i="2"/>
  <c r="O1208" i="2"/>
  <c r="M1208" i="2"/>
  <c r="L1208" i="2"/>
  <c r="R1207" i="2"/>
  <c r="Q1207" i="2"/>
  <c r="P1207" i="2"/>
  <c r="O1207" i="2"/>
  <c r="M1207" i="2"/>
  <c r="L1207" i="2"/>
  <c r="R1206" i="2"/>
  <c r="Q1206" i="2"/>
  <c r="P1206" i="2"/>
  <c r="O1206" i="2"/>
  <c r="M1206" i="2"/>
  <c r="L1206" i="2"/>
  <c r="R1205" i="2"/>
  <c r="Q1205" i="2"/>
  <c r="P1205" i="2"/>
  <c r="O1205" i="2"/>
  <c r="M1205" i="2"/>
  <c r="L1205" i="2"/>
  <c r="R1204" i="2"/>
  <c r="Q1204" i="2"/>
  <c r="P1204" i="2"/>
  <c r="O1204" i="2"/>
  <c r="M1204" i="2"/>
  <c r="L1204" i="2"/>
  <c r="R1203" i="2"/>
  <c r="Q1203" i="2"/>
  <c r="P1203" i="2"/>
  <c r="O1203" i="2"/>
  <c r="M1203" i="2"/>
  <c r="L1203" i="2"/>
  <c r="R1202" i="2"/>
  <c r="Q1202" i="2"/>
  <c r="P1202" i="2"/>
  <c r="O1202" i="2"/>
  <c r="M1202" i="2"/>
  <c r="L1202" i="2"/>
  <c r="R1201" i="2"/>
  <c r="Q1201" i="2"/>
  <c r="P1201" i="2"/>
  <c r="O1201" i="2"/>
  <c r="M1201" i="2"/>
  <c r="L1201" i="2"/>
  <c r="R1200" i="2"/>
  <c r="Q1200" i="2"/>
  <c r="P1200" i="2"/>
  <c r="O1200" i="2"/>
  <c r="M1200" i="2"/>
  <c r="L1200" i="2"/>
  <c r="R1199" i="2"/>
  <c r="Q1199" i="2"/>
  <c r="P1199" i="2"/>
  <c r="O1199" i="2"/>
  <c r="M1199" i="2"/>
  <c r="L1199" i="2"/>
  <c r="R1198" i="2"/>
  <c r="Q1198" i="2"/>
  <c r="P1198" i="2"/>
  <c r="O1198" i="2"/>
  <c r="M1198" i="2"/>
  <c r="L1198" i="2"/>
  <c r="R1197" i="2"/>
  <c r="Q1197" i="2"/>
  <c r="P1197" i="2"/>
  <c r="O1197" i="2"/>
  <c r="M1197" i="2"/>
  <c r="L1197" i="2"/>
  <c r="R1196" i="2"/>
  <c r="Q1196" i="2"/>
  <c r="P1196" i="2"/>
  <c r="O1196" i="2"/>
  <c r="M1196" i="2"/>
  <c r="L1196" i="2"/>
  <c r="R1195" i="2"/>
  <c r="Q1195" i="2"/>
  <c r="P1195" i="2"/>
  <c r="O1195" i="2"/>
  <c r="M1195" i="2"/>
  <c r="L1195" i="2"/>
  <c r="R1194" i="2"/>
  <c r="Q1194" i="2"/>
  <c r="P1194" i="2"/>
  <c r="O1194" i="2"/>
  <c r="M1194" i="2"/>
  <c r="L1194" i="2"/>
  <c r="R1193" i="2"/>
  <c r="Q1193" i="2"/>
  <c r="P1193" i="2"/>
  <c r="O1193" i="2"/>
  <c r="M1193" i="2"/>
  <c r="L1193" i="2"/>
  <c r="R1192" i="2"/>
  <c r="Q1192" i="2"/>
  <c r="P1192" i="2"/>
  <c r="O1192" i="2"/>
  <c r="M1192" i="2"/>
  <c r="L1192" i="2"/>
  <c r="R1191" i="2"/>
  <c r="Q1191" i="2"/>
  <c r="P1191" i="2"/>
  <c r="O1191" i="2"/>
  <c r="M1191" i="2"/>
  <c r="L1191" i="2"/>
  <c r="R1190" i="2"/>
  <c r="Q1190" i="2"/>
  <c r="P1190" i="2"/>
  <c r="O1190" i="2"/>
  <c r="M1190" i="2"/>
  <c r="L1190" i="2"/>
  <c r="R1189" i="2"/>
  <c r="Q1189" i="2"/>
  <c r="P1189" i="2"/>
  <c r="O1189" i="2"/>
  <c r="M1189" i="2"/>
  <c r="L1189" i="2"/>
  <c r="R1188" i="2"/>
  <c r="Q1188" i="2"/>
  <c r="P1188" i="2"/>
  <c r="O1188" i="2"/>
  <c r="M1188" i="2"/>
  <c r="L1188" i="2"/>
  <c r="R1187" i="2"/>
  <c r="Q1187" i="2"/>
  <c r="P1187" i="2"/>
  <c r="O1187" i="2"/>
  <c r="M1187" i="2"/>
  <c r="L1187" i="2"/>
  <c r="R1186" i="2"/>
  <c r="Q1186" i="2"/>
  <c r="P1186" i="2"/>
  <c r="O1186" i="2"/>
  <c r="M1186" i="2"/>
  <c r="L1186" i="2"/>
  <c r="R1185" i="2"/>
  <c r="Q1185" i="2"/>
  <c r="P1185" i="2"/>
  <c r="O1185" i="2"/>
  <c r="M1185" i="2"/>
  <c r="L1185" i="2"/>
  <c r="R1184" i="2"/>
  <c r="Q1184" i="2"/>
  <c r="P1184" i="2"/>
  <c r="O1184" i="2"/>
  <c r="M1184" i="2"/>
  <c r="L1184" i="2"/>
  <c r="R1183" i="2"/>
  <c r="Q1183" i="2"/>
  <c r="P1183" i="2"/>
  <c r="O1183" i="2"/>
  <c r="M1183" i="2"/>
  <c r="L1183" i="2"/>
  <c r="R1182" i="2"/>
  <c r="Q1182" i="2"/>
  <c r="P1182" i="2"/>
  <c r="O1182" i="2"/>
  <c r="M1182" i="2"/>
  <c r="L1182" i="2"/>
  <c r="R1181" i="2"/>
  <c r="Q1181" i="2"/>
  <c r="P1181" i="2"/>
  <c r="O1181" i="2"/>
  <c r="M1181" i="2"/>
  <c r="L1181" i="2"/>
  <c r="R1180" i="2"/>
  <c r="Q1180" i="2"/>
  <c r="P1180" i="2"/>
  <c r="O1180" i="2"/>
  <c r="M1180" i="2"/>
  <c r="L1180" i="2"/>
  <c r="R1179" i="2"/>
  <c r="Q1179" i="2"/>
  <c r="P1179" i="2"/>
  <c r="O1179" i="2"/>
  <c r="M1179" i="2"/>
  <c r="L1179" i="2"/>
  <c r="R1178" i="2"/>
  <c r="Q1178" i="2"/>
  <c r="P1178" i="2"/>
  <c r="O1178" i="2"/>
  <c r="M1178" i="2"/>
  <c r="L1178" i="2"/>
  <c r="R1177" i="2"/>
  <c r="Q1177" i="2"/>
  <c r="P1177" i="2"/>
  <c r="O1177" i="2"/>
  <c r="M1177" i="2"/>
  <c r="L1177" i="2"/>
  <c r="R1176" i="2"/>
  <c r="Q1176" i="2"/>
  <c r="P1176" i="2"/>
  <c r="O1176" i="2"/>
  <c r="M1176" i="2"/>
  <c r="L1176" i="2"/>
  <c r="R1175" i="2"/>
  <c r="Q1175" i="2"/>
  <c r="P1175" i="2"/>
  <c r="O1175" i="2"/>
  <c r="M1175" i="2"/>
  <c r="L1175" i="2"/>
  <c r="R1174" i="2"/>
  <c r="Q1174" i="2"/>
  <c r="P1174" i="2"/>
  <c r="O1174" i="2"/>
  <c r="M1174" i="2"/>
  <c r="L1174" i="2"/>
  <c r="R1173" i="2"/>
  <c r="Q1173" i="2"/>
  <c r="P1173" i="2"/>
  <c r="O1173" i="2"/>
  <c r="M1173" i="2"/>
  <c r="L1173" i="2"/>
  <c r="R1172" i="2"/>
  <c r="Q1172" i="2"/>
  <c r="P1172" i="2"/>
  <c r="O1172" i="2"/>
  <c r="M1172" i="2"/>
  <c r="L1172" i="2"/>
  <c r="R1171" i="2"/>
  <c r="Q1171" i="2"/>
  <c r="P1171" i="2"/>
  <c r="O1171" i="2"/>
  <c r="M1171" i="2"/>
  <c r="L1171" i="2"/>
  <c r="R1170" i="2"/>
  <c r="Q1170" i="2"/>
  <c r="P1170" i="2"/>
  <c r="O1170" i="2"/>
  <c r="M1170" i="2"/>
  <c r="L1170" i="2"/>
  <c r="R1169" i="2"/>
  <c r="Q1169" i="2"/>
  <c r="P1169" i="2"/>
  <c r="O1169" i="2"/>
  <c r="M1169" i="2"/>
  <c r="L1169" i="2"/>
  <c r="R1168" i="2"/>
  <c r="Q1168" i="2"/>
  <c r="P1168" i="2"/>
  <c r="O1168" i="2"/>
  <c r="M1168" i="2"/>
  <c r="L1168" i="2"/>
  <c r="R1167" i="2"/>
  <c r="Q1167" i="2"/>
  <c r="P1167" i="2"/>
  <c r="O1167" i="2"/>
  <c r="M1167" i="2"/>
  <c r="L1167" i="2"/>
  <c r="R1166" i="2"/>
  <c r="Q1166" i="2"/>
  <c r="P1166" i="2"/>
  <c r="O1166" i="2"/>
  <c r="M1166" i="2"/>
  <c r="L1166" i="2"/>
  <c r="R1165" i="2"/>
  <c r="Q1165" i="2"/>
  <c r="P1165" i="2"/>
  <c r="O1165" i="2"/>
  <c r="M1165" i="2"/>
  <c r="L1165" i="2"/>
  <c r="R1164" i="2"/>
  <c r="Q1164" i="2"/>
  <c r="P1164" i="2"/>
  <c r="O1164" i="2"/>
  <c r="M1164" i="2"/>
  <c r="L1164" i="2"/>
  <c r="R1163" i="2"/>
  <c r="Q1163" i="2"/>
  <c r="P1163" i="2"/>
  <c r="O1163" i="2"/>
  <c r="M1163" i="2"/>
  <c r="L1163" i="2"/>
  <c r="R1162" i="2"/>
  <c r="Q1162" i="2"/>
  <c r="P1162" i="2"/>
  <c r="O1162" i="2"/>
  <c r="M1162" i="2"/>
  <c r="L1162" i="2"/>
  <c r="R1161" i="2"/>
  <c r="Q1161" i="2"/>
  <c r="P1161" i="2"/>
  <c r="O1161" i="2"/>
  <c r="M1161" i="2"/>
  <c r="L1161" i="2"/>
  <c r="R1160" i="2"/>
  <c r="Q1160" i="2"/>
  <c r="P1160" i="2"/>
  <c r="O1160" i="2"/>
  <c r="M1160" i="2"/>
  <c r="L1160" i="2"/>
  <c r="R1159" i="2"/>
  <c r="Q1159" i="2"/>
  <c r="P1159" i="2"/>
  <c r="O1159" i="2"/>
  <c r="M1159" i="2"/>
  <c r="L1159" i="2"/>
  <c r="R1158" i="2"/>
  <c r="Q1158" i="2"/>
  <c r="P1158" i="2"/>
  <c r="O1158" i="2"/>
  <c r="M1158" i="2"/>
  <c r="L1158" i="2"/>
  <c r="R1157" i="2"/>
  <c r="Q1157" i="2"/>
  <c r="P1157" i="2"/>
  <c r="O1157" i="2"/>
  <c r="M1157" i="2"/>
  <c r="L1157" i="2"/>
  <c r="R1156" i="2"/>
  <c r="Q1156" i="2"/>
  <c r="P1156" i="2"/>
  <c r="O1156" i="2"/>
  <c r="M1156" i="2"/>
  <c r="L1156" i="2"/>
  <c r="R1155" i="2"/>
  <c r="Q1155" i="2"/>
  <c r="P1155" i="2"/>
  <c r="O1155" i="2"/>
  <c r="M1155" i="2"/>
  <c r="L1155" i="2"/>
  <c r="R1154" i="2"/>
  <c r="Q1154" i="2"/>
  <c r="P1154" i="2"/>
  <c r="O1154" i="2"/>
  <c r="M1154" i="2"/>
  <c r="L1154" i="2"/>
  <c r="R1153" i="2"/>
  <c r="Q1153" i="2"/>
  <c r="P1153" i="2"/>
  <c r="O1153" i="2"/>
  <c r="M1153" i="2"/>
  <c r="L1153" i="2"/>
  <c r="R1152" i="2"/>
  <c r="Q1152" i="2"/>
  <c r="P1152" i="2"/>
  <c r="O1152" i="2"/>
  <c r="M1152" i="2"/>
  <c r="L1152" i="2"/>
  <c r="R1151" i="2"/>
  <c r="Q1151" i="2"/>
  <c r="P1151" i="2"/>
  <c r="O1151" i="2"/>
  <c r="M1151" i="2"/>
  <c r="L1151" i="2"/>
  <c r="R1150" i="2"/>
  <c r="Q1150" i="2"/>
  <c r="P1150" i="2"/>
  <c r="O1150" i="2"/>
  <c r="M1150" i="2"/>
  <c r="L1150" i="2"/>
  <c r="R1149" i="2"/>
  <c r="Q1149" i="2"/>
  <c r="P1149" i="2"/>
  <c r="O1149" i="2"/>
  <c r="M1149" i="2"/>
  <c r="L1149" i="2"/>
  <c r="R1148" i="2"/>
  <c r="Q1148" i="2"/>
  <c r="P1148" i="2"/>
  <c r="O1148" i="2"/>
  <c r="M1148" i="2"/>
  <c r="L1148" i="2"/>
  <c r="R1147" i="2"/>
  <c r="Q1147" i="2"/>
  <c r="P1147" i="2"/>
  <c r="O1147" i="2"/>
  <c r="M1147" i="2"/>
  <c r="L1147" i="2"/>
  <c r="R1146" i="2"/>
  <c r="Q1146" i="2"/>
  <c r="P1146" i="2"/>
  <c r="O1146" i="2"/>
  <c r="M1146" i="2"/>
  <c r="L1146" i="2"/>
  <c r="R1145" i="2"/>
  <c r="Q1145" i="2"/>
  <c r="P1145" i="2"/>
  <c r="O1145" i="2"/>
  <c r="M1145" i="2"/>
  <c r="L1145" i="2"/>
  <c r="R1144" i="2"/>
  <c r="Q1144" i="2"/>
  <c r="P1144" i="2"/>
  <c r="O1144" i="2"/>
  <c r="M1144" i="2"/>
  <c r="L1144" i="2"/>
  <c r="R1143" i="2"/>
  <c r="Q1143" i="2"/>
  <c r="P1143" i="2"/>
  <c r="O1143" i="2"/>
  <c r="M1143" i="2"/>
  <c r="L1143" i="2"/>
  <c r="R1142" i="2"/>
  <c r="Q1142" i="2"/>
  <c r="P1142" i="2"/>
  <c r="O1142" i="2"/>
  <c r="M1142" i="2"/>
  <c r="L1142" i="2"/>
  <c r="R1141" i="2"/>
  <c r="Q1141" i="2"/>
  <c r="P1141" i="2"/>
  <c r="O1141" i="2"/>
  <c r="M1141" i="2"/>
  <c r="L1141" i="2"/>
  <c r="R1140" i="2"/>
  <c r="Q1140" i="2"/>
  <c r="P1140" i="2"/>
  <c r="O1140" i="2"/>
  <c r="M1140" i="2"/>
  <c r="L1140" i="2"/>
  <c r="R1139" i="2"/>
  <c r="Q1139" i="2"/>
  <c r="P1139" i="2"/>
  <c r="O1139" i="2"/>
  <c r="M1139" i="2"/>
  <c r="L1139" i="2"/>
  <c r="R1138" i="2"/>
  <c r="Q1138" i="2"/>
  <c r="P1138" i="2"/>
  <c r="O1138" i="2"/>
  <c r="M1138" i="2"/>
  <c r="L1138" i="2"/>
  <c r="R1137" i="2"/>
  <c r="Q1137" i="2"/>
  <c r="P1137" i="2"/>
  <c r="O1137" i="2"/>
  <c r="M1137" i="2"/>
  <c r="L1137" i="2"/>
  <c r="R1136" i="2"/>
  <c r="Q1136" i="2"/>
  <c r="P1136" i="2"/>
  <c r="O1136" i="2"/>
  <c r="M1136" i="2"/>
  <c r="L1136" i="2"/>
  <c r="R1135" i="2"/>
  <c r="Q1135" i="2"/>
  <c r="P1135" i="2"/>
  <c r="O1135" i="2"/>
  <c r="M1135" i="2"/>
  <c r="L1135" i="2"/>
  <c r="R1134" i="2"/>
  <c r="Q1134" i="2"/>
  <c r="P1134" i="2"/>
  <c r="O1134" i="2"/>
  <c r="M1134" i="2"/>
  <c r="L1134" i="2"/>
  <c r="R1133" i="2"/>
  <c r="Q1133" i="2"/>
  <c r="P1133" i="2"/>
  <c r="O1133" i="2"/>
  <c r="M1133" i="2"/>
  <c r="L1133" i="2"/>
  <c r="R1132" i="2"/>
  <c r="Q1132" i="2"/>
  <c r="P1132" i="2"/>
  <c r="O1132" i="2"/>
  <c r="M1132" i="2"/>
  <c r="L1132" i="2"/>
  <c r="R1131" i="2"/>
  <c r="Q1131" i="2"/>
  <c r="P1131" i="2"/>
  <c r="O1131" i="2"/>
  <c r="M1131" i="2"/>
  <c r="L1131" i="2"/>
  <c r="R1130" i="2"/>
  <c r="Q1130" i="2"/>
  <c r="P1130" i="2"/>
  <c r="O1130" i="2"/>
  <c r="M1130" i="2"/>
  <c r="L1130" i="2"/>
  <c r="R1129" i="2"/>
  <c r="Q1129" i="2"/>
  <c r="P1129" i="2"/>
  <c r="O1129" i="2"/>
  <c r="M1129" i="2"/>
  <c r="L1129" i="2"/>
  <c r="R1128" i="2"/>
  <c r="Q1128" i="2"/>
  <c r="P1128" i="2"/>
  <c r="O1128" i="2"/>
  <c r="M1128" i="2"/>
  <c r="L1128" i="2"/>
  <c r="R1127" i="2"/>
  <c r="Q1127" i="2"/>
  <c r="P1127" i="2"/>
  <c r="O1127" i="2"/>
  <c r="M1127" i="2"/>
  <c r="L1127" i="2"/>
  <c r="R1126" i="2"/>
  <c r="Q1126" i="2"/>
  <c r="P1126" i="2"/>
  <c r="O1126" i="2"/>
  <c r="M1126" i="2"/>
  <c r="L1126" i="2"/>
  <c r="R1125" i="2"/>
  <c r="Q1125" i="2"/>
  <c r="P1125" i="2"/>
  <c r="O1125" i="2"/>
  <c r="M1125" i="2"/>
  <c r="L1125" i="2"/>
  <c r="R1124" i="2"/>
  <c r="Q1124" i="2"/>
  <c r="P1124" i="2"/>
  <c r="O1124" i="2"/>
  <c r="M1124" i="2"/>
  <c r="L1124" i="2"/>
  <c r="R1123" i="2"/>
  <c r="Q1123" i="2"/>
  <c r="P1123" i="2"/>
  <c r="O1123" i="2"/>
  <c r="M1123" i="2"/>
  <c r="L1123" i="2"/>
  <c r="R1122" i="2"/>
  <c r="Q1122" i="2"/>
  <c r="P1122" i="2"/>
  <c r="O1122" i="2"/>
  <c r="M1122" i="2"/>
  <c r="L1122" i="2"/>
  <c r="R1121" i="2"/>
  <c r="Q1121" i="2"/>
  <c r="P1121" i="2"/>
  <c r="O1121" i="2"/>
  <c r="M1121" i="2"/>
  <c r="L1121" i="2"/>
  <c r="R1120" i="2"/>
  <c r="Q1120" i="2"/>
  <c r="P1120" i="2"/>
  <c r="O1120" i="2"/>
  <c r="M1120" i="2"/>
  <c r="L1120" i="2"/>
  <c r="R1119" i="2"/>
  <c r="Q1119" i="2"/>
  <c r="P1119" i="2"/>
  <c r="O1119" i="2"/>
  <c r="M1119" i="2"/>
  <c r="L1119" i="2"/>
  <c r="R1118" i="2"/>
  <c r="Q1118" i="2"/>
  <c r="P1118" i="2"/>
  <c r="O1118" i="2"/>
  <c r="M1118" i="2"/>
  <c r="L1118" i="2"/>
  <c r="R1117" i="2"/>
  <c r="Q1117" i="2"/>
  <c r="P1117" i="2"/>
  <c r="O1117" i="2"/>
  <c r="M1117" i="2"/>
  <c r="L1117" i="2"/>
  <c r="R1116" i="2"/>
  <c r="Q1116" i="2"/>
  <c r="P1116" i="2"/>
  <c r="O1116" i="2"/>
  <c r="M1116" i="2"/>
  <c r="L1116" i="2"/>
  <c r="R1115" i="2"/>
  <c r="Q1115" i="2"/>
  <c r="P1115" i="2"/>
  <c r="O1115" i="2"/>
  <c r="M1115" i="2"/>
  <c r="L1115" i="2"/>
  <c r="R1114" i="2"/>
  <c r="Q1114" i="2"/>
  <c r="P1114" i="2"/>
  <c r="O1114" i="2"/>
  <c r="M1114" i="2"/>
  <c r="L1114" i="2"/>
  <c r="R1113" i="2"/>
  <c r="Q1113" i="2"/>
  <c r="P1113" i="2"/>
  <c r="O1113" i="2"/>
  <c r="M1113" i="2"/>
  <c r="L1113" i="2"/>
  <c r="R1112" i="2"/>
  <c r="Q1112" i="2"/>
  <c r="P1112" i="2"/>
  <c r="O1112" i="2"/>
  <c r="M1112" i="2"/>
  <c r="L1112" i="2"/>
  <c r="R1111" i="2"/>
  <c r="Q1111" i="2"/>
  <c r="P1111" i="2"/>
  <c r="O1111" i="2"/>
  <c r="M1111" i="2"/>
  <c r="L1111" i="2"/>
  <c r="R1110" i="2"/>
  <c r="Q1110" i="2"/>
  <c r="P1110" i="2"/>
  <c r="O1110" i="2"/>
  <c r="M1110" i="2"/>
  <c r="L1110" i="2"/>
  <c r="R1109" i="2"/>
  <c r="Q1109" i="2"/>
  <c r="P1109" i="2"/>
  <c r="O1109" i="2"/>
  <c r="M1109" i="2"/>
  <c r="L1109" i="2"/>
  <c r="R1108" i="2"/>
  <c r="Q1108" i="2"/>
  <c r="P1108" i="2"/>
  <c r="O1108" i="2"/>
  <c r="M1108" i="2"/>
  <c r="L1108" i="2"/>
  <c r="R1107" i="2"/>
  <c r="Q1107" i="2"/>
  <c r="P1107" i="2"/>
  <c r="O1107" i="2"/>
  <c r="M1107" i="2"/>
  <c r="L1107" i="2"/>
  <c r="R1106" i="2"/>
  <c r="Q1106" i="2"/>
  <c r="P1106" i="2"/>
  <c r="O1106" i="2"/>
  <c r="M1106" i="2"/>
  <c r="L1106" i="2"/>
  <c r="R1105" i="2"/>
  <c r="Q1105" i="2"/>
  <c r="P1105" i="2"/>
  <c r="O1105" i="2"/>
  <c r="M1105" i="2"/>
  <c r="L1105" i="2"/>
  <c r="R1104" i="2"/>
  <c r="Q1104" i="2"/>
  <c r="P1104" i="2"/>
  <c r="O1104" i="2"/>
  <c r="M1104" i="2"/>
  <c r="L1104" i="2"/>
  <c r="R1103" i="2"/>
  <c r="Q1103" i="2"/>
  <c r="P1103" i="2"/>
  <c r="O1103" i="2"/>
  <c r="M1103" i="2"/>
  <c r="L1103" i="2"/>
  <c r="R1102" i="2"/>
  <c r="Q1102" i="2"/>
  <c r="P1102" i="2"/>
  <c r="O1102" i="2"/>
  <c r="M1102" i="2"/>
  <c r="L1102" i="2"/>
  <c r="R1101" i="2"/>
  <c r="Q1101" i="2"/>
  <c r="P1101" i="2"/>
  <c r="O1101" i="2"/>
  <c r="M1101" i="2"/>
  <c r="L1101" i="2"/>
  <c r="R1100" i="2"/>
  <c r="Q1100" i="2"/>
  <c r="P1100" i="2"/>
  <c r="O1100" i="2"/>
  <c r="M1100" i="2"/>
  <c r="L1100" i="2"/>
  <c r="R1099" i="2"/>
  <c r="Q1099" i="2"/>
  <c r="P1099" i="2"/>
  <c r="O1099" i="2"/>
  <c r="M1099" i="2"/>
  <c r="L1099" i="2"/>
  <c r="R1098" i="2"/>
  <c r="Q1098" i="2"/>
  <c r="P1098" i="2"/>
  <c r="O1098" i="2"/>
  <c r="M1098" i="2"/>
  <c r="L1098" i="2"/>
  <c r="R1097" i="2"/>
  <c r="Q1097" i="2"/>
  <c r="P1097" i="2"/>
  <c r="O1097" i="2"/>
  <c r="M1097" i="2"/>
  <c r="L1097" i="2"/>
  <c r="R1096" i="2"/>
  <c r="Q1096" i="2"/>
  <c r="P1096" i="2"/>
  <c r="O1096" i="2"/>
  <c r="M1096" i="2"/>
  <c r="L1096" i="2"/>
  <c r="R1095" i="2"/>
  <c r="Q1095" i="2"/>
  <c r="P1095" i="2"/>
  <c r="O1095" i="2"/>
  <c r="M1095" i="2"/>
  <c r="L1095" i="2"/>
  <c r="R1094" i="2"/>
  <c r="Q1094" i="2"/>
  <c r="P1094" i="2"/>
  <c r="O1094" i="2"/>
  <c r="M1094" i="2"/>
  <c r="L1094" i="2"/>
  <c r="R1093" i="2"/>
  <c r="Q1093" i="2"/>
  <c r="P1093" i="2"/>
  <c r="O1093" i="2"/>
  <c r="M1093" i="2"/>
  <c r="L1093" i="2"/>
  <c r="R1092" i="2"/>
  <c r="Q1092" i="2"/>
  <c r="P1092" i="2"/>
  <c r="O1092" i="2"/>
  <c r="M1092" i="2"/>
  <c r="L1092" i="2"/>
  <c r="R1091" i="2"/>
  <c r="Q1091" i="2"/>
  <c r="P1091" i="2"/>
  <c r="O1091" i="2"/>
  <c r="M1091" i="2"/>
  <c r="L1091" i="2"/>
  <c r="R1090" i="2"/>
  <c r="Q1090" i="2"/>
  <c r="P1090" i="2"/>
  <c r="O1090" i="2"/>
  <c r="M1090" i="2"/>
  <c r="L1090" i="2"/>
  <c r="R1089" i="2"/>
  <c r="Q1089" i="2"/>
  <c r="P1089" i="2"/>
  <c r="O1089" i="2"/>
  <c r="M1089" i="2"/>
  <c r="L1089" i="2"/>
  <c r="R1088" i="2"/>
  <c r="Q1088" i="2"/>
  <c r="P1088" i="2"/>
  <c r="O1088" i="2"/>
  <c r="M1088" i="2"/>
  <c r="L1088" i="2"/>
  <c r="R1087" i="2"/>
  <c r="Q1087" i="2"/>
  <c r="P1087" i="2"/>
  <c r="O1087" i="2"/>
  <c r="M1087" i="2"/>
  <c r="L1087" i="2"/>
  <c r="R1086" i="2"/>
  <c r="Q1086" i="2"/>
  <c r="P1086" i="2"/>
  <c r="O1086" i="2"/>
  <c r="M1086" i="2"/>
  <c r="L1086" i="2"/>
  <c r="R1085" i="2"/>
  <c r="Q1085" i="2"/>
  <c r="P1085" i="2"/>
  <c r="O1085" i="2"/>
  <c r="M1085" i="2"/>
  <c r="L1085" i="2"/>
  <c r="R1084" i="2"/>
  <c r="Q1084" i="2"/>
  <c r="P1084" i="2"/>
  <c r="O1084" i="2"/>
  <c r="M1084" i="2"/>
  <c r="L1084" i="2"/>
  <c r="R1083" i="2"/>
  <c r="Q1083" i="2"/>
  <c r="P1083" i="2"/>
  <c r="O1083" i="2"/>
  <c r="M1083" i="2"/>
  <c r="L1083" i="2"/>
  <c r="R1082" i="2"/>
  <c r="Q1082" i="2"/>
  <c r="P1082" i="2"/>
  <c r="O1082" i="2"/>
  <c r="M1082" i="2"/>
  <c r="L1082" i="2"/>
  <c r="R1081" i="2"/>
  <c r="Q1081" i="2"/>
  <c r="P1081" i="2"/>
  <c r="O1081" i="2"/>
  <c r="M1081" i="2"/>
  <c r="L1081" i="2"/>
  <c r="R1080" i="2"/>
  <c r="Q1080" i="2"/>
  <c r="P1080" i="2"/>
  <c r="O1080" i="2"/>
  <c r="M1080" i="2"/>
  <c r="L1080" i="2"/>
  <c r="R1079" i="2"/>
  <c r="Q1079" i="2"/>
  <c r="P1079" i="2"/>
  <c r="O1079" i="2"/>
  <c r="M1079" i="2"/>
  <c r="L1079" i="2"/>
  <c r="R1078" i="2"/>
  <c r="Q1078" i="2"/>
  <c r="P1078" i="2"/>
  <c r="O1078" i="2"/>
  <c r="M1078" i="2"/>
  <c r="L1078" i="2"/>
  <c r="R1077" i="2"/>
  <c r="Q1077" i="2"/>
  <c r="P1077" i="2"/>
  <c r="O1077" i="2"/>
  <c r="M1077" i="2"/>
  <c r="L1077" i="2"/>
  <c r="R1076" i="2"/>
  <c r="Q1076" i="2"/>
  <c r="P1076" i="2"/>
  <c r="O1076" i="2"/>
  <c r="M1076" i="2"/>
  <c r="L1076" i="2"/>
  <c r="R1075" i="2"/>
  <c r="Q1075" i="2"/>
  <c r="P1075" i="2"/>
  <c r="O1075" i="2"/>
  <c r="M1075" i="2"/>
  <c r="L1075" i="2"/>
  <c r="R1074" i="2"/>
  <c r="Q1074" i="2"/>
  <c r="P1074" i="2"/>
  <c r="O1074" i="2"/>
  <c r="M1074" i="2"/>
  <c r="L1074" i="2"/>
  <c r="R1073" i="2"/>
  <c r="Q1073" i="2"/>
  <c r="P1073" i="2"/>
  <c r="O1073" i="2"/>
  <c r="M1073" i="2"/>
  <c r="L1073" i="2"/>
  <c r="R1072" i="2"/>
  <c r="Q1072" i="2"/>
  <c r="P1072" i="2"/>
  <c r="O1072" i="2"/>
  <c r="M1072" i="2"/>
  <c r="L1072" i="2"/>
  <c r="R1071" i="2"/>
  <c r="Q1071" i="2"/>
  <c r="P1071" i="2"/>
  <c r="O1071" i="2"/>
  <c r="M1071" i="2"/>
  <c r="L1071" i="2"/>
  <c r="R1070" i="2"/>
  <c r="Q1070" i="2"/>
  <c r="P1070" i="2"/>
  <c r="O1070" i="2"/>
  <c r="M1070" i="2"/>
  <c r="L1070" i="2"/>
  <c r="R1069" i="2"/>
  <c r="Q1069" i="2"/>
  <c r="P1069" i="2"/>
  <c r="O1069" i="2"/>
  <c r="M1069" i="2"/>
  <c r="L1069" i="2"/>
  <c r="R1068" i="2"/>
  <c r="Q1068" i="2"/>
  <c r="P1068" i="2"/>
  <c r="O1068" i="2"/>
  <c r="M1068" i="2"/>
  <c r="L1068" i="2"/>
  <c r="R1067" i="2"/>
  <c r="Q1067" i="2"/>
  <c r="P1067" i="2"/>
  <c r="O1067" i="2"/>
  <c r="M1067" i="2"/>
  <c r="L1067" i="2"/>
  <c r="R1066" i="2"/>
  <c r="Q1066" i="2"/>
  <c r="P1066" i="2"/>
  <c r="O1066" i="2"/>
  <c r="M1066" i="2"/>
  <c r="L1066" i="2"/>
  <c r="R1065" i="2"/>
  <c r="Q1065" i="2"/>
  <c r="P1065" i="2"/>
  <c r="O1065" i="2"/>
  <c r="M1065" i="2"/>
  <c r="L1065" i="2"/>
  <c r="R1064" i="2"/>
  <c r="Q1064" i="2"/>
  <c r="P1064" i="2"/>
  <c r="O1064" i="2"/>
  <c r="M1064" i="2"/>
  <c r="L1064" i="2"/>
  <c r="R1063" i="2"/>
  <c r="Q1063" i="2"/>
  <c r="P1063" i="2"/>
  <c r="O1063" i="2"/>
  <c r="M1063" i="2"/>
  <c r="L1063" i="2"/>
  <c r="R1062" i="2"/>
  <c r="Q1062" i="2"/>
  <c r="P1062" i="2"/>
  <c r="O1062" i="2"/>
  <c r="M1062" i="2"/>
  <c r="L1062" i="2"/>
  <c r="R1061" i="2"/>
  <c r="Q1061" i="2"/>
  <c r="P1061" i="2"/>
  <c r="O1061" i="2"/>
  <c r="M1061" i="2"/>
  <c r="L1061" i="2"/>
  <c r="R1060" i="2"/>
  <c r="Q1060" i="2"/>
  <c r="P1060" i="2"/>
  <c r="O1060" i="2"/>
  <c r="M1060" i="2"/>
  <c r="L1060" i="2"/>
  <c r="R1059" i="2"/>
  <c r="Q1059" i="2"/>
  <c r="P1059" i="2"/>
  <c r="O1059" i="2"/>
  <c r="M1059" i="2"/>
  <c r="L1059" i="2"/>
  <c r="R1058" i="2"/>
  <c r="Q1058" i="2"/>
  <c r="P1058" i="2"/>
  <c r="O1058" i="2"/>
  <c r="M1058" i="2"/>
  <c r="L1058" i="2"/>
  <c r="R1057" i="2"/>
  <c r="Q1057" i="2"/>
  <c r="P1057" i="2"/>
  <c r="O1057" i="2"/>
  <c r="M1057" i="2"/>
  <c r="L1057" i="2"/>
  <c r="R1056" i="2"/>
  <c r="Q1056" i="2"/>
  <c r="P1056" i="2"/>
  <c r="O1056" i="2"/>
  <c r="M1056" i="2"/>
  <c r="L1056" i="2"/>
  <c r="R1055" i="2"/>
  <c r="Q1055" i="2"/>
  <c r="P1055" i="2"/>
  <c r="O1055" i="2"/>
  <c r="M1055" i="2"/>
  <c r="L1055" i="2"/>
  <c r="R1054" i="2"/>
  <c r="Q1054" i="2"/>
  <c r="P1054" i="2"/>
  <c r="O1054" i="2"/>
  <c r="M1054" i="2"/>
  <c r="L1054" i="2"/>
  <c r="R1053" i="2"/>
  <c r="Q1053" i="2"/>
  <c r="P1053" i="2"/>
  <c r="O1053" i="2"/>
  <c r="M1053" i="2"/>
  <c r="L1053" i="2"/>
  <c r="R1052" i="2"/>
  <c r="Q1052" i="2"/>
  <c r="P1052" i="2"/>
  <c r="O1052" i="2"/>
  <c r="M1052" i="2"/>
  <c r="L1052" i="2"/>
  <c r="R1051" i="2"/>
  <c r="Q1051" i="2"/>
  <c r="P1051" i="2"/>
  <c r="O1051" i="2"/>
  <c r="M1051" i="2"/>
  <c r="L1051" i="2"/>
  <c r="R1050" i="2"/>
  <c r="Q1050" i="2"/>
  <c r="P1050" i="2"/>
  <c r="O1050" i="2"/>
  <c r="M1050" i="2"/>
  <c r="L1050" i="2"/>
  <c r="R1049" i="2"/>
  <c r="Q1049" i="2"/>
  <c r="P1049" i="2"/>
  <c r="O1049" i="2"/>
  <c r="M1049" i="2"/>
  <c r="L1049" i="2"/>
  <c r="R1048" i="2"/>
  <c r="Q1048" i="2"/>
  <c r="P1048" i="2"/>
  <c r="O1048" i="2"/>
  <c r="M1048" i="2"/>
  <c r="L1048" i="2"/>
  <c r="R1047" i="2"/>
  <c r="Q1047" i="2"/>
  <c r="P1047" i="2"/>
  <c r="O1047" i="2"/>
  <c r="M1047" i="2"/>
  <c r="L1047" i="2"/>
  <c r="R1046" i="2"/>
  <c r="Q1046" i="2"/>
  <c r="P1046" i="2"/>
  <c r="O1046" i="2"/>
  <c r="M1046" i="2"/>
  <c r="L1046" i="2"/>
  <c r="R1045" i="2"/>
  <c r="Q1045" i="2"/>
  <c r="P1045" i="2"/>
  <c r="O1045" i="2"/>
  <c r="M1045" i="2"/>
  <c r="L1045" i="2"/>
  <c r="R1044" i="2"/>
  <c r="Q1044" i="2"/>
  <c r="P1044" i="2"/>
  <c r="O1044" i="2"/>
  <c r="M1044" i="2"/>
  <c r="L1044" i="2"/>
  <c r="R1043" i="2"/>
  <c r="Q1043" i="2"/>
  <c r="P1043" i="2"/>
  <c r="O1043" i="2"/>
  <c r="M1043" i="2"/>
  <c r="L1043" i="2"/>
  <c r="R1042" i="2"/>
  <c r="Q1042" i="2"/>
  <c r="P1042" i="2"/>
  <c r="O1042" i="2"/>
  <c r="M1042" i="2"/>
  <c r="L1042" i="2"/>
  <c r="R1041" i="2"/>
  <c r="Q1041" i="2"/>
  <c r="P1041" i="2"/>
  <c r="O1041" i="2"/>
  <c r="M1041" i="2"/>
  <c r="L1041" i="2"/>
  <c r="R1040" i="2"/>
  <c r="Q1040" i="2"/>
  <c r="P1040" i="2"/>
  <c r="O1040" i="2"/>
  <c r="M1040" i="2"/>
  <c r="L1040" i="2"/>
  <c r="R1039" i="2"/>
  <c r="Q1039" i="2"/>
  <c r="P1039" i="2"/>
  <c r="O1039" i="2"/>
  <c r="M1039" i="2"/>
  <c r="L1039" i="2"/>
  <c r="R1038" i="2"/>
  <c r="Q1038" i="2"/>
  <c r="P1038" i="2"/>
  <c r="O1038" i="2"/>
  <c r="M1038" i="2"/>
  <c r="L1038" i="2"/>
  <c r="R1037" i="2"/>
  <c r="Q1037" i="2"/>
  <c r="P1037" i="2"/>
  <c r="O1037" i="2"/>
  <c r="M1037" i="2"/>
  <c r="L1037" i="2"/>
  <c r="R1036" i="2"/>
  <c r="Q1036" i="2"/>
  <c r="P1036" i="2"/>
  <c r="O1036" i="2"/>
  <c r="M1036" i="2"/>
  <c r="L1036" i="2"/>
  <c r="R1035" i="2"/>
  <c r="Q1035" i="2"/>
  <c r="P1035" i="2"/>
  <c r="O1035" i="2"/>
  <c r="M1035" i="2"/>
  <c r="L1035" i="2"/>
  <c r="R1034" i="2"/>
  <c r="Q1034" i="2"/>
  <c r="P1034" i="2"/>
  <c r="O1034" i="2"/>
  <c r="M1034" i="2"/>
  <c r="L1034" i="2"/>
  <c r="R1033" i="2"/>
  <c r="Q1033" i="2"/>
  <c r="P1033" i="2"/>
  <c r="O1033" i="2"/>
  <c r="M1033" i="2"/>
  <c r="L1033" i="2"/>
  <c r="R1032" i="2"/>
  <c r="Q1032" i="2"/>
  <c r="P1032" i="2"/>
  <c r="O1032" i="2"/>
  <c r="M1032" i="2"/>
  <c r="L1032" i="2"/>
  <c r="R1031" i="2"/>
  <c r="Q1031" i="2"/>
  <c r="P1031" i="2"/>
  <c r="O1031" i="2"/>
  <c r="M1031" i="2"/>
  <c r="L1031" i="2"/>
  <c r="R1030" i="2"/>
  <c r="Q1030" i="2"/>
  <c r="P1030" i="2"/>
  <c r="O1030" i="2"/>
  <c r="M1030" i="2"/>
  <c r="L1030" i="2"/>
  <c r="R1029" i="2"/>
  <c r="Q1029" i="2"/>
  <c r="P1029" i="2"/>
  <c r="O1029" i="2"/>
  <c r="M1029" i="2"/>
  <c r="L1029" i="2"/>
  <c r="R1028" i="2"/>
  <c r="Q1028" i="2"/>
  <c r="P1028" i="2"/>
  <c r="O1028" i="2"/>
  <c r="M1028" i="2"/>
  <c r="L1028" i="2"/>
  <c r="R1027" i="2"/>
  <c r="Q1027" i="2"/>
  <c r="P1027" i="2"/>
  <c r="O1027" i="2"/>
  <c r="M1027" i="2"/>
  <c r="L1027" i="2"/>
  <c r="R1026" i="2"/>
  <c r="Q1026" i="2"/>
  <c r="P1026" i="2"/>
  <c r="O1026" i="2"/>
  <c r="M1026" i="2"/>
  <c r="L1026" i="2"/>
  <c r="R1025" i="2"/>
  <c r="Q1025" i="2"/>
  <c r="P1025" i="2"/>
  <c r="O1025" i="2"/>
  <c r="M1025" i="2"/>
  <c r="L1025" i="2"/>
  <c r="R1024" i="2"/>
  <c r="Q1024" i="2"/>
  <c r="P1024" i="2"/>
  <c r="O1024" i="2"/>
  <c r="M1024" i="2"/>
  <c r="L1024" i="2"/>
  <c r="R1023" i="2"/>
  <c r="Q1023" i="2"/>
  <c r="P1023" i="2"/>
  <c r="O1023" i="2"/>
  <c r="M1023" i="2"/>
  <c r="L1023" i="2"/>
  <c r="R1022" i="2"/>
  <c r="Q1022" i="2"/>
  <c r="P1022" i="2"/>
  <c r="O1022" i="2"/>
  <c r="M1022" i="2"/>
  <c r="L1022" i="2"/>
  <c r="R1021" i="2"/>
  <c r="Q1021" i="2"/>
  <c r="P1021" i="2"/>
  <c r="O1021" i="2"/>
  <c r="M1021" i="2"/>
  <c r="L1021" i="2"/>
  <c r="R1020" i="2"/>
  <c r="Q1020" i="2"/>
  <c r="P1020" i="2"/>
  <c r="O1020" i="2"/>
  <c r="M1020" i="2"/>
  <c r="L1020" i="2"/>
  <c r="R1019" i="2"/>
  <c r="Q1019" i="2"/>
  <c r="P1019" i="2"/>
  <c r="O1019" i="2"/>
  <c r="M1019" i="2"/>
  <c r="L1019" i="2"/>
  <c r="R1018" i="2"/>
  <c r="Q1018" i="2"/>
  <c r="P1018" i="2"/>
  <c r="O1018" i="2"/>
  <c r="M1018" i="2"/>
  <c r="L1018" i="2"/>
  <c r="R1017" i="2"/>
  <c r="Q1017" i="2"/>
  <c r="P1017" i="2"/>
  <c r="O1017" i="2"/>
  <c r="M1017" i="2"/>
  <c r="L1017" i="2"/>
  <c r="R1016" i="2"/>
  <c r="Q1016" i="2"/>
  <c r="P1016" i="2"/>
  <c r="O1016" i="2"/>
  <c r="M1016" i="2"/>
  <c r="L1016" i="2"/>
  <c r="R1015" i="2"/>
  <c r="Q1015" i="2"/>
  <c r="P1015" i="2"/>
  <c r="O1015" i="2"/>
  <c r="M1015" i="2"/>
  <c r="L1015" i="2"/>
  <c r="R1014" i="2"/>
  <c r="Q1014" i="2"/>
  <c r="P1014" i="2"/>
  <c r="O1014" i="2"/>
  <c r="M1014" i="2"/>
  <c r="L1014" i="2"/>
  <c r="R1013" i="2"/>
  <c r="Q1013" i="2"/>
  <c r="P1013" i="2"/>
  <c r="O1013" i="2"/>
  <c r="M1013" i="2"/>
  <c r="L1013" i="2"/>
  <c r="R1012" i="2"/>
  <c r="Q1012" i="2"/>
  <c r="P1012" i="2"/>
  <c r="O1012" i="2"/>
  <c r="M1012" i="2"/>
  <c r="L1012" i="2"/>
  <c r="R1011" i="2"/>
  <c r="Q1011" i="2"/>
  <c r="P1011" i="2"/>
  <c r="O1011" i="2"/>
  <c r="M1011" i="2"/>
  <c r="L1011" i="2"/>
  <c r="R1010" i="2"/>
  <c r="Q1010" i="2"/>
  <c r="P1010" i="2"/>
  <c r="O1010" i="2"/>
  <c r="M1010" i="2"/>
  <c r="L1010" i="2"/>
  <c r="R1009" i="2"/>
  <c r="Q1009" i="2"/>
  <c r="P1009" i="2"/>
  <c r="O1009" i="2"/>
  <c r="M1009" i="2"/>
  <c r="L1009" i="2"/>
  <c r="R1008" i="2"/>
  <c r="Q1008" i="2"/>
  <c r="P1008" i="2"/>
  <c r="O1008" i="2"/>
  <c r="M1008" i="2"/>
  <c r="L1008" i="2"/>
  <c r="R1007" i="2"/>
  <c r="Q1007" i="2"/>
  <c r="P1007" i="2"/>
  <c r="O1007" i="2"/>
  <c r="M1007" i="2"/>
  <c r="L1007" i="2"/>
  <c r="R1006" i="2"/>
  <c r="Q1006" i="2"/>
  <c r="P1006" i="2"/>
  <c r="O1006" i="2"/>
  <c r="M1006" i="2"/>
  <c r="L1006" i="2"/>
  <c r="R1005" i="2"/>
  <c r="Q1005" i="2"/>
  <c r="P1005" i="2"/>
  <c r="O1005" i="2"/>
  <c r="M1005" i="2"/>
  <c r="L1005" i="2"/>
  <c r="R1004" i="2"/>
  <c r="Q1004" i="2"/>
  <c r="P1004" i="2"/>
  <c r="O1004" i="2"/>
  <c r="M1004" i="2"/>
  <c r="L1004" i="2"/>
  <c r="R1003" i="2"/>
  <c r="Q1003" i="2"/>
  <c r="P1003" i="2"/>
  <c r="O1003" i="2"/>
  <c r="M1003" i="2"/>
  <c r="L1003" i="2"/>
  <c r="R1002" i="2"/>
  <c r="Q1002" i="2"/>
  <c r="P1002" i="2"/>
  <c r="O1002" i="2"/>
  <c r="M1002" i="2"/>
  <c r="L1002" i="2"/>
  <c r="R1001" i="2"/>
  <c r="Q1001" i="2"/>
  <c r="P1001" i="2"/>
  <c r="O1001" i="2"/>
  <c r="M1001" i="2"/>
  <c r="L1001" i="2"/>
  <c r="R1000" i="2"/>
  <c r="Q1000" i="2"/>
  <c r="P1000" i="2"/>
  <c r="O1000" i="2"/>
  <c r="M1000" i="2"/>
  <c r="L1000" i="2"/>
  <c r="R999" i="2"/>
  <c r="Q999" i="2"/>
  <c r="P999" i="2"/>
  <c r="O999" i="2"/>
  <c r="M999" i="2"/>
  <c r="L999" i="2"/>
  <c r="R998" i="2"/>
  <c r="Q998" i="2"/>
  <c r="P998" i="2"/>
  <c r="O998" i="2"/>
  <c r="M998" i="2"/>
  <c r="L998" i="2"/>
  <c r="R997" i="2"/>
  <c r="Q997" i="2"/>
  <c r="P997" i="2"/>
  <c r="O997" i="2"/>
  <c r="M997" i="2"/>
  <c r="L997" i="2"/>
  <c r="R996" i="2"/>
  <c r="Q996" i="2"/>
  <c r="P996" i="2"/>
  <c r="O996" i="2"/>
  <c r="M996" i="2"/>
  <c r="L996" i="2"/>
  <c r="R995" i="2"/>
  <c r="Q995" i="2"/>
  <c r="P995" i="2"/>
  <c r="O995" i="2"/>
  <c r="M995" i="2"/>
  <c r="L995" i="2"/>
  <c r="R994" i="2"/>
  <c r="Q994" i="2"/>
  <c r="P994" i="2"/>
  <c r="O994" i="2"/>
  <c r="M994" i="2"/>
  <c r="L994" i="2"/>
  <c r="R993" i="2"/>
  <c r="Q993" i="2"/>
  <c r="P993" i="2"/>
  <c r="O993" i="2"/>
  <c r="M993" i="2"/>
  <c r="L993" i="2"/>
  <c r="R992" i="2"/>
  <c r="Q992" i="2"/>
  <c r="P992" i="2"/>
  <c r="O992" i="2"/>
  <c r="M992" i="2"/>
  <c r="L992" i="2"/>
  <c r="R991" i="2"/>
  <c r="Q991" i="2"/>
  <c r="P991" i="2"/>
  <c r="O991" i="2"/>
  <c r="M991" i="2"/>
  <c r="L991" i="2"/>
  <c r="R990" i="2"/>
  <c r="Q990" i="2"/>
  <c r="P990" i="2"/>
  <c r="O990" i="2"/>
  <c r="M990" i="2"/>
  <c r="L990" i="2"/>
  <c r="R989" i="2"/>
  <c r="Q989" i="2"/>
  <c r="P989" i="2"/>
  <c r="O989" i="2"/>
  <c r="M989" i="2"/>
  <c r="L989" i="2"/>
  <c r="R988" i="2"/>
  <c r="Q988" i="2"/>
  <c r="P988" i="2"/>
  <c r="O988" i="2"/>
  <c r="M988" i="2"/>
  <c r="L988" i="2"/>
  <c r="R987" i="2"/>
  <c r="Q987" i="2"/>
  <c r="P987" i="2"/>
  <c r="O987" i="2"/>
  <c r="M987" i="2"/>
  <c r="L987" i="2"/>
  <c r="R986" i="2"/>
  <c r="Q986" i="2"/>
  <c r="P986" i="2"/>
  <c r="O986" i="2"/>
  <c r="M986" i="2"/>
  <c r="L986" i="2"/>
  <c r="R985" i="2"/>
  <c r="Q985" i="2"/>
  <c r="P985" i="2"/>
  <c r="O985" i="2"/>
  <c r="M985" i="2"/>
  <c r="L985" i="2"/>
  <c r="R984" i="2"/>
  <c r="Q984" i="2"/>
  <c r="P984" i="2"/>
  <c r="O984" i="2"/>
  <c r="M984" i="2"/>
  <c r="L984" i="2"/>
  <c r="R983" i="2"/>
  <c r="Q983" i="2"/>
  <c r="P983" i="2"/>
  <c r="O983" i="2"/>
  <c r="M983" i="2"/>
  <c r="L983" i="2"/>
  <c r="R982" i="2"/>
  <c r="Q982" i="2"/>
  <c r="P982" i="2"/>
  <c r="O982" i="2"/>
  <c r="M982" i="2"/>
  <c r="L982" i="2"/>
  <c r="R981" i="2"/>
  <c r="Q981" i="2"/>
  <c r="P981" i="2"/>
  <c r="O981" i="2"/>
  <c r="M981" i="2"/>
  <c r="L981" i="2"/>
  <c r="R980" i="2"/>
  <c r="Q980" i="2"/>
  <c r="P980" i="2"/>
  <c r="O980" i="2"/>
  <c r="M980" i="2"/>
  <c r="L980" i="2"/>
  <c r="R979" i="2"/>
  <c r="Q979" i="2"/>
  <c r="P979" i="2"/>
  <c r="O979" i="2"/>
  <c r="M979" i="2"/>
  <c r="L979" i="2"/>
  <c r="R978" i="2"/>
  <c r="Q978" i="2"/>
  <c r="P978" i="2"/>
  <c r="O978" i="2"/>
  <c r="M978" i="2"/>
  <c r="L978" i="2"/>
  <c r="R977" i="2"/>
  <c r="Q977" i="2"/>
  <c r="P977" i="2"/>
  <c r="O977" i="2"/>
  <c r="M977" i="2"/>
  <c r="L977" i="2"/>
  <c r="R976" i="2"/>
  <c r="Q976" i="2"/>
  <c r="P976" i="2"/>
  <c r="O976" i="2"/>
  <c r="M976" i="2"/>
  <c r="L976" i="2"/>
  <c r="R975" i="2"/>
  <c r="Q975" i="2"/>
  <c r="P975" i="2"/>
  <c r="O975" i="2"/>
  <c r="M975" i="2"/>
  <c r="L975" i="2"/>
  <c r="R974" i="2"/>
  <c r="Q974" i="2"/>
  <c r="P974" i="2"/>
  <c r="O974" i="2"/>
  <c r="M974" i="2"/>
  <c r="L974" i="2"/>
  <c r="R973" i="2"/>
  <c r="Q973" i="2"/>
  <c r="P973" i="2"/>
  <c r="O973" i="2"/>
  <c r="M973" i="2"/>
  <c r="L973" i="2"/>
  <c r="R972" i="2"/>
  <c r="Q972" i="2"/>
  <c r="P972" i="2"/>
  <c r="O972" i="2"/>
  <c r="M972" i="2"/>
  <c r="L972" i="2"/>
  <c r="R971" i="2"/>
  <c r="Q971" i="2"/>
  <c r="P971" i="2"/>
  <c r="O971" i="2"/>
  <c r="M971" i="2"/>
  <c r="L971" i="2"/>
  <c r="R970" i="2"/>
  <c r="Q970" i="2"/>
  <c r="P970" i="2"/>
  <c r="O970" i="2"/>
  <c r="M970" i="2"/>
  <c r="L970" i="2"/>
  <c r="R969" i="2"/>
  <c r="Q969" i="2"/>
  <c r="P969" i="2"/>
  <c r="O969" i="2"/>
  <c r="M969" i="2"/>
  <c r="L969" i="2"/>
  <c r="R968" i="2"/>
  <c r="Q968" i="2"/>
  <c r="P968" i="2"/>
  <c r="O968" i="2"/>
  <c r="M968" i="2"/>
  <c r="L968" i="2"/>
  <c r="R967" i="2"/>
  <c r="Q967" i="2"/>
  <c r="P967" i="2"/>
  <c r="O967" i="2"/>
  <c r="M967" i="2"/>
  <c r="L967" i="2"/>
  <c r="R966" i="2"/>
  <c r="Q966" i="2"/>
  <c r="P966" i="2"/>
  <c r="O966" i="2"/>
  <c r="M966" i="2"/>
  <c r="L966" i="2"/>
  <c r="R965" i="2"/>
  <c r="Q965" i="2"/>
  <c r="P965" i="2"/>
  <c r="O965" i="2"/>
  <c r="M965" i="2"/>
  <c r="L965" i="2"/>
  <c r="R964" i="2"/>
  <c r="Q964" i="2"/>
  <c r="P964" i="2"/>
  <c r="O964" i="2"/>
  <c r="M964" i="2"/>
  <c r="L964" i="2"/>
  <c r="R963" i="2"/>
  <c r="Q963" i="2"/>
  <c r="P963" i="2"/>
  <c r="O963" i="2"/>
  <c r="M963" i="2"/>
  <c r="L963" i="2"/>
  <c r="R962" i="2"/>
  <c r="Q962" i="2"/>
  <c r="P962" i="2"/>
  <c r="O962" i="2"/>
  <c r="M962" i="2"/>
  <c r="L962" i="2"/>
  <c r="R961" i="2"/>
  <c r="Q961" i="2"/>
  <c r="P961" i="2"/>
  <c r="O961" i="2"/>
  <c r="M961" i="2"/>
  <c r="L961" i="2"/>
  <c r="R960" i="2"/>
  <c r="Q960" i="2"/>
  <c r="P960" i="2"/>
  <c r="O960" i="2"/>
  <c r="M960" i="2"/>
  <c r="L960" i="2"/>
  <c r="R959" i="2"/>
  <c r="Q959" i="2"/>
  <c r="P959" i="2"/>
  <c r="O959" i="2"/>
  <c r="M959" i="2"/>
  <c r="L959" i="2"/>
  <c r="R958" i="2"/>
  <c r="Q958" i="2"/>
  <c r="P958" i="2"/>
  <c r="O958" i="2"/>
  <c r="M958" i="2"/>
  <c r="L958" i="2"/>
  <c r="R957" i="2"/>
  <c r="Q957" i="2"/>
  <c r="P957" i="2"/>
  <c r="O957" i="2"/>
  <c r="M957" i="2"/>
  <c r="L957" i="2"/>
  <c r="R956" i="2"/>
  <c r="Q956" i="2"/>
  <c r="P956" i="2"/>
  <c r="O956" i="2"/>
  <c r="M956" i="2"/>
  <c r="L956" i="2"/>
  <c r="R955" i="2"/>
  <c r="Q955" i="2"/>
  <c r="P955" i="2"/>
  <c r="O955" i="2"/>
  <c r="M955" i="2"/>
  <c r="L955" i="2"/>
  <c r="R954" i="2"/>
  <c r="Q954" i="2"/>
  <c r="P954" i="2"/>
  <c r="O954" i="2"/>
  <c r="M954" i="2"/>
  <c r="L954" i="2"/>
  <c r="R953" i="2"/>
  <c r="Q953" i="2"/>
  <c r="P953" i="2"/>
  <c r="O953" i="2"/>
  <c r="M953" i="2"/>
  <c r="L953" i="2"/>
  <c r="R952" i="2"/>
  <c r="Q952" i="2"/>
  <c r="P952" i="2"/>
  <c r="O952" i="2"/>
  <c r="M952" i="2"/>
  <c r="L952" i="2"/>
  <c r="R951" i="2"/>
  <c r="Q951" i="2"/>
  <c r="P951" i="2"/>
  <c r="O951" i="2"/>
  <c r="M951" i="2"/>
  <c r="L951" i="2"/>
  <c r="R950" i="2"/>
  <c r="Q950" i="2"/>
  <c r="P950" i="2"/>
  <c r="O950" i="2"/>
  <c r="M950" i="2"/>
  <c r="L950" i="2"/>
  <c r="R949" i="2"/>
  <c r="Q949" i="2"/>
  <c r="P949" i="2"/>
  <c r="O949" i="2"/>
  <c r="M949" i="2"/>
  <c r="L949" i="2"/>
  <c r="R948" i="2"/>
  <c r="Q948" i="2"/>
  <c r="P948" i="2"/>
  <c r="O948" i="2"/>
  <c r="M948" i="2"/>
  <c r="L948" i="2"/>
  <c r="R947" i="2"/>
  <c r="Q947" i="2"/>
  <c r="P947" i="2"/>
  <c r="O947" i="2"/>
  <c r="M947" i="2"/>
  <c r="L947" i="2"/>
  <c r="R946" i="2"/>
  <c r="Q946" i="2"/>
  <c r="P946" i="2"/>
  <c r="O946" i="2"/>
  <c r="M946" i="2"/>
  <c r="L946" i="2"/>
  <c r="R945" i="2"/>
  <c r="Q945" i="2"/>
  <c r="P945" i="2"/>
  <c r="O945" i="2"/>
  <c r="M945" i="2"/>
  <c r="L945" i="2"/>
  <c r="R944" i="2"/>
  <c r="Q944" i="2"/>
  <c r="P944" i="2"/>
  <c r="O944" i="2"/>
  <c r="M944" i="2"/>
  <c r="L944" i="2"/>
  <c r="R943" i="2"/>
  <c r="Q943" i="2"/>
  <c r="P943" i="2"/>
  <c r="O943" i="2"/>
  <c r="M943" i="2"/>
  <c r="L943" i="2"/>
  <c r="R942" i="2"/>
  <c r="Q942" i="2"/>
  <c r="P942" i="2"/>
  <c r="O942" i="2"/>
  <c r="M942" i="2"/>
  <c r="L942" i="2"/>
  <c r="R941" i="2"/>
  <c r="Q941" i="2"/>
  <c r="P941" i="2"/>
  <c r="O941" i="2"/>
  <c r="M941" i="2"/>
  <c r="L941" i="2"/>
  <c r="R940" i="2"/>
  <c r="Q940" i="2"/>
  <c r="P940" i="2"/>
  <c r="O940" i="2"/>
  <c r="M940" i="2"/>
  <c r="L940" i="2"/>
  <c r="R939" i="2"/>
  <c r="Q939" i="2"/>
  <c r="P939" i="2"/>
  <c r="O939" i="2"/>
  <c r="M939" i="2"/>
  <c r="L939" i="2"/>
  <c r="R938" i="2"/>
  <c r="Q938" i="2"/>
  <c r="P938" i="2"/>
  <c r="O938" i="2"/>
  <c r="M938" i="2"/>
  <c r="L938" i="2"/>
  <c r="R937" i="2"/>
  <c r="Q937" i="2"/>
  <c r="P937" i="2"/>
  <c r="O937" i="2"/>
  <c r="M937" i="2"/>
  <c r="L937" i="2"/>
  <c r="R936" i="2"/>
  <c r="Q936" i="2"/>
  <c r="P936" i="2"/>
  <c r="O936" i="2"/>
  <c r="M936" i="2"/>
  <c r="L936" i="2"/>
  <c r="R935" i="2"/>
  <c r="Q935" i="2"/>
  <c r="P935" i="2"/>
  <c r="O935" i="2"/>
  <c r="M935" i="2"/>
  <c r="L935" i="2"/>
  <c r="R934" i="2"/>
  <c r="Q934" i="2"/>
  <c r="P934" i="2"/>
  <c r="O934" i="2"/>
  <c r="M934" i="2"/>
  <c r="L934" i="2"/>
  <c r="R933" i="2"/>
  <c r="Q933" i="2"/>
  <c r="P933" i="2"/>
  <c r="O933" i="2"/>
  <c r="M933" i="2"/>
  <c r="L933" i="2"/>
  <c r="R932" i="2"/>
  <c r="Q932" i="2"/>
  <c r="P932" i="2"/>
  <c r="O932" i="2"/>
  <c r="M932" i="2"/>
  <c r="L932" i="2"/>
  <c r="R931" i="2"/>
  <c r="Q931" i="2"/>
  <c r="P931" i="2"/>
  <c r="O931" i="2"/>
  <c r="M931" i="2"/>
  <c r="L931" i="2"/>
  <c r="R930" i="2"/>
  <c r="Q930" i="2"/>
  <c r="P930" i="2"/>
  <c r="O930" i="2"/>
  <c r="M930" i="2"/>
  <c r="L930" i="2"/>
  <c r="R929" i="2"/>
  <c r="Q929" i="2"/>
  <c r="P929" i="2"/>
  <c r="O929" i="2"/>
  <c r="M929" i="2"/>
  <c r="L929" i="2"/>
  <c r="R928" i="2"/>
  <c r="Q928" i="2"/>
  <c r="P928" i="2"/>
  <c r="O928" i="2"/>
  <c r="M928" i="2"/>
  <c r="L928" i="2"/>
  <c r="R927" i="2"/>
  <c r="Q927" i="2"/>
  <c r="P927" i="2"/>
  <c r="O927" i="2"/>
  <c r="M927" i="2"/>
  <c r="L927" i="2"/>
  <c r="R926" i="2"/>
  <c r="Q926" i="2"/>
  <c r="P926" i="2"/>
  <c r="O926" i="2"/>
  <c r="M926" i="2"/>
  <c r="L926" i="2"/>
  <c r="R925" i="2"/>
  <c r="Q925" i="2"/>
  <c r="P925" i="2"/>
  <c r="O925" i="2"/>
  <c r="M925" i="2"/>
  <c r="L925" i="2"/>
  <c r="R924" i="2"/>
  <c r="Q924" i="2"/>
  <c r="P924" i="2"/>
  <c r="O924" i="2"/>
  <c r="M924" i="2"/>
  <c r="L924" i="2"/>
  <c r="R923" i="2"/>
  <c r="Q923" i="2"/>
  <c r="P923" i="2"/>
  <c r="O923" i="2"/>
  <c r="M923" i="2"/>
  <c r="L923" i="2"/>
  <c r="R922" i="2"/>
  <c r="Q922" i="2"/>
  <c r="P922" i="2"/>
  <c r="O922" i="2"/>
  <c r="M922" i="2"/>
  <c r="L922" i="2"/>
  <c r="R921" i="2"/>
  <c r="Q921" i="2"/>
  <c r="P921" i="2"/>
  <c r="O921" i="2"/>
  <c r="M921" i="2"/>
  <c r="L921" i="2"/>
  <c r="R920" i="2"/>
  <c r="Q920" i="2"/>
  <c r="P920" i="2"/>
  <c r="O920" i="2"/>
  <c r="M920" i="2"/>
  <c r="L920" i="2"/>
  <c r="R919" i="2"/>
  <c r="Q919" i="2"/>
  <c r="P919" i="2"/>
  <c r="O919" i="2"/>
  <c r="M919" i="2"/>
  <c r="L919" i="2"/>
  <c r="R918" i="2"/>
  <c r="Q918" i="2"/>
  <c r="P918" i="2"/>
  <c r="O918" i="2"/>
  <c r="M918" i="2"/>
  <c r="L918" i="2"/>
  <c r="R917" i="2"/>
  <c r="Q917" i="2"/>
  <c r="P917" i="2"/>
  <c r="O917" i="2"/>
  <c r="M917" i="2"/>
  <c r="L917" i="2"/>
  <c r="R916" i="2"/>
  <c r="Q916" i="2"/>
  <c r="P916" i="2"/>
  <c r="O916" i="2"/>
  <c r="M916" i="2"/>
  <c r="L916" i="2"/>
  <c r="R915" i="2"/>
  <c r="Q915" i="2"/>
  <c r="P915" i="2"/>
  <c r="O915" i="2"/>
  <c r="M915" i="2"/>
  <c r="L915" i="2"/>
  <c r="R914" i="2"/>
  <c r="Q914" i="2"/>
  <c r="P914" i="2"/>
  <c r="O914" i="2"/>
  <c r="M914" i="2"/>
  <c r="L914" i="2"/>
  <c r="R913" i="2"/>
  <c r="Q913" i="2"/>
  <c r="P913" i="2"/>
  <c r="O913" i="2"/>
  <c r="M913" i="2"/>
  <c r="L913" i="2"/>
  <c r="R912" i="2"/>
  <c r="Q912" i="2"/>
  <c r="P912" i="2"/>
  <c r="O912" i="2"/>
  <c r="M912" i="2"/>
  <c r="L912" i="2"/>
  <c r="R911" i="2"/>
  <c r="Q911" i="2"/>
  <c r="P911" i="2"/>
  <c r="O911" i="2"/>
  <c r="M911" i="2"/>
  <c r="L911" i="2"/>
  <c r="R910" i="2"/>
  <c r="Q910" i="2"/>
  <c r="P910" i="2"/>
  <c r="O910" i="2"/>
  <c r="M910" i="2"/>
  <c r="L910" i="2"/>
  <c r="R909" i="2"/>
  <c r="Q909" i="2"/>
  <c r="P909" i="2"/>
  <c r="O909" i="2"/>
  <c r="M909" i="2"/>
  <c r="L909" i="2"/>
  <c r="R908" i="2"/>
  <c r="Q908" i="2"/>
  <c r="P908" i="2"/>
  <c r="O908" i="2"/>
  <c r="M908" i="2"/>
  <c r="L908" i="2"/>
  <c r="R907" i="2"/>
  <c r="Q907" i="2"/>
  <c r="P907" i="2"/>
  <c r="O907" i="2"/>
  <c r="M907" i="2"/>
  <c r="L907" i="2"/>
  <c r="R906" i="2"/>
  <c r="Q906" i="2"/>
  <c r="P906" i="2"/>
  <c r="O906" i="2"/>
  <c r="M906" i="2"/>
  <c r="L906" i="2"/>
  <c r="R905" i="2"/>
  <c r="Q905" i="2"/>
  <c r="P905" i="2"/>
  <c r="O905" i="2"/>
  <c r="M905" i="2"/>
  <c r="L905" i="2"/>
  <c r="R904" i="2"/>
  <c r="Q904" i="2"/>
  <c r="P904" i="2"/>
  <c r="O904" i="2"/>
  <c r="M904" i="2"/>
  <c r="L904" i="2"/>
  <c r="R903" i="2"/>
  <c r="Q903" i="2"/>
  <c r="P903" i="2"/>
  <c r="O903" i="2"/>
  <c r="M903" i="2"/>
  <c r="L903" i="2"/>
  <c r="R902" i="2"/>
  <c r="Q902" i="2"/>
  <c r="P902" i="2"/>
  <c r="O902" i="2"/>
  <c r="M902" i="2"/>
  <c r="L902" i="2"/>
  <c r="R901" i="2"/>
  <c r="Q901" i="2"/>
  <c r="P901" i="2"/>
  <c r="O901" i="2"/>
  <c r="M901" i="2"/>
  <c r="L901" i="2"/>
  <c r="R900" i="2"/>
  <c r="Q900" i="2"/>
  <c r="P900" i="2"/>
  <c r="O900" i="2"/>
  <c r="M900" i="2"/>
  <c r="L900" i="2"/>
  <c r="R899" i="2"/>
  <c r="Q899" i="2"/>
  <c r="P899" i="2"/>
  <c r="O899" i="2"/>
  <c r="M899" i="2"/>
  <c r="L899" i="2"/>
  <c r="R898" i="2"/>
  <c r="Q898" i="2"/>
  <c r="P898" i="2"/>
  <c r="O898" i="2"/>
  <c r="M898" i="2"/>
  <c r="L898" i="2"/>
  <c r="R897" i="2"/>
  <c r="Q897" i="2"/>
  <c r="P897" i="2"/>
  <c r="O897" i="2"/>
  <c r="M897" i="2"/>
  <c r="L897" i="2"/>
  <c r="R896" i="2"/>
  <c r="Q896" i="2"/>
  <c r="P896" i="2"/>
  <c r="O896" i="2"/>
  <c r="M896" i="2"/>
  <c r="L896" i="2"/>
  <c r="R895" i="2"/>
  <c r="Q895" i="2"/>
  <c r="P895" i="2"/>
  <c r="O895" i="2"/>
  <c r="M895" i="2"/>
  <c r="L895" i="2"/>
  <c r="R894" i="2"/>
  <c r="Q894" i="2"/>
  <c r="P894" i="2"/>
  <c r="O894" i="2"/>
  <c r="M894" i="2"/>
  <c r="L894" i="2"/>
  <c r="R893" i="2"/>
  <c r="Q893" i="2"/>
  <c r="P893" i="2"/>
  <c r="O893" i="2"/>
  <c r="M893" i="2"/>
  <c r="L893" i="2"/>
  <c r="R892" i="2"/>
  <c r="Q892" i="2"/>
  <c r="P892" i="2"/>
  <c r="O892" i="2"/>
  <c r="M892" i="2"/>
  <c r="L892" i="2"/>
  <c r="R891" i="2"/>
  <c r="Q891" i="2"/>
  <c r="P891" i="2"/>
  <c r="O891" i="2"/>
  <c r="M891" i="2"/>
  <c r="L891" i="2"/>
  <c r="R890" i="2"/>
  <c r="Q890" i="2"/>
  <c r="P890" i="2"/>
  <c r="O890" i="2"/>
  <c r="M890" i="2"/>
  <c r="L890" i="2"/>
  <c r="R889" i="2"/>
  <c r="Q889" i="2"/>
  <c r="P889" i="2"/>
  <c r="O889" i="2"/>
  <c r="M889" i="2"/>
  <c r="L889" i="2"/>
  <c r="R888" i="2"/>
  <c r="Q888" i="2"/>
  <c r="P888" i="2"/>
  <c r="O888" i="2"/>
  <c r="M888" i="2"/>
  <c r="L888" i="2"/>
  <c r="R887" i="2"/>
  <c r="Q887" i="2"/>
  <c r="P887" i="2"/>
  <c r="O887" i="2"/>
  <c r="M887" i="2"/>
  <c r="L887" i="2"/>
  <c r="R886" i="2"/>
  <c r="Q886" i="2"/>
  <c r="P886" i="2"/>
  <c r="O886" i="2"/>
  <c r="M886" i="2"/>
  <c r="L886" i="2"/>
  <c r="R885" i="2"/>
  <c r="Q885" i="2"/>
  <c r="P885" i="2"/>
  <c r="O885" i="2"/>
  <c r="M885" i="2"/>
  <c r="L885" i="2"/>
  <c r="R884" i="2"/>
  <c r="Q884" i="2"/>
  <c r="P884" i="2"/>
  <c r="O884" i="2"/>
  <c r="M884" i="2"/>
  <c r="L884" i="2"/>
  <c r="R883" i="2"/>
  <c r="Q883" i="2"/>
  <c r="P883" i="2"/>
  <c r="O883" i="2"/>
  <c r="M883" i="2"/>
  <c r="L883" i="2"/>
  <c r="R882" i="2"/>
  <c r="Q882" i="2"/>
  <c r="P882" i="2"/>
  <c r="O882" i="2"/>
  <c r="M882" i="2"/>
  <c r="L882" i="2"/>
  <c r="R881" i="2"/>
  <c r="Q881" i="2"/>
  <c r="P881" i="2"/>
  <c r="O881" i="2"/>
  <c r="M881" i="2"/>
  <c r="L881" i="2"/>
  <c r="R880" i="2"/>
  <c r="Q880" i="2"/>
  <c r="P880" i="2"/>
  <c r="O880" i="2"/>
  <c r="M880" i="2"/>
  <c r="L880" i="2"/>
  <c r="R879" i="2"/>
  <c r="Q879" i="2"/>
  <c r="P879" i="2"/>
  <c r="O879" i="2"/>
  <c r="M879" i="2"/>
  <c r="L879" i="2"/>
  <c r="R878" i="2"/>
  <c r="Q878" i="2"/>
  <c r="P878" i="2"/>
  <c r="O878" i="2"/>
  <c r="M878" i="2"/>
  <c r="L878" i="2"/>
  <c r="R877" i="2"/>
  <c r="Q877" i="2"/>
  <c r="P877" i="2"/>
  <c r="O877" i="2"/>
  <c r="M877" i="2"/>
  <c r="L877" i="2"/>
  <c r="R876" i="2"/>
  <c r="Q876" i="2"/>
  <c r="P876" i="2"/>
  <c r="O876" i="2"/>
  <c r="M876" i="2"/>
  <c r="L876" i="2"/>
  <c r="R875" i="2"/>
  <c r="Q875" i="2"/>
  <c r="P875" i="2"/>
  <c r="O875" i="2"/>
  <c r="M875" i="2"/>
  <c r="L875" i="2"/>
  <c r="R874" i="2"/>
  <c r="Q874" i="2"/>
  <c r="P874" i="2"/>
  <c r="O874" i="2"/>
  <c r="M874" i="2"/>
  <c r="L874" i="2"/>
  <c r="R873" i="2"/>
  <c r="Q873" i="2"/>
  <c r="P873" i="2"/>
  <c r="O873" i="2"/>
  <c r="M873" i="2"/>
  <c r="L873" i="2"/>
  <c r="R872" i="2"/>
  <c r="Q872" i="2"/>
  <c r="P872" i="2"/>
  <c r="O872" i="2"/>
  <c r="M872" i="2"/>
  <c r="L872" i="2"/>
  <c r="R871" i="2"/>
  <c r="Q871" i="2"/>
  <c r="P871" i="2"/>
  <c r="O871" i="2"/>
  <c r="M871" i="2"/>
  <c r="L871" i="2"/>
  <c r="R870" i="2"/>
  <c r="Q870" i="2"/>
  <c r="P870" i="2"/>
  <c r="O870" i="2"/>
  <c r="M870" i="2"/>
  <c r="L870" i="2"/>
  <c r="R869" i="2"/>
  <c r="Q869" i="2"/>
  <c r="P869" i="2"/>
  <c r="O869" i="2"/>
  <c r="M869" i="2"/>
  <c r="L869" i="2"/>
  <c r="R868" i="2"/>
  <c r="Q868" i="2"/>
  <c r="P868" i="2"/>
  <c r="O868" i="2"/>
  <c r="M868" i="2"/>
  <c r="L868" i="2"/>
  <c r="R867" i="2"/>
  <c r="Q867" i="2"/>
  <c r="P867" i="2"/>
  <c r="O867" i="2"/>
  <c r="M867" i="2"/>
  <c r="L867" i="2"/>
  <c r="R866" i="2"/>
  <c r="Q866" i="2"/>
  <c r="P866" i="2"/>
  <c r="O866" i="2"/>
  <c r="M866" i="2"/>
  <c r="L866" i="2"/>
  <c r="R865" i="2"/>
  <c r="Q865" i="2"/>
  <c r="P865" i="2"/>
  <c r="O865" i="2"/>
  <c r="M865" i="2"/>
  <c r="L865" i="2"/>
  <c r="R864" i="2"/>
  <c r="Q864" i="2"/>
  <c r="P864" i="2"/>
  <c r="O864" i="2"/>
  <c r="M864" i="2"/>
  <c r="L864" i="2"/>
  <c r="R863" i="2"/>
  <c r="Q863" i="2"/>
  <c r="P863" i="2"/>
  <c r="O863" i="2"/>
  <c r="M863" i="2"/>
  <c r="L863" i="2"/>
  <c r="R862" i="2"/>
  <c r="Q862" i="2"/>
  <c r="P862" i="2"/>
  <c r="O862" i="2"/>
  <c r="M862" i="2"/>
  <c r="L862" i="2"/>
  <c r="R861" i="2"/>
  <c r="Q861" i="2"/>
  <c r="P861" i="2"/>
  <c r="O861" i="2"/>
  <c r="M861" i="2"/>
  <c r="L861" i="2"/>
  <c r="R860" i="2"/>
  <c r="Q860" i="2"/>
  <c r="P860" i="2"/>
  <c r="O860" i="2"/>
  <c r="M860" i="2"/>
  <c r="L860" i="2"/>
  <c r="R859" i="2"/>
  <c r="Q859" i="2"/>
  <c r="P859" i="2"/>
  <c r="O859" i="2"/>
  <c r="M859" i="2"/>
  <c r="L859" i="2"/>
  <c r="R858" i="2"/>
  <c r="Q858" i="2"/>
  <c r="P858" i="2"/>
  <c r="O858" i="2"/>
  <c r="M858" i="2"/>
  <c r="L858" i="2"/>
  <c r="R857" i="2"/>
  <c r="Q857" i="2"/>
  <c r="P857" i="2"/>
  <c r="O857" i="2"/>
  <c r="M857" i="2"/>
  <c r="L857" i="2"/>
  <c r="R856" i="2"/>
  <c r="Q856" i="2"/>
  <c r="P856" i="2"/>
  <c r="O856" i="2"/>
  <c r="M856" i="2"/>
  <c r="L856" i="2"/>
  <c r="R855" i="2"/>
  <c r="Q855" i="2"/>
  <c r="P855" i="2"/>
  <c r="O855" i="2"/>
  <c r="M855" i="2"/>
  <c r="L855" i="2"/>
  <c r="R854" i="2"/>
  <c r="Q854" i="2"/>
  <c r="P854" i="2"/>
  <c r="O854" i="2"/>
  <c r="M854" i="2"/>
  <c r="L854" i="2"/>
  <c r="R853" i="2"/>
  <c r="Q853" i="2"/>
  <c r="P853" i="2"/>
  <c r="O853" i="2"/>
  <c r="M853" i="2"/>
  <c r="L853" i="2"/>
  <c r="R852" i="2"/>
  <c r="Q852" i="2"/>
  <c r="P852" i="2"/>
  <c r="O852" i="2"/>
  <c r="M852" i="2"/>
  <c r="L852" i="2"/>
  <c r="R851" i="2"/>
  <c r="Q851" i="2"/>
  <c r="P851" i="2"/>
  <c r="O851" i="2"/>
  <c r="M851" i="2"/>
  <c r="L851" i="2"/>
  <c r="R850" i="2"/>
  <c r="Q850" i="2"/>
  <c r="P850" i="2"/>
  <c r="O850" i="2"/>
  <c r="M850" i="2"/>
  <c r="L850" i="2"/>
  <c r="R849" i="2"/>
  <c r="Q849" i="2"/>
  <c r="P849" i="2"/>
  <c r="O849" i="2"/>
  <c r="M849" i="2"/>
  <c r="L849" i="2"/>
  <c r="R848" i="2"/>
  <c r="Q848" i="2"/>
  <c r="P848" i="2"/>
  <c r="O848" i="2"/>
  <c r="M848" i="2"/>
  <c r="L848" i="2"/>
  <c r="R847" i="2"/>
  <c r="Q847" i="2"/>
  <c r="P847" i="2"/>
  <c r="O847" i="2"/>
  <c r="M847" i="2"/>
  <c r="L847" i="2"/>
  <c r="R846" i="2"/>
  <c r="Q846" i="2"/>
  <c r="P846" i="2"/>
  <c r="O846" i="2"/>
  <c r="M846" i="2"/>
  <c r="L846" i="2"/>
  <c r="R845" i="2"/>
  <c r="Q845" i="2"/>
  <c r="P845" i="2"/>
  <c r="O845" i="2"/>
  <c r="M845" i="2"/>
  <c r="L845" i="2"/>
  <c r="R844" i="2"/>
  <c r="Q844" i="2"/>
  <c r="P844" i="2"/>
  <c r="O844" i="2"/>
  <c r="M844" i="2"/>
  <c r="L844" i="2"/>
  <c r="R843" i="2"/>
  <c r="Q843" i="2"/>
  <c r="P843" i="2"/>
  <c r="O843" i="2"/>
  <c r="M843" i="2"/>
  <c r="L843" i="2"/>
  <c r="R842" i="2"/>
  <c r="Q842" i="2"/>
  <c r="P842" i="2"/>
  <c r="O842" i="2"/>
  <c r="M842" i="2"/>
  <c r="L842" i="2"/>
  <c r="R841" i="2"/>
  <c r="Q841" i="2"/>
  <c r="P841" i="2"/>
  <c r="O841" i="2"/>
  <c r="M841" i="2"/>
  <c r="L841" i="2"/>
  <c r="R840" i="2"/>
  <c r="Q840" i="2"/>
  <c r="P840" i="2"/>
  <c r="O840" i="2"/>
  <c r="M840" i="2"/>
  <c r="L840" i="2"/>
  <c r="R839" i="2"/>
  <c r="Q839" i="2"/>
  <c r="P839" i="2"/>
  <c r="O839" i="2"/>
  <c r="M839" i="2"/>
  <c r="L839" i="2"/>
  <c r="R838" i="2"/>
  <c r="Q838" i="2"/>
  <c r="P838" i="2"/>
  <c r="O838" i="2"/>
  <c r="M838" i="2"/>
  <c r="L838" i="2"/>
  <c r="R837" i="2"/>
  <c r="Q837" i="2"/>
  <c r="P837" i="2"/>
  <c r="O837" i="2"/>
  <c r="M837" i="2"/>
  <c r="L837" i="2"/>
  <c r="R836" i="2"/>
  <c r="Q836" i="2"/>
  <c r="P836" i="2"/>
  <c r="O836" i="2"/>
  <c r="M836" i="2"/>
  <c r="L836" i="2"/>
  <c r="R835" i="2"/>
  <c r="Q835" i="2"/>
  <c r="P835" i="2"/>
  <c r="O835" i="2"/>
  <c r="M835" i="2"/>
  <c r="L835" i="2"/>
  <c r="R834" i="2"/>
  <c r="Q834" i="2"/>
  <c r="P834" i="2"/>
  <c r="O834" i="2"/>
  <c r="M834" i="2"/>
  <c r="L834" i="2"/>
  <c r="R833" i="2"/>
  <c r="Q833" i="2"/>
  <c r="P833" i="2"/>
  <c r="O833" i="2"/>
  <c r="M833" i="2"/>
  <c r="L833" i="2"/>
  <c r="R832" i="2"/>
  <c r="Q832" i="2"/>
  <c r="P832" i="2"/>
  <c r="O832" i="2"/>
  <c r="M832" i="2"/>
  <c r="L832" i="2"/>
  <c r="R831" i="2"/>
  <c r="Q831" i="2"/>
  <c r="P831" i="2"/>
  <c r="O831" i="2"/>
  <c r="M831" i="2"/>
  <c r="L831" i="2"/>
  <c r="R830" i="2"/>
  <c r="Q830" i="2"/>
  <c r="P830" i="2"/>
  <c r="O830" i="2"/>
  <c r="M830" i="2"/>
  <c r="L830" i="2"/>
  <c r="R829" i="2"/>
  <c r="Q829" i="2"/>
  <c r="P829" i="2"/>
  <c r="O829" i="2"/>
  <c r="M829" i="2"/>
  <c r="L829" i="2"/>
  <c r="R828" i="2"/>
  <c r="Q828" i="2"/>
  <c r="P828" i="2"/>
  <c r="O828" i="2"/>
  <c r="M828" i="2"/>
  <c r="L828" i="2"/>
  <c r="R827" i="2"/>
  <c r="Q827" i="2"/>
  <c r="P827" i="2"/>
  <c r="O827" i="2"/>
  <c r="M827" i="2"/>
  <c r="L827" i="2"/>
  <c r="R826" i="2"/>
  <c r="Q826" i="2"/>
  <c r="P826" i="2"/>
  <c r="O826" i="2"/>
  <c r="M826" i="2"/>
  <c r="L826" i="2"/>
  <c r="R825" i="2"/>
  <c r="Q825" i="2"/>
  <c r="P825" i="2"/>
  <c r="O825" i="2"/>
  <c r="M825" i="2"/>
  <c r="L825" i="2"/>
  <c r="R824" i="2"/>
  <c r="Q824" i="2"/>
  <c r="P824" i="2"/>
  <c r="O824" i="2"/>
  <c r="M824" i="2"/>
  <c r="L824" i="2"/>
  <c r="R823" i="2"/>
  <c r="Q823" i="2"/>
  <c r="P823" i="2"/>
  <c r="O823" i="2"/>
  <c r="M823" i="2"/>
  <c r="L823" i="2"/>
  <c r="R822" i="2"/>
  <c r="Q822" i="2"/>
  <c r="P822" i="2"/>
  <c r="O822" i="2"/>
  <c r="M822" i="2"/>
  <c r="L822" i="2"/>
  <c r="R821" i="2"/>
  <c r="Q821" i="2"/>
  <c r="P821" i="2"/>
  <c r="O821" i="2"/>
  <c r="M821" i="2"/>
  <c r="L821" i="2"/>
  <c r="R820" i="2"/>
  <c r="Q820" i="2"/>
  <c r="P820" i="2"/>
  <c r="O820" i="2"/>
  <c r="M820" i="2"/>
  <c r="L820" i="2"/>
  <c r="R819" i="2"/>
  <c r="Q819" i="2"/>
  <c r="P819" i="2"/>
  <c r="O819" i="2"/>
  <c r="M819" i="2"/>
  <c r="L819" i="2"/>
  <c r="R818" i="2"/>
  <c r="Q818" i="2"/>
  <c r="P818" i="2"/>
  <c r="O818" i="2"/>
  <c r="M818" i="2"/>
  <c r="L818" i="2"/>
  <c r="R817" i="2"/>
  <c r="Q817" i="2"/>
  <c r="P817" i="2"/>
  <c r="O817" i="2"/>
  <c r="M817" i="2"/>
  <c r="L817" i="2"/>
  <c r="R816" i="2"/>
  <c r="Q816" i="2"/>
  <c r="P816" i="2"/>
  <c r="O816" i="2"/>
  <c r="M816" i="2"/>
  <c r="L816" i="2"/>
  <c r="R815" i="2"/>
  <c r="Q815" i="2"/>
  <c r="P815" i="2"/>
  <c r="O815" i="2"/>
  <c r="M815" i="2"/>
  <c r="L815" i="2"/>
  <c r="R814" i="2"/>
  <c r="Q814" i="2"/>
  <c r="P814" i="2"/>
  <c r="O814" i="2"/>
  <c r="M814" i="2"/>
  <c r="L814" i="2"/>
  <c r="R813" i="2"/>
  <c r="Q813" i="2"/>
  <c r="P813" i="2"/>
  <c r="O813" i="2"/>
  <c r="M813" i="2"/>
  <c r="L813" i="2"/>
  <c r="R812" i="2"/>
  <c r="Q812" i="2"/>
  <c r="P812" i="2"/>
  <c r="O812" i="2"/>
  <c r="M812" i="2"/>
  <c r="L812" i="2"/>
  <c r="R811" i="2"/>
  <c r="Q811" i="2"/>
  <c r="P811" i="2"/>
  <c r="O811" i="2"/>
  <c r="M811" i="2"/>
  <c r="L811" i="2"/>
  <c r="R810" i="2"/>
  <c r="Q810" i="2"/>
  <c r="P810" i="2"/>
  <c r="O810" i="2"/>
  <c r="M810" i="2"/>
  <c r="L810" i="2"/>
  <c r="R809" i="2"/>
  <c r="Q809" i="2"/>
  <c r="P809" i="2"/>
  <c r="O809" i="2"/>
  <c r="M809" i="2"/>
  <c r="L809" i="2"/>
  <c r="R808" i="2"/>
  <c r="Q808" i="2"/>
  <c r="P808" i="2"/>
  <c r="O808" i="2"/>
  <c r="M808" i="2"/>
  <c r="L808" i="2"/>
  <c r="R807" i="2"/>
  <c r="Q807" i="2"/>
  <c r="P807" i="2"/>
  <c r="O807" i="2"/>
  <c r="M807" i="2"/>
  <c r="L807" i="2"/>
  <c r="R806" i="2"/>
  <c r="Q806" i="2"/>
  <c r="P806" i="2"/>
  <c r="O806" i="2"/>
  <c r="M806" i="2"/>
  <c r="L806" i="2"/>
  <c r="R805" i="2"/>
  <c r="Q805" i="2"/>
  <c r="P805" i="2"/>
  <c r="O805" i="2"/>
  <c r="M805" i="2"/>
  <c r="L805" i="2"/>
  <c r="R804" i="2"/>
  <c r="Q804" i="2"/>
  <c r="P804" i="2"/>
  <c r="O804" i="2"/>
  <c r="M804" i="2"/>
  <c r="L804" i="2"/>
  <c r="R803" i="2"/>
  <c r="Q803" i="2"/>
  <c r="P803" i="2"/>
  <c r="O803" i="2"/>
  <c r="M803" i="2"/>
  <c r="L803" i="2"/>
  <c r="R802" i="2"/>
  <c r="Q802" i="2"/>
  <c r="P802" i="2"/>
  <c r="O802" i="2"/>
  <c r="M802" i="2"/>
  <c r="L802" i="2"/>
  <c r="R801" i="2"/>
  <c r="Q801" i="2"/>
  <c r="P801" i="2"/>
  <c r="O801" i="2"/>
  <c r="M801" i="2"/>
  <c r="L801" i="2"/>
  <c r="R800" i="2"/>
  <c r="Q800" i="2"/>
  <c r="P800" i="2"/>
  <c r="O800" i="2"/>
  <c r="M800" i="2"/>
  <c r="L800" i="2"/>
  <c r="R799" i="2"/>
  <c r="Q799" i="2"/>
  <c r="P799" i="2"/>
  <c r="O799" i="2"/>
  <c r="M799" i="2"/>
  <c r="L799" i="2"/>
  <c r="R798" i="2"/>
  <c r="Q798" i="2"/>
  <c r="P798" i="2"/>
  <c r="O798" i="2"/>
  <c r="M798" i="2"/>
  <c r="L798" i="2"/>
  <c r="R797" i="2"/>
  <c r="Q797" i="2"/>
  <c r="P797" i="2"/>
  <c r="O797" i="2"/>
  <c r="M797" i="2"/>
  <c r="L797" i="2"/>
  <c r="R796" i="2"/>
  <c r="Q796" i="2"/>
  <c r="P796" i="2"/>
  <c r="O796" i="2"/>
  <c r="M796" i="2"/>
  <c r="L796" i="2"/>
  <c r="R795" i="2"/>
  <c r="Q795" i="2"/>
  <c r="P795" i="2"/>
  <c r="O795" i="2"/>
  <c r="M795" i="2"/>
  <c r="L795" i="2"/>
  <c r="R794" i="2"/>
  <c r="Q794" i="2"/>
  <c r="P794" i="2"/>
  <c r="O794" i="2"/>
  <c r="M794" i="2"/>
  <c r="L794" i="2"/>
  <c r="R793" i="2"/>
  <c r="Q793" i="2"/>
  <c r="P793" i="2"/>
  <c r="O793" i="2"/>
  <c r="M793" i="2"/>
  <c r="L793" i="2"/>
  <c r="R792" i="2"/>
  <c r="Q792" i="2"/>
  <c r="P792" i="2"/>
  <c r="O792" i="2"/>
  <c r="M792" i="2"/>
  <c r="L792" i="2"/>
  <c r="R791" i="2"/>
  <c r="Q791" i="2"/>
  <c r="P791" i="2"/>
  <c r="O791" i="2"/>
  <c r="M791" i="2"/>
  <c r="L791" i="2"/>
  <c r="R790" i="2"/>
  <c r="Q790" i="2"/>
  <c r="P790" i="2"/>
  <c r="O790" i="2"/>
  <c r="M790" i="2"/>
  <c r="L790" i="2"/>
  <c r="R789" i="2"/>
  <c r="Q789" i="2"/>
  <c r="P789" i="2"/>
  <c r="O789" i="2"/>
  <c r="M789" i="2"/>
  <c r="L789" i="2"/>
  <c r="R788" i="2"/>
  <c r="Q788" i="2"/>
  <c r="P788" i="2"/>
  <c r="O788" i="2"/>
  <c r="M788" i="2"/>
  <c r="L788" i="2"/>
  <c r="R787" i="2"/>
  <c r="Q787" i="2"/>
  <c r="P787" i="2"/>
  <c r="O787" i="2"/>
  <c r="M787" i="2"/>
  <c r="L787" i="2"/>
  <c r="R786" i="2"/>
  <c r="Q786" i="2"/>
  <c r="P786" i="2"/>
  <c r="O786" i="2"/>
  <c r="M786" i="2"/>
  <c r="L786" i="2"/>
  <c r="R785" i="2"/>
  <c r="Q785" i="2"/>
  <c r="P785" i="2"/>
  <c r="O785" i="2"/>
  <c r="M785" i="2"/>
  <c r="L785" i="2"/>
  <c r="R784" i="2"/>
  <c r="Q784" i="2"/>
  <c r="P784" i="2"/>
  <c r="O784" i="2"/>
  <c r="M784" i="2"/>
  <c r="L784" i="2"/>
  <c r="R783" i="2"/>
  <c r="Q783" i="2"/>
  <c r="P783" i="2"/>
  <c r="O783" i="2"/>
  <c r="M783" i="2"/>
  <c r="L783" i="2"/>
  <c r="R782" i="2"/>
  <c r="Q782" i="2"/>
  <c r="P782" i="2"/>
  <c r="O782" i="2"/>
  <c r="M782" i="2"/>
  <c r="L782" i="2"/>
  <c r="R781" i="2"/>
  <c r="Q781" i="2"/>
  <c r="P781" i="2"/>
  <c r="O781" i="2"/>
  <c r="M781" i="2"/>
  <c r="L781" i="2"/>
  <c r="R780" i="2"/>
  <c r="Q780" i="2"/>
  <c r="P780" i="2"/>
  <c r="O780" i="2"/>
  <c r="M780" i="2"/>
  <c r="L780" i="2"/>
  <c r="R779" i="2"/>
  <c r="Q779" i="2"/>
  <c r="P779" i="2"/>
  <c r="O779" i="2"/>
  <c r="M779" i="2"/>
  <c r="L779" i="2"/>
  <c r="R778" i="2"/>
  <c r="Q778" i="2"/>
  <c r="P778" i="2"/>
  <c r="O778" i="2"/>
  <c r="M778" i="2"/>
  <c r="L778" i="2"/>
  <c r="R777" i="2"/>
  <c r="Q777" i="2"/>
  <c r="P777" i="2"/>
  <c r="O777" i="2"/>
  <c r="M777" i="2"/>
  <c r="L777" i="2"/>
  <c r="R776" i="2"/>
  <c r="Q776" i="2"/>
  <c r="P776" i="2"/>
  <c r="O776" i="2"/>
  <c r="M776" i="2"/>
  <c r="L776" i="2"/>
  <c r="R775" i="2"/>
  <c r="Q775" i="2"/>
  <c r="P775" i="2"/>
  <c r="O775" i="2"/>
  <c r="M775" i="2"/>
  <c r="L775" i="2"/>
  <c r="R774" i="2"/>
  <c r="Q774" i="2"/>
  <c r="P774" i="2"/>
  <c r="O774" i="2"/>
  <c r="M774" i="2"/>
  <c r="L774" i="2"/>
  <c r="R773" i="2"/>
  <c r="Q773" i="2"/>
  <c r="P773" i="2"/>
  <c r="O773" i="2"/>
  <c r="M773" i="2"/>
  <c r="L773" i="2"/>
  <c r="R772" i="2"/>
  <c r="Q772" i="2"/>
  <c r="P772" i="2"/>
  <c r="O772" i="2"/>
  <c r="M772" i="2"/>
  <c r="L772" i="2"/>
  <c r="R771" i="2"/>
  <c r="Q771" i="2"/>
  <c r="P771" i="2"/>
  <c r="O771" i="2"/>
  <c r="M771" i="2"/>
  <c r="L771" i="2"/>
  <c r="R770" i="2"/>
  <c r="Q770" i="2"/>
  <c r="P770" i="2"/>
  <c r="O770" i="2"/>
  <c r="M770" i="2"/>
  <c r="L770" i="2"/>
  <c r="R769" i="2"/>
  <c r="Q769" i="2"/>
  <c r="P769" i="2"/>
  <c r="O769" i="2"/>
  <c r="M769" i="2"/>
  <c r="L769" i="2"/>
  <c r="R768" i="2"/>
  <c r="Q768" i="2"/>
  <c r="P768" i="2"/>
  <c r="O768" i="2"/>
  <c r="M768" i="2"/>
  <c r="L768" i="2"/>
  <c r="R767" i="2"/>
  <c r="Q767" i="2"/>
  <c r="P767" i="2"/>
  <c r="O767" i="2"/>
  <c r="M767" i="2"/>
  <c r="L767" i="2"/>
  <c r="R766" i="2"/>
  <c r="Q766" i="2"/>
  <c r="P766" i="2"/>
  <c r="O766" i="2"/>
  <c r="M766" i="2"/>
  <c r="L766" i="2"/>
  <c r="R765" i="2"/>
  <c r="Q765" i="2"/>
  <c r="P765" i="2"/>
  <c r="O765" i="2"/>
  <c r="M765" i="2"/>
  <c r="L765" i="2"/>
  <c r="R764" i="2"/>
  <c r="Q764" i="2"/>
  <c r="P764" i="2"/>
  <c r="O764" i="2"/>
  <c r="M764" i="2"/>
  <c r="L764" i="2"/>
  <c r="R763" i="2"/>
  <c r="Q763" i="2"/>
  <c r="P763" i="2"/>
  <c r="O763" i="2"/>
  <c r="M763" i="2"/>
  <c r="L763" i="2"/>
  <c r="R762" i="2"/>
  <c r="Q762" i="2"/>
  <c r="P762" i="2"/>
  <c r="O762" i="2"/>
  <c r="M762" i="2"/>
  <c r="L762" i="2"/>
  <c r="R761" i="2"/>
  <c r="Q761" i="2"/>
  <c r="P761" i="2"/>
  <c r="O761" i="2"/>
  <c r="M761" i="2"/>
  <c r="L761" i="2"/>
  <c r="R760" i="2"/>
  <c r="Q760" i="2"/>
  <c r="P760" i="2"/>
  <c r="O760" i="2"/>
  <c r="M760" i="2"/>
  <c r="L760" i="2"/>
  <c r="R759" i="2"/>
  <c r="Q759" i="2"/>
  <c r="P759" i="2"/>
  <c r="O759" i="2"/>
  <c r="M759" i="2"/>
  <c r="L759" i="2"/>
  <c r="R758" i="2"/>
  <c r="Q758" i="2"/>
  <c r="P758" i="2"/>
  <c r="O758" i="2"/>
  <c r="M758" i="2"/>
  <c r="L758" i="2"/>
  <c r="R757" i="2"/>
  <c r="Q757" i="2"/>
  <c r="P757" i="2"/>
  <c r="O757" i="2"/>
  <c r="M757" i="2"/>
  <c r="L757" i="2"/>
  <c r="R756" i="2"/>
  <c r="Q756" i="2"/>
  <c r="P756" i="2"/>
  <c r="O756" i="2"/>
  <c r="M756" i="2"/>
  <c r="L756" i="2"/>
  <c r="R755" i="2"/>
  <c r="Q755" i="2"/>
  <c r="P755" i="2"/>
  <c r="O755" i="2"/>
  <c r="M755" i="2"/>
  <c r="L755" i="2"/>
  <c r="R754" i="2"/>
  <c r="Q754" i="2"/>
  <c r="P754" i="2"/>
  <c r="O754" i="2"/>
  <c r="M754" i="2"/>
  <c r="L754" i="2"/>
  <c r="R753" i="2"/>
  <c r="Q753" i="2"/>
  <c r="P753" i="2"/>
  <c r="O753" i="2"/>
  <c r="M753" i="2"/>
  <c r="L753" i="2"/>
  <c r="R752" i="2"/>
  <c r="Q752" i="2"/>
  <c r="P752" i="2"/>
  <c r="O752" i="2"/>
  <c r="M752" i="2"/>
  <c r="L752" i="2"/>
  <c r="R751" i="2"/>
  <c r="Q751" i="2"/>
  <c r="P751" i="2"/>
  <c r="O751" i="2"/>
  <c r="M751" i="2"/>
  <c r="L751" i="2"/>
  <c r="R750" i="2"/>
  <c r="Q750" i="2"/>
  <c r="P750" i="2"/>
  <c r="O750" i="2"/>
  <c r="M750" i="2"/>
  <c r="L750" i="2"/>
  <c r="R749" i="2"/>
  <c r="Q749" i="2"/>
  <c r="P749" i="2"/>
  <c r="O749" i="2"/>
  <c r="M749" i="2"/>
  <c r="L749" i="2"/>
  <c r="R748" i="2"/>
  <c r="Q748" i="2"/>
  <c r="P748" i="2"/>
  <c r="O748" i="2"/>
  <c r="M748" i="2"/>
  <c r="L748" i="2"/>
  <c r="R747" i="2"/>
  <c r="Q747" i="2"/>
  <c r="P747" i="2"/>
  <c r="O747" i="2"/>
  <c r="M747" i="2"/>
  <c r="L747" i="2"/>
  <c r="R746" i="2"/>
  <c r="Q746" i="2"/>
  <c r="P746" i="2"/>
  <c r="O746" i="2"/>
  <c r="M746" i="2"/>
  <c r="L746" i="2"/>
  <c r="R745" i="2"/>
  <c r="Q745" i="2"/>
  <c r="P745" i="2"/>
  <c r="O745" i="2"/>
  <c r="M745" i="2"/>
  <c r="L745" i="2"/>
  <c r="R744" i="2"/>
  <c r="Q744" i="2"/>
  <c r="P744" i="2"/>
  <c r="O744" i="2"/>
  <c r="M744" i="2"/>
  <c r="L744" i="2"/>
  <c r="R743" i="2"/>
  <c r="Q743" i="2"/>
  <c r="P743" i="2"/>
  <c r="O743" i="2"/>
  <c r="M743" i="2"/>
  <c r="L743" i="2"/>
  <c r="R742" i="2"/>
  <c r="Q742" i="2"/>
  <c r="P742" i="2"/>
  <c r="O742" i="2"/>
  <c r="M742" i="2"/>
  <c r="L742" i="2"/>
  <c r="R741" i="2"/>
  <c r="Q741" i="2"/>
  <c r="P741" i="2"/>
  <c r="O741" i="2"/>
  <c r="M741" i="2"/>
  <c r="L741" i="2"/>
  <c r="R740" i="2"/>
  <c r="Q740" i="2"/>
  <c r="P740" i="2"/>
  <c r="O740" i="2"/>
  <c r="M740" i="2"/>
  <c r="L740" i="2"/>
  <c r="R739" i="2"/>
  <c r="Q739" i="2"/>
  <c r="P739" i="2"/>
  <c r="O739" i="2"/>
  <c r="M739" i="2"/>
  <c r="L739" i="2"/>
  <c r="R738" i="2"/>
  <c r="Q738" i="2"/>
  <c r="P738" i="2"/>
  <c r="O738" i="2"/>
  <c r="M738" i="2"/>
  <c r="L738" i="2"/>
  <c r="R737" i="2"/>
  <c r="Q737" i="2"/>
  <c r="P737" i="2"/>
  <c r="O737" i="2"/>
  <c r="M737" i="2"/>
  <c r="L737" i="2"/>
  <c r="R736" i="2"/>
  <c r="Q736" i="2"/>
  <c r="P736" i="2"/>
  <c r="O736" i="2"/>
  <c r="M736" i="2"/>
  <c r="L736" i="2"/>
  <c r="R735" i="2"/>
  <c r="Q735" i="2"/>
  <c r="P735" i="2"/>
  <c r="O735" i="2"/>
  <c r="M735" i="2"/>
  <c r="L735" i="2"/>
  <c r="R734" i="2"/>
  <c r="Q734" i="2"/>
  <c r="P734" i="2"/>
  <c r="O734" i="2"/>
  <c r="M734" i="2"/>
  <c r="L734" i="2"/>
  <c r="R733" i="2"/>
  <c r="Q733" i="2"/>
  <c r="P733" i="2"/>
  <c r="O733" i="2"/>
  <c r="M733" i="2"/>
  <c r="L733" i="2"/>
  <c r="R732" i="2"/>
  <c r="Q732" i="2"/>
  <c r="P732" i="2"/>
  <c r="O732" i="2"/>
  <c r="M732" i="2"/>
  <c r="L732" i="2"/>
  <c r="R731" i="2"/>
  <c r="Q731" i="2"/>
  <c r="P731" i="2"/>
  <c r="O731" i="2"/>
  <c r="M731" i="2"/>
  <c r="L731" i="2"/>
  <c r="R730" i="2"/>
  <c r="Q730" i="2"/>
  <c r="P730" i="2"/>
  <c r="O730" i="2"/>
  <c r="M730" i="2"/>
  <c r="L730" i="2"/>
  <c r="R729" i="2"/>
  <c r="Q729" i="2"/>
  <c r="P729" i="2"/>
  <c r="O729" i="2"/>
  <c r="M729" i="2"/>
  <c r="L729" i="2"/>
  <c r="R728" i="2"/>
  <c r="Q728" i="2"/>
  <c r="P728" i="2"/>
  <c r="O728" i="2"/>
  <c r="M728" i="2"/>
  <c r="L728" i="2"/>
  <c r="R727" i="2"/>
  <c r="Q727" i="2"/>
  <c r="P727" i="2"/>
  <c r="O727" i="2"/>
  <c r="M727" i="2"/>
  <c r="L727" i="2"/>
  <c r="R726" i="2"/>
  <c r="Q726" i="2"/>
  <c r="P726" i="2"/>
  <c r="O726" i="2"/>
  <c r="M726" i="2"/>
  <c r="L726" i="2"/>
  <c r="R725" i="2"/>
  <c r="Q725" i="2"/>
  <c r="P725" i="2"/>
  <c r="O725" i="2"/>
  <c r="M725" i="2"/>
  <c r="L725" i="2"/>
  <c r="R724" i="2"/>
  <c r="Q724" i="2"/>
  <c r="P724" i="2"/>
  <c r="O724" i="2"/>
  <c r="M724" i="2"/>
  <c r="L724" i="2"/>
  <c r="R723" i="2"/>
  <c r="Q723" i="2"/>
  <c r="P723" i="2"/>
  <c r="O723" i="2"/>
  <c r="M723" i="2"/>
  <c r="L723" i="2"/>
  <c r="R722" i="2"/>
  <c r="Q722" i="2"/>
  <c r="P722" i="2"/>
  <c r="O722" i="2"/>
  <c r="M722" i="2"/>
  <c r="L722" i="2"/>
  <c r="R721" i="2"/>
  <c r="Q721" i="2"/>
  <c r="P721" i="2"/>
  <c r="O721" i="2"/>
  <c r="M721" i="2"/>
  <c r="L721" i="2"/>
  <c r="R720" i="2"/>
  <c r="Q720" i="2"/>
  <c r="P720" i="2"/>
  <c r="O720" i="2"/>
  <c r="M720" i="2"/>
  <c r="L720" i="2"/>
  <c r="R719" i="2"/>
  <c r="Q719" i="2"/>
  <c r="P719" i="2"/>
  <c r="O719" i="2"/>
  <c r="M719" i="2"/>
  <c r="L719" i="2"/>
  <c r="R718" i="2"/>
  <c r="Q718" i="2"/>
  <c r="P718" i="2"/>
  <c r="O718" i="2"/>
  <c r="M718" i="2"/>
  <c r="L718" i="2"/>
  <c r="R717" i="2"/>
  <c r="Q717" i="2"/>
  <c r="P717" i="2"/>
  <c r="O717" i="2"/>
  <c r="M717" i="2"/>
  <c r="L717" i="2"/>
  <c r="R716" i="2"/>
  <c r="Q716" i="2"/>
  <c r="P716" i="2"/>
  <c r="O716" i="2"/>
  <c r="M716" i="2"/>
  <c r="L716" i="2"/>
  <c r="R715" i="2"/>
  <c r="Q715" i="2"/>
  <c r="P715" i="2"/>
  <c r="O715" i="2"/>
  <c r="M715" i="2"/>
  <c r="L715" i="2"/>
  <c r="R714" i="2"/>
  <c r="Q714" i="2"/>
  <c r="P714" i="2"/>
  <c r="O714" i="2"/>
  <c r="M714" i="2"/>
  <c r="L714" i="2"/>
  <c r="R713" i="2"/>
  <c r="Q713" i="2"/>
  <c r="P713" i="2"/>
  <c r="O713" i="2"/>
  <c r="M713" i="2"/>
  <c r="L713" i="2"/>
  <c r="R712" i="2"/>
  <c r="Q712" i="2"/>
  <c r="P712" i="2"/>
  <c r="O712" i="2"/>
  <c r="M712" i="2"/>
  <c r="L712" i="2"/>
  <c r="R711" i="2"/>
  <c r="Q711" i="2"/>
  <c r="P711" i="2"/>
  <c r="O711" i="2"/>
  <c r="M711" i="2"/>
  <c r="L711" i="2"/>
  <c r="R710" i="2"/>
  <c r="Q710" i="2"/>
  <c r="P710" i="2"/>
  <c r="O710" i="2"/>
  <c r="M710" i="2"/>
  <c r="L710" i="2"/>
  <c r="R709" i="2"/>
  <c r="Q709" i="2"/>
  <c r="P709" i="2"/>
  <c r="O709" i="2"/>
  <c r="M709" i="2"/>
  <c r="L709" i="2"/>
  <c r="R708" i="2"/>
  <c r="Q708" i="2"/>
  <c r="P708" i="2"/>
  <c r="O708" i="2"/>
  <c r="M708" i="2"/>
  <c r="L708" i="2"/>
  <c r="R707" i="2"/>
  <c r="Q707" i="2"/>
  <c r="P707" i="2"/>
  <c r="O707" i="2"/>
  <c r="M707" i="2"/>
  <c r="L707" i="2"/>
  <c r="R706" i="2"/>
  <c r="Q706" i="2"/>
  <c r="P706" i="2"/>
  <c r="O706" i="2"/>
  <c r="M706" i="2"/>
  <c r="L706" i="2"/>
  <c r="R705" i="2"/>
  <c r="Q705" i="2"/>
  <c r="P705" i="2"/>
  <c r="O705" i="2"/>
  <c r="M705" i="2"/>
  <c r="L705" i="2"/>
  <c r="R704" i="2"/>
  <c r="Q704" i="2"/>
  <c r="P704" i="2"/>
  <c r="O704" i="2"/>
  <c r="M704" i="2"/>
  <c r="L704" i="2"/>
  <c r="R703" i="2"/>
  <c r="Q703" i="2"/>
  <c r="P703" i="2"/>
  <c r="O703" i="2"/>
  <c r="M703" i="2"/>
  <c r="L703" i="2"/>
  <c r="R702" i="2"/>
  <c r="Q702" i="2"/>
  <c r="P702" i="2"/>
  <c r="O702" i="2"/>
  <c r="M702" i="2"/>
  <c r="L702" i="2"/>
  <c r="R701" i="2"/>
  <c r="Q701" i="2"/>
  <c r="P701" i="2"/>
  <c r="O701" i="2"/>
  <c r="M701" i="2"/>
  <c r="L701" i="2"/>
  <c r="R700" i="2"/>
  <c r="Q700" i="2"/>
  <c r="P700" i="2"/>
  <c r="O700" i="2"/>
  <c r="M700" i="2"/>
  <c r="L700" i="2"/>
  <c r="R699" i="2"/>
  <c r="Q699" i="2"/>
  <c r="P699" i="2"/>
  <c r="O699" i="2"/>
  <c r="M699" i="2"/>
  <c r="L699" i="2"/>
  <c r="R698" i="2"/>
  <c r="Q698" i="2"/>
  <c r="P698" i="2"/>
  <c r="O698" i="2"/>
  <c r="M698" i="2"/>
  <c r="L698" i="2"/>
  <c r="R697" i="2"/>
  <c r="Q697" i="2"/>
  <c r="P697" i="2"/>
  <c r="O697" i="2"/>
  <c r="M697" i="2"/>
  <c r="L697" i="2"/>
  <c r="R696" i="2"/>
  <c r="Q696" i="2"/>
  <c r="P696" i="2"/>
  <c r="O696" i="2"/>
  <c r="M696" i="2"/>
  <c r="L696" i="2"/>
  <c r="R695" i="2"/>
  <c r="Q695" i="2"/>
  <c r="P695" i="2"/>
  <c r="O695" i="2"/>
  <c r="M695" i="2"/>
  <c r="L695" i="2"/>
  <c r="R694" i="2"/>
  <c r="Q694" i="2"/>
  <c r="P694" i="2"/>
  <c r="O694" i="2"/>
  <c r="M694" i="2"/>
  <c r="L694" i="2"/>
  <c r="R693" i="2"/>
  <c r="Q693" i="2"/>
  <c r="P693" i="2"/>
  <c r="O693" i="2"/>
  <c r="M693" i="2"/>
  <c r="L693" i="2"/>
  <c r="R692" i="2"/>
  <c r="Q692" i="2"/>
  <c r="P692" i="2"/>
  <c r="O692" i="2"/>
  <c r="M692" i="2"/>
  <c r="L692" i="2"/>
  <c r="R691" i="2"/>
  <c r="Q691" i="2"/>
  <c r="P691" i="2"/>
  <c r="O691" i="2"/>
  <c r="M691" i="2"/>
  <c r="L691" i="2"/>
  <c r="R690" i="2"/>
  <c r="Q690" i="2"/>
  <c r="P690" i="2"/>
  <c r="O690" i="2"/>
  <c r="M690" i="2"/>
  <c r="L690" i="2"/>
  <c r="R689" i="2"/>
  <c r="Q689" i="2"/>
  <c r="P689" i="2"/>
  <c r="O689" i="2"/>
  <c r="M689" i="2"/>
  <c r="L689" i="2"/>
  <c r="R688" i="2"/>
  <c r="Q688" i="2"/>
  <c r="P688" i="2"/>
  <c r="O688" i="2"/>
  <c r="M688" i="2"/>
  <c r="L688" i="2"/>
  <c r="R687" i="2"/>
  <c r="Q687" i="2"/>
  <c r="P687" i="2"/>
  <c r="O687" i="2"/>
  <c r="M687" i="2"/>
  <c r="L687" i="2"/>
  <c r="R686" i="2"/>
  <c r="Q686" i="2"/>
  <c r="P686" i="2"/>
  <c r="O686" i="2"/>
  <c r="M686" i="2"/>
  <c r="L686" i="2"/>
  <c r="R685" i="2"/>
  <c r="Q685" i="2"/>
  <c r="P685" i="2"/>
  <c r="O685" i="2"/>
  <c r="M685" i="2"/>
  <c r="L685" i="2"/>
  <c r="R684" i="2"/>
  <c r="Q684" i="2"/>
  <c r="P684" i="2"/>
  <c r="O684" i="2"/>
  <c r="M684" i="2"/>
  <c r="L684" i="2"/>
  <c r="R683" i="2"/>
  <c r="Q683" i="2"/>
  <c r="P683" i="2"/>
  <c r="O683" i="2"/>
  <c r="M683" i="2"/>
  <c r="L683" i="2"/>
  <c r="R682" i="2"/>
  <c r="Q682" i="2"/>
  <c r="P682" i="2"/>
  <c r="O682" i="2"/>
  <c r="M682" i="2"/>
  <c r="L682" i="2"/>
  <c r="R681" i="2"/>
  <c r="Q681" i="2"/>
  <c r="P681" i="2"/>
  <c r="O681" i="2"/>
  <c r="M681" i="2"/>
  <c r="L681" i="2"/>
  <c r="R680" i="2"/>
  <c r="Q680" i="2"/>
  <c r="P680" i="2"/>
  <c r="O680" i="2"/>
  <c r="M680" i="2"/>
  <c r="L680" i="2"/>
  <c r="R679" i="2"/>
  <c r="Q679" i="2"/>
  <c r="P679" i="2"/>
  <c r="O679" i="2"/>
  <c r="M679" i="2"/>
  <c r="L679" i="2"/>
  <c r="R678" i="2"/>
  <c r="Q678" i="2"/>
  <c r="P678" i="2"/>
  <c r="O678" i="2"/>
  <c r="M678" i="2"/>
  <c r="L678" i="2"/>
  <c r="R677" i="2"/>
  <c r="Q677" i="2"/>
  <c r="P677" i="2"/>
  <c r="O677" i="2"/>
  <c r="M677" i="2"/>
  <c r="L677" i="2"/>
  <c r="R676" i="2"/>
  <c r="Q676" i="2"/>
  <c r="P676" i="2"/>
  <c r="O676" i="2"/>
  <c r="M676" i="2"/>
  <c r="L676" i="2"/>
  <c r="R675" i="2"/>
  <c r="Q675" i="2"/>
  <c r="P675" i="2"/>
  <c r="O675" i="2"/>
  <c r="M675" i="2"/>
  <c r="L675" i="2"/>
  <c r="R674" i="2"/>
  <c r="Q674" i="2"/>
  <c r="P674" i="2"/>
  <c r="O674" i="2"/>
  <c r="M674" i="2"/>
  <c r="L674" i="2"/>
  <c r="R673" i="2"/>
  <c r="Q673" i="2"/>
  <c r="P673" i="2"/>
  <c r="O673" i="2"/>
  <c r="M673" i="2"/>
  <c r="L673" i="2"/>
  <c r="R672" i="2"/>
  <c r="Q672" i="2"/>
  <c r="P672" i="2"/>
  <c r="O672" i="2"/>
  <c r="M672" i="2"/>
  <c r="L672" i="2"/>
  <c r="R671" i="2"/>
  <c r="Q671" i="2"/>
  <c r="P671" i="2"/>
  <c r="O671" i="2"/>
  <c r="M671" i="2"/>
  <c r="L671" i="2"/>
  <c r="R670" i="2"/>
  <c r="Q670" i="2"/>
  <c r="P670" i="2"/>
  <c r="O670" i="2"/>
  <c r="M670" i="2"/>
  <c r="L670" i="2"/>
  <c r="R669" i="2"/>
  <c r="Q669" i="2"/>
  <c r="P669" i="2"/>
  <c r="O669" i="2"/>
  <c r="M669" i="2"/>
  <c r="L669" i="2"/>
  <c r="R668" i="2"/>
  <c r="Q668" i="2"/>
  <c r="P668" i="2"/>
  <c r="O668" i="2"/>
  <c r="M668" i="2"/>
  <c r="L668" i="2"/>
  <c r="R667" i="2"/>
  <c r="Q667" i="2"/>
  <c r="P667" i="2"/>
  <c r="O667" i="2"/>
  <c r="M667" i="2"/>
  <c r="L667" i="2"/>
  <c r="R666" i="2"/>
  <c r="Q666" i="2"/>
  <c r="P666" i="2"/>
  <c r="O666" i="2"/>
  <c r="M666" i="2"/>
  <c r="L666" i="2"/>
  <c r="R665" i="2"/>
  <c r="Q665" i="2"/>
  <c r="P665" i="2"/>
  <c r="O665" i="2"/>
  <c r="M665" i="2"/>
  <c r="L665" i="2"/>
  <c r="R664" i="2"/>
  <c r="Q664" i="2"/>
  <c r="P664" i="2"/>
  <c r="O664" i="2"/>
  <c r="M664" i="2"/>
  <c r="L664" i="2"/>
  <c r="R663" i="2"/>
  <c r="Q663" i="2"/>
  <c r="P663" i="2"/>
  <c r="O663" i="2"/>
  <c r="M663" i="2"/>
  <c r="L663" i="2"/>
  <c r="R662" i="2"/>
  <c r="Q662" i="2"/>
  <c r="P662" i="2"/>
  <c r="O662" i="2"/>
  <c r="M662" i="2"/>
  <c r="L662" i="2"/>
  <c r="R661" i="2"/>
  <c r="Q661" i="2"/>
  <c r="P661" i="2"/>
  <c r="O661" i="2"/>
  <c r="M661" i="2"/>
  <c r="L661" i="2"/>
  <c r="R660" i="2"/>
  <c r="Q660" i="2"/>
  <c r="P660" i="2"/>
  <c r="O660" i="2"/>
  <c r="M660" i="2"/>
  <c r="L660" i="2"/>
  <c r="R659" i="2"/>
  <c r="Q659" i="2"/>
  <c r="P659" i="2"/>
  <c r="O659" i="2"/>
  <c r="M659" i="2"/>
  <c r="L659" i="2"/>
  <c r="R658" i="2"/>
  <c r="Q658" i="2"/>
  <c r="P658" i="2"/>
  <c r="O658" i="2"/>
  <c r="M658" i="2"/>
  <c r="L658" i="2"/>
  <c r="R657" i="2"/>
  <c r="Q657" i="2"/>
  <c r="P657" i="2"/>
  <c r="O657" i="2"/>
  <c r="M657" i="2"/>
  <c r="L657" i="2"/>
  <c r="R656" i="2"/>
  <c r="Q656" i="2"/>
  <c r="P656" i="2"/>
  <c r="O656" i="2"/>
  <c r="M656" i="2"/>
  <c r="L656" i="2"/>
  <c r="R655" i="2"/>
  <c r="Q655" i="2"/>
  <c r="P655" i="2"/>
  <c r="O655" i="2"/>
  <c r="M655" i="2"/>
  <c r="L655" i="2"/>
  <c r="R654" i="2"/>
  <c r="Q654" i="2"/>
  <c r="P654" i="2"/>
  <c r="O654" i="2"/>
  <c r="M654" i="2"/>
  <c r="L654" i="2"/>
  <c r="R653" i="2"/>
  <c r="Q653" i="2"/>
  <c r="P653" i="2"/>
  <c r="O653" i="2"/>
  <c r="M653" i="2"/>
  <c r="L653" i="2"/>
  <c r="R652" i="2"/>
  <c r="Q652" i="2"/>
  <c r="P652" i="2"/>
  <c r="O652" i="2"/>
  <c r="M652" i="2"/>
  <c r="L652" i="2"/>
  <c r="R651" i="2"/>
  <c r="Q651" i="2"/>
  <c r="P651" i="2"/>
  <c r="O651" i="2"/>
  <c r="M651" i="2"/>
  <c r="L651" i="2"/>
  <c r="R650" i="2"/>
  <c r="Q650" i="2"/>
  <c r="P650" i="2"/>
  <c r="O650" i="2"/>
  <c r="M650" i="2"/>
  <c r="L650" i="2"/>
  <c r="R649" i="2"/>
  <c r="Q649" i="2"/>
  <c r="P649" i="2"/>
  <c r="O649" i="2"/>
  <c r="M649" i="2"/>
  <c r="L649" i="2"/>
  <c r="R648" i="2"/>
  <c r="Q648" i="2"/>
  <c r="P648" i="2"/>
  <c r="O648" i="2"/>
  <c r="M648" i="2"/>
  <c r="L648" i="2"/>
  <c r="R647" i="2"/>
  <c r="Q647" i="2"/>
  <c r="P647" i="2"/>
  <c r="O647" i="2"/>
  <c r="M647" i="2"/>
  <c r="L647" i="2"/>
  <c r="R646" i="2"/>
  <c r="Q646" i="2"/>
  <c r="P646" i="2"/>
  <c r="O646" i="2"/>
  <c r="M646" i="2"/>
  <c r="L646" i="2"/>
  <c r="R645" i="2"/>
  <c r="Q645" i="2"/>
  <c r="P645" i="2"/>
  <c r="O645" i="2"/>
  <c r="M645" i="2"/>
  <c r="L645" i="2"/>
  <c r="R644" i="2"/>
  <c r="Q644" i="2"/>
  <c r="P644" i="2"/>
  <c r="O644" i="2"/>
  <c r="M644" i="2"/>
  <c r="L644" i="2"/>
  <c r="R643" i="2"/>
  <c r="Q643" i="2"/>
  <c r="P643" i="2"/>
  <c r="O643" i="2"/>
  <c r="M643" i="2"/>
  <c r="L643" i="2"/>
  <c r="R642" i="2"/>
  <c r="Q642" i="2"/>
  <c r="P642" i="2"/>
  <c r="O642" i="2"/>
  <c r="M642" i="2"/>
  <c r="L642" i="2"/>
  <c r="R641" i="2"/>
  <c r="Q641" i="2"/>
  <c r="P641" i="2"/>
  <c r="O641" i="2"/>
  <c r="M641" i="2"/>
  <c r="L641" i="2"/>
  <c r="R640" i="2"/>
  <c r="Q640" i="2"/>
  <c r="P640" i="2"/>
  <c r="O640" i="2"/>
  <c r="M640" i="2"/>
  <c r="L640" i="2"/>
  <c r="R639" i="2"/>
  <c r="Q639" i="2"/>
  <c r="P639" i="2"/>
  <c r="O639" i="2"/>
  <c r="M639" i="2"/>
  <c r="L639" i="2"/>
  <c r="R638" i="2"/>
  <c r="Q638" i="2"/>
  <c r="P638" i="2"/>
  <c r="O638" i="2"/>
  <c r="M638" i="2"/>
  <c r="L638" i="2"/>
  <c r="R637" i="2"/>
  <c r="Q637" i="2"/>
  <c r="P637" i="2"/>
  <c r="O637" i="2"/>
  <c r="M637" i="2"/>
  <c r="L637" i="2"/>
  <c r="R636" i="2"/>
  <c r="Q636" i="2"/>
  <c r="P636" i="2"/>
  <c r="O636" i="2"/>
  <c r="M636" i="2"/>
  <c r="L636" i="2"/>
  <c r="R635" i="2"/>
  <c r="Q635" i="2"/>
  <c r="P635" i="2"/>
  <c r="O635" i="2"/>
  <c r="M635" i="2"/>
  <c r="L635" i="2"/>
  <c r="R634" i="2"/>
  <c r="Q634" i="2"/>
  <c r="P634" i="2"/>
  <c r="O634" i="2"/>
  <c r="M634" i="2"/>
  <c r="L634" i="2"/>
  <c r="R633" i="2"/>
  <c r="Q633" i="2"/>
  <c r="P633" i="2"/>
  <c r="O633" i="2"/>
  <c r="M633" i="2"/>
  <c r="L633" i="2"/>
  <c r="R632" i="2"/>
  <c r="Q632" i="2"/>
  <c r="P632" i="2"/>
  <c r="O632" i="2"/>
  <c r="M632" i="2"/>
  <c r="L632" i="2"/>
  <c r="R631" i="2"/>
  <c r="Q631" i="2"/>
  <c r="P631" i="2"/>
  <c r="O631" i="2"/>
  <c r="M631" i="2"/>
  <c r="L631" i="2"/>
  <c r="R630" i="2"/>
  <c r="Q630" i="2"/>
  <c r="P630" i="2"/>
  <c r="O630" i="2"/>
  <c r="M630" i="2"/>
  <c r="L630" i="2"/>
  <c r="R629" i="2"/>
  <c r="Q629" i="2"/>
  <c r="P629" i="2"/>
  <c r="O629" i="2"/>
  <c r="M629" i="2"/>
  <c r="L629" i="2"/>
  <c r="R628" i="2"/>
  <c r="Q628" i="2"/>
  <c r="P628" i="2"/>
  <c r="O628" i="2"/>
  <c r="M628" i="2"/>
  <c r="L628" i="2"/>
  <c r="R627" i="2"/>
  <c r="Q627" i="2"/>
  <c r="P627" i="2"/>
  <c r="O627" i="2"/>
  <c r="M627" i="2"/>
  <c r="L627" i="2"/>
  <c r="R626" i="2"/>
  <c r="Q626" i="2"/>
  <c r="P626" i="2"/>
  <c r="O626" i="2"/>
  <c r="M626" i="2"/>
  <c r="L626" i="2"/>
  <c r="R625" i="2"/>
  <c r="Q625" i="2"/>
  <c r="P625" i="2"/>
  <c r="O625" i="2"/>
  <c r="M625" i="2"/>
  <c r="L625" i="2"/>
  <c r="R624" i="2"/>
  <c r="Q624" i="2"/>
  <c r="P624" i="2"/>
  <c r="O624" i="2"/>
  <c r="M624" i="2"/>
  <c r="L624" i="2"/>
  <c r="R623" i="2"/>
  <c r="Q623" i="2"/>
  <c r="P623" i="2"/>
  <c r="O623" i="2"/>
  <c r="M623" i="2"/>
  <c r="L623" i="2"/>
  <c r="R622" i="2"/>
  <c r="Q622" i="2"/>
  <c r="P622" i="2"/>
  <c r="O622" i="2"/>
  <c r="M622" i="2"/>
  <c r="L622" i="2"/>
  <c r="R621" i="2"/>
  <c r="Q621" i="2"/>
  <c r="P621" i="2"/>
  <c r="O621" i="2"/>
  <c r="M621" i="2"/>
  <c r="L621" i="2"/>
  <c r="R620" i="2"/>
  <c r="Q620" i="2"/>
  <c r="P620" i="2"/>
  <c r="O620" i="2"/>
  <c r="M620" i="2"/>
  <c r="L620" i="2"/>
  <c r="R619" i="2"/>
  <c r="Q619" i="2"/>
  <c r="P619" i="2"/>
  <c r="O619" i="2"/>
  <c r="M619" i="2"/>
  <c r="L619" i="2"/>
  <c r="R618" i="2"/>
  <c r="Q618" i="2"/>
  <c r="P618" i="2"/>
  <c r="O618" i="2"/>
  <c r="M618" i="2"/>
  <c r="L618" i="2"/>
  <c r="R617" i="2"/>
  <c r="Q617" i="2"/>
  <c r="P617" i="2"/>
  <c r="O617" i="2"/>
  <c r="M617" i="2"/>
  <c r="L617" i="2"/>
  <c r="R616" i="2"/>
  <c r="Q616" i="2"/>
  <c r="P616" i="2"/>
  <c r="O616" i="2"/>
  <c r="M616" i="2"/>
  <c r="L616" i="2"/>
  <c r="R615" i="2"/>
  <c r="Q615" i="2"/>
  <c r="P615" i="2"/>
  <c r="O615" i="2"/>
  <c r="M615" i="2"/>
  <c r="L615" i="2"/>
  <c r="R614" i="2"/>
  <c r="Q614" i="2"/>
  <c r="P614" i="2"/>
  <c r="O614" i="2"/>
  <c r="M614" i="2"/>
  <c r="L614" i="2"/>
  <c r="R613" i="2"/>
  <c r="Q613" i="2"/>
  <c r="P613" i="2"/>
  <c r="O613" i="2"/>
  <c r="M613" i="2"/>
  <c r="L613" i="2"/>
  <c r="R612" i="2"/>
  <c r="Q612" i="2"/>
  <c r="P612" i="2"/>
  <c r="O612" i="2"/>
  <c r="M612" i="2"/>
  <c r="L612" i="2"/>
  <c r="R611" i="2"/>
  <c r="Q611" i="2"/>
  <c r="P611" i="2"/>
  <c r="O611" i="2"/>
  <c r="M611" i="2"/>
  <c r="L611" i="2"/>
  <c r="R610" i="2"/>
  <c r="Q610" i="2"/>
  <c r="P610" i="2"/>
  <c r="O610" i="2"/>
  <c r="M610" i="2"/>
  <c r="L610" i="2"/>
  <c r="R609" i="2"/>
  <c r="Q609" i="2"/>
  <c r="P609" i="2"/>
  <c r="O609" i="2"/>
  <c r="M609" i="2"/>
  <c r="L609" i="2"/>
  <c r="R608" i="2"/>
  <c r="Q608" i="2"/>
  <c r="P608" i="2"/>
  <c r="O608" i="2"/>
  <c r="M608" i="2"/>
  <c r="L608" i="2"/>
  <c r="R607" i="2"/>
  <c r="Q607" i="2"/>
  <c r="P607" i="2"/>
  <c r="O607" i="2"/>
  <c r="M607" i="2"/>
  <c r="L607" i="2"/>
  <c r="R606" i="2"/>
  <c r="Q606" i="2"/>
  <c r="P606" i="2"/>
  <c r="O606" i="2"/>
  <c r="M606" i="2"/>
  <c r="L606" i="2"/>
  <c r="R605" i="2"/>
  <c r="Q605" i="2"/>
  <c r="P605" i="2"/>
  <c r="O605" i="2"/>
  <c r="M605" i="2"/>
  <c r="L605" i="2"/>
  <c r="R604" i="2"/>
  <c r="Q604" i="2"/>
  <c r="P604" i="2"/>
  <c r="O604" i="2"/>
  <c r="M604" i="2"/>
  <c r="L604" i="2"/>
  <c r="R603" i="2"/>
  <c r="Q603" i="2"/>
  <c r="P603" i="2"/>
  <c r="O603" i="2"/>
  <c r="M603" i="2"/>
  <c r="L603" i="2"/>
  <c r="R602" i="2"/>
  <c r="Q602" i="2"/>
  <c r="P602" i="2"/>
  <c r="O602" i="2"/>
  <c r="M602" i="2"/>
  <c r="L602" i="2"/>
  <c r="R601" i="2"/>
  <c r="Q601" i="2"/>
  <c r="P601" i="2"/>
  <c r="O601" i="2"/>
  <c r="M601" i="2"/>
  <c r="L601" i="2"/>
  <c r="R600" i="2"/>
  <c r="Q600" i="2"/>
  <c r="P600" i="2"/>
  <c r="O600" i="2"/>
  <c r="M600" i="2"/>
  <c r="L600" i="2"/>
  <c r="R599" i="2"/>
  <c r="Q599" i="2"/>
  <c r="P599" i="2"/>
  <c r="O599" i="2"/>
  <c r="M599" i="2"/>
  <c r="L599" i="2"/>
  <c r="R598" i="2"/>
  <c r="Q598" i="2"/>
  <c r="P598" i="2"/>
  <c r="O598" i="2"/>
  <c r="M598" i="2"/>
  <c r="L598" i="2"/>
  <c r="R597" i="2"/>
  <c r="Q597" i="2"/>
  <c r="P597" i="2"/>
  <c r="O597" i="2"/>
  <c r="M597" i="2"/>
  <c r="L597" i="2"/>
  <c r="R596" i="2"/>
  <c r="Q596" i="2"/>
  <c r="P596" i="2"/>
  <c r="O596" i="2"/>
  <c r="M596" i="2"/>
  <c r="L596" i="2"/>
  <c r="R595" i="2"/>
  <c r="Q595" i="2"/>
  <c r="P595" i="2"/>
  <c r="O595" i="2"/>
  <c r="M595" i="2"/>
  <c r="L595" i="2"/>
  <c r="R594" i="2"/>
  <c r="Q594" i="2"/>
  <c r="P594" i="2"/>
  <c r="O594" i="2"/>
  <c r="M594" i="2"/>
  <c r="L594" i="2"/>
  <c r="R593" i="2"/>
  <c r="Q593" i="2"/>
  <c r="P593" i="2"/>
  <c r="O593" i="2"/>
  <c r="M593" i="2"/>
  <c r="L593" i="2"/>
  <c r="R592" i="2"/>
  <c r="Q592" i="2"/>
  <c r="P592" i="2"/>
  <c r="O592" i="2"/>
  <c r="M592" i="2"/>
  <c r="L592" i="2"/>
  <c r="R591" i="2"/>
  <c r="Q591" i="2"/>
  <c r="P591" i="2"/>
  <c r="O591" i="2"/>
  <c r="M591" i="2"/>
  <c r="L591" i="2"/>
  <c r="R590" i="2"/>
  <c r="Q590" i="2"/>
  <c r="P590" i="2"/>
  <c r="O590" i="2"/>
  <c r="M590" i="2"/>
  <c r="L590" i="2"/>
  <c r="R589" i="2"/>
  <c r="Q589" i="2"/>
  <c r="P589" i="2"/>
  <c r="O589" i="2"/>
  <c r="M589" i="2"/>
  <c r="L589" i="2"/>
  <c r="R588" i="2"/>
  <c r="Q588" i="2"/>
  <c r="P588" i="2"/>
  <c r="O588" i="2"/>
  <c r="M588" i="2"/>
  <c r="L588" i="2"/>
  <c r="R587" i="2"/>
  <c r="Q587" i="2"/>
  <c r="P587" i="2"/>
  <c r="O587" i="2"/>
  <c r="M587" i="2"/>
  <c r="L587" i="2"/>
  <c r="R586" i="2"/>
  <c r="Q586" i="2"/>
  <c r="P586" i="2"/>
  <c r="O586" i="2"/>
  <c r="M586" i="2"/>
  <c r="L586" i="2"/>
  <c r="R585" i="2"/>
  <c r="Q585" i="2"/>
  <c r="P585" i="2"/>
  <c r="O585" i="2"/>
  <c r="M585" i="2"/>
  <c r="L585" i="2"/>
  <c r="R584" i="2"/>
  <c r="Q584" i="2"/>
  <c r="P584" i="2"/>
  <c r="O584" i="2"/>
  <c r="M584" i="2"/>
  <c r="L584" i="2"/>
  <c r="R583" i="2"/>
  <c r="Q583" i="2"/>
  <c r="P583" i="2"/>
  <c r="O583" i="2"/>
  <c r="M583" i="2"/>
  <c r="L583" i="2"/>
  <c r="R582" i="2"/>
  <c r="Q582" i="2"/>
  <c r="P582" i="2"/>
  <c r="O582" i="2"/>
  <c r="M582" i="2"/>
  <c r="L582" i="2"/>
  <c r="R581" i="2"/>
  <c r="Q581" i="2"/>
  <c r="P581" i="2"/>
  <c r="O581" i="2"/>
  <c r="M581" i="2"/>
  <c r="L581" i="2"/>
  <c r="R580" i="2"/>
  <c r="Q580" i="2"/>
  <c r="P580" i="2"/>
  <c r="O580" i="2"/>
  <c r="M580" i="2"/>
  <c r="L580" i="2"/>
  <c r="R579" i="2"/>
  <c r="Q579" i="2"/>
  <c r="P579" i="2"/>
  <c r="O579" i="2"/>
  <c r="M579" i="2"/>
  <c r="L579" i="2"/>
  <c r="R578" i="2"/>
  <c r="Q578" i="2"/>
  <c r="P578" i="2"/>
  <c r="O578" i="2"/>
  <c r="M578" i="2"/>
  <c r="L578" i="2"/>
  <c r="R577" i="2"/>
  <c r="Q577" i="2"/>
  <c r="P577" i="2"/>
  <c r="O577" i="2"/>
  <c r="M577" i="2"/>
  <c r="L577" i="2"/>
  <c r="R576" i="2"/>
  <c r="Q576" i="2"/>
  <c r="P576" i="2"/>
  <c r="O576" i="2"/>
  <c r="M576" i="2"/>
  <c r="L576" i="2"/>
  <c r="R575" i="2"/>
  <c r="Q575" i="2"/>
  <c r="P575" i="2"/>
  <c r="O575" i="2"/>
  <c r="M575" i="2"/>
  <c r="L575" i="2"/>
  <c r="R574" i="2"/>
  <c r="Q574" i="2"/>
  <c r="P574" i="2"/>
  <c r="O574" i="2"/>
  <c r="M574" i="2"/>
  <c r="L574" i="2"/>
  <c r="R573" i="2"/>
  <c r="Q573" i="2"/>
  <c r="P573" i="2"/>
  <c r="O573" i="2"/>
  <c r="M573" i="2"/>
  <c r="L573" i="2"/>
  <c r="R572" i="2"/>
  <c r="Q572" i="2"/>
  <c r="P572" i="2"/>
  <c r="O572" i="2"/>
  <c r="M572" i="2"/>
  <c r="L572" i="2"/>
  <c r="R571" i="2"/>
  <c r="Q571" i="2"/>
  <c r="P571" i="2"/>
  <c r="O571" i="2"/>
  <c r="M571" i="2"/>
  <c r="L571" i="2"/>
  <c r="R570" i="2"/>
  <c r="Q570" i="2"/>
  <c r="P570" i="2"/>
  <c r="O570" i="2"/>
  <c r="M570" i="2"/>
  <c r="L570" i="2"/>
  <c r="R569" i="2"/>
  <c r="Q569" i="2"/>
  <c r="P569" i="2"/>
  <c r="O569" i="2"/>
  <c r="M569" i="2"/>
  <c r="L569" i="2"/>
  <c r="R568" i="2"/>
  <c r="Q568" i="2"/>
  <c r="P568" i="2"/>
  <c r="O568" i="2"/>
  <c r="M568" i="2"/>
  <c r="L568" i="2"/>
  <c r="R567" i="2"/>
  <c r="Q567" i="2"/>
  <c r="P567" i="2"/>
  <c r="O567" i="2"/>
  <c r="M567" i="2"/>
  <c r="L567" i="2"/>
  <c r="R566" i="2"/>
  <c r="Q566" i="2"/>
  <c r="P566" i="2"/>
  <c r="O566" i="2"/>
  <c r="M566" i="2"/>
  <c r="L566" i="2"/>
  <c r="R565" i="2"/>
  <c r="Q565" i="2"/>
  <c r="P565" i="2"/>
  <c r="O565" i="2"/>
  <c r="M565" i="2"/>
  <c r="L565" i="2"/>
  <c r="R564" i="2"/>
  <c r="Q564" i="2"/>
  <c r="P564" i="2"/>
  <c r="O564" i="2"/>
  <c r="M564" i="2"/>
  <c r="L564" i="2"/>
  <c r="R563" i="2"/>
  <c r="Q563" i="2"/>
  <c r="P563" i="2"/>
  <c r="O563" i="2"/>
  <c r="M563" i="2"/>
  <c r="L563" i="2"/>
  <c r="R562" i="2"/>
  <c r="Q562" i="2"/>
  <c r="P562" i="2"/>
  <c r="O562" i="2"/>
  <c r="M562" i="2"/>
  <c r="L562" i="2"/>
  <c r="R561" i="2"/>
  <c r="Q561" i="2"/>
  <c r="P561" i="2"/>
  <c r="O561" i="2"/>
  <c r="M561" i="2"/>
  <c r="L561" i="2"/>
  <c r="R560" i="2"/>
  <c r="Q560" i="2"/>
  <c r="P560" i="2"/>
  <c r="O560" i="2"/>
  <c r="M560" i="2"/>
  <c r="L560" i="2"/>
  <c r="R559" i="2"/>
  <c r="Q559" i="2"/>
  <c r="P559" i="2"/>
  <c r="O559" i="2"/>
  <c r="M559" i="2"/>
  <c r="L559" i="2"/>
  <c r="R558" i="2"/>
  <c r="Q558" i="2"/>
  <c r="P558" i="2"/>
  <c r="O558" i="2"/>
  <c r="M558" i="2"/>
  <c r="L558" i="2"/>
  <c r="R557" i="2"/>
  <c r="Q557" i="2"/>
  <c r="P557" i="2"/>
  <c r="O557" i="2"/>
  <c r="M557" i="2"/>
  <c r="L557" i="2"/>
  <c r="R556" i="2"/>
  <c r="Q556" i="2"/>
  <c r="P556" i="2"/>
  <c r="O556" i="2"/>
  <c r="M556" i="2"/>
  <c r="L556" i="2"/>
  <c r="R555" i="2"/>
  <c r="Q555" i="2"/>
  <c r="P555" i="2"/>
  <c r="O555" i="2"/>
  <c r="M555" i="2"/>
  <c r="L555" i="2"/>
  <c r="R554" i="2"/>
  <c r="Q554" i="2"/>
  <c r="P554" i="2"/>
  <c r="O554" i="2"/>
  <c r="M554" i="2"/>
  <c r="L554" i="2"/>
  <c r="R553" i="2"/>
  <c r="Q553" i="2"/>
  <c r="P553" i="2"/>
  <c r="O553" i="2"/>
  <c r="M553" i="2"/>
  <c r="L553" i="2"/>
  <c r="R552" i="2"/>
  <c r="Q552" i="2"/>
  <c r="P552" i="2"/>
  <c r="O552" i="2"/>
  <c r="M552" i="2"/>
  <c r="L552" i="2"/>
  <c r="R551" i="2"/>
  <c r="Q551" i="2"/>
  <c r="P551" i="2"/>
  <c r="O551" i="2"/>
  <c r="M551" i="2"/>
  <c r="L551" i="2"/>
  <c r="R550" i="2"/>
  <c r="Q550" i="2"/>
  <c r="P550" i="2"/>
  <c r="O550" i="2"/>
  <c r="M550" i="2"/>
  <c r="L550" i="2"/>
  <c r="R549" i="2"/>
  <c r="Q549" i="2"/>
  <c r="P549" i="2"/>
  <c r="O549" i="2"/>
  <c r="M549" i="2"/>
  <c r="L549" i="2"/>
  <c r="R548" i="2"/>
  <c r="Q548" i="2"/>
  <c r="P548" i="2"/>
  <c r="O548" i="2"/>
  <c r="M548" i="2"/>
  <c r="L548" i="2"/>
  <c r="R547" i="2"/>
  <c r="Q547" i="2"/>
  <c r="P547" i="2"/>
  <c r="O547" i="2"/>
  <c r="M547" i="2"/>
  <c r="L547" i="2"/>
  <c r="R546" i="2"/>
  <c r="Q546" i="2"/>
  <c r="P546" i="2"/>
  <c r="O546" i="2"/>
  <c r="M546" i="2"/>
  <c r="L546" i="2"/>
  <c r="R545" i="2"/>
  <c r="Q545" i="2"/>
  <c r="P545" i="2"/>
  <c r="O545" i="2"/>
  <c r="M545" i="2"/>
  <c r="L545" i="2"/>
  <c r="R544" i="2"/>
  <c r="Q544" i="2"/>
  <c r="P544" i="2"/>
  <c r="O544" i="2"/>
  <c r="M544" i="2"/>
  <c r="L544" i="2"/>
  <c r="R543" i="2"/>
  <c r="Q543" i="2"/>
  <c r="P543" i="2"/>
  <c r="O543" i="2"/>
  <c r="M543" i="2"/>
  <c r="L543" i="2"/>
  <c r="R542" i="2"/>
  <c r="Q542" i="2"/>
  <c r="P542" i="2"/>
  <c r="O542" i="2"/>
  <c r="M542" i="2"/>
  <c r="L542" i="2"/>
  <c r="R541" i="2"/>
  <c r="Q541" i="2"/>
  <c r="P541" i="2"/>
  <c r="O541" i="2"/>
  <c r="M541" i="2"/>
  <c r="L541" i="2"/>
  <c r="R540" i="2"/>
  <c r="Q540" i="2"/>
  <c r="P540" i="2"/>
  <c r="O540" i="2"/>
  <c r="M540" i="2"/>
  <c r="L540" i="2"/>
  <c r="R539" i="2"/>
  <c r="Q539" i="2"/>
  <c r="P539" i="2"/>
  <c r="O539" i="2"/>
  <c r="M539" i="2"/>
  <c r="L539" i="2"/>
  <c r="R538" i="2"/>
  <c r="Q538" i="2"/>
  <c r="P538" i="2"/>
  <c r="O538" i="2"/>
  <c r="M538" i="2"/>
  <c r="L538" i="2"/>
  <c r="R537" i="2"/>
  <c r="Q537" i="2"/>
  <c r="P537" i="2"/>
  <c r="O537" i="2"/>
  <c r="M537" i="2"/>
  <c r="L537" i="2"/>
  <c r="R536" i="2"/>
  <c r="Q536" i="2"/>
  <c r="P536" i="2"/>
  <c r="O536" i="2"/>
  <c r="M536" i="2"/>
  <c r="L536" i="2"/>
  <c r="R535" i="2"/>
  <c r="Q535" i="2"/>
  <c r="P535" i="2"/>
  <c r="O535" i="2"/>
  <c r="M535" i="2"/>
  <c r="L535" i="2"/>
  <c r="R534" i="2"/>
  <c r="Q534" i="2"/>
  <c r="P534" i="2"/>
  <c r="O534" i="2"/>
  <c r="M534" i="2"/>
  <c r="L534" i="2"/>
  <c r="R533" i="2"/>
  <c r="Q533" i="2"/>
  <c r="P533" i="2"/>
  <c r="O533" i="2"/>
  <c r="M533" i="2"/>
  <c r="L533" i="2"/>
  <c r="R532" i="2"/>
  <c r="Q532" i="2"/>
  <c r="P532" i="2"/>
  <c r="O532" i="2"/>
  <c r="M532" i="2"/>
  <c r="L532" i="2"/>
  <c r="R531" i="2"/>
  <c r="Q531" i="2"/>
  <c r="P531" i="2"/>
  <c r="O531" i="2"/>
  <c r="M531" i="2"/>
  <c r="L531" i="2"/>
  <c r="R530" i="2"/>
  <c r="Q530" i="2"/>
  <c r="P530" i="2"/>
  <c r="O530" i="2"/>
  <c r="M530" i="2"/>
  <c r="L530" i="2"/>
  <c r="R529" i="2"/>
  <c r="Q529" i="2"/>
  <c r="P529" i="2"/>
  <c r="O529" i="2"/>
  <c r="M529" i="2"/>
  <c r="L529" i="2"/>
  <c r="R528" i="2"/>
  <c r="Q528" i="2"/>
  <c r="P528" i="2"/>
  <c r="O528" i="2"/>
  <c r="M528" i="2"/>
  <c r="L528" i="2"/>
  <c r="R527" i="2"/>
  <c r="Q527" i="2"/>
  <c r="P527" i="2"/>
  <c r="O527" i="2"/>
  <c r="M527" i="2"/>
  <c r="L527" i="2"/>
  <c r="R526" i="2"/>
  <c r="Q526" i="2"/>
  <c r="P526" i="2"/>
  <c r="O526" i="2"/>
  <c r="M526" i="2"/>
  <c r="L526" i="2"/>
  <c r="R525" i="2"/>
  <c r="Q525" i="2"/>
  <c r="P525" i="2"/>
  <c r="O525" i="2"/>
  <c r="M525" i="2"/>
  <c r="L525" i="2"/>
  <c r="R524" i="2"/>
  <c r="Q524" i="2"/>
  <c r="P524" i="2"/>
  <c r="O524" i="2"/>
  <c r="M524" i="2"/>
  <c r="L524" i="2"/>
  <c r="R523" i="2"/>
  <c r="Q523" i="2"/>
  <c r="P523" i="2"/>
  <c r="O523" i="2"/>
  <c r="M523" i="2"/>
  <c r="L523" i="2"/>
  <c r="R522" i="2"/>
  <c r="Q522" i="2"/>
  <c r="P522" i="2"/>
  <c r="O522" i="2"/>
  <c r="M522" i="2"/>
  <c r="L522" i="2"/>
  <c r="R521" i="2"/>
  <c r="Q521" i="2"/>
  <c r="P521" i="2"/>
  <c r="O521" i="2"/>
  <c r="M521" i="2"/>
  <c r="L521" i="2"/>
  <c r="R520" i="2"/>
  <c r="Q520" i="2"/>
  <c r="P520" i="2"/>
  <c r="O520" i="2"/>
  <c r="M520" i="2"/>
  <c r="L520" i="2"/>
  <c r="R519" i="2"/>
  <c r="Q519" i="2"/>
  <c r="P519" i="2"/>
  <c r="O519" i="2"/>
  <c r="M519" i="2"/>
  <c r="L519" i="2"/>
  <c r="R518" i="2"/>
  <c r="Q518" i="2"/>
  <c r="P518" i="2"/>
  <c r="O518" i="2"/>
  <c r="M518" i="2"/>
  <c r="L518" i="2"/>
  <c r="R517" i="2"/>
  <c r="Q517" i="2"/>
  <c r="P517" i="2"/>
  <c r="O517" i="2"/>
  <c r="M517" i="2"/>
  <c r="L517" i="2"/>
  <c r="R516" i="2"/>
  <c r="Q516" i="2"/>
  <c r="P516" i="2"/>
  <c r="O516" i="2"/>
  <c r="M516" i="2"/>
  <c r="L516" i="2"/>
  <c r="R515" i="2"/>
  <c r="Q515" i="2"/>
  <c r="P515" i="2"/>
  <c r="O515" i="2"/>
  <c r="M515" i="2"/>
  <c r="L515" i="2"/>
  <c r="R514" i="2"/>
  <c r="Q514" i="2"/>
  <c r="P514" i="2"/>
  <c r="O514" i="2"/>
  <c r="M514" i="2"/>
  <c r="L514" i="2"/>
  <c r="R513" i="2"/>
  <c r="Q513" i="2"/>
  <c r="P513" i="2"/>
  <c r="O513" i="2"/>
  <c r="M513" i="2"/>
  <c r="L513" i="2"/>
  <c r="R512" i="2"/>
  <c r="Q512" i="2"/>
  <c r="P512" i="2"/>
  <c r="O512" i="2"/>
  <c r="M512" i="2"/>
  <c r="L512" i="2"/>
  <c r="R511" i="2"/>
  <c r="Q511" i="2"/>
  <c r="P511" i="2"/>
  <c r="O511" i="2"/>
  <c r="M511" i="2"/>
  <c r="L511" i="2"/>
  <c r="R510" i="2"/>
  <c r="Q510" i="2"/>
  <c r="P510" i="2"/>
  <c r="O510" i="2"/>
  <c r="M510" i="2"/>
  <c r="L510" i="2"/>
  <c r="R509" i="2"/>
  <c r="Q509" i="2"/>
  <c r="P509" i="2"/>
  <c r="O509" i="2"/>
  <c r="M509" i="2"/>
  <c r="L509" i="2"/>
  <c r="R508" i="2"/>
  <c r="Q508" i="2"/>
  <c r="P508" i="2"/>
  <c r="O508" i="2"/>
  <c r="M508" i="2"/>
  <c r="L508" i="2"/>
  <c r="R507" i="2"/>
  <c r="Q507" i="2"/>
  <c r="P507" i="2"/>
  <c r="O507" i="2"/>
  <c r="M507" i="2"/>
  <c r="L507" i="2"/>
  <c r="R506" i="2"/>
  <c r="Q506" i="2"/>
  <c r="P506" i="2"/>
  <c r="O506" i="2"/>
  <c r="M506" i="2"/>
  <c r="L506" i="2"/>
  <c r="R505" i="2"/>
  <c r="Q505" i="2"/>
  <c r="P505" i="2"/>
  <c r="O505" i="2"/>
  <c r="M505" i="2"/>
  <c r="L505" i="2"/>
  <c r="R504" i="2"/>
  <c r="Q504" i="2"/>
  <c r="P504" i="2"/>
  <c r="O504" i="2"/>
  <c r="M504" i="2"/>
  <c r="L504" i="2"/>
  <c r="R503" i="2"/>
  <c r="Q503" i="2"/>
  <c r="P503" i="2"/>
  <c r="O503" i="2"/>
  <c r="M503" i="2"/>
  <c r="L503" i="2"/>
  <c r="R502" i="2"/>
  <c r="Q502" i="2"/>
  <c r="P502" i="2"/>
  <c r="O502" i="2"/>
  <c r="M502" i="2"/>
  <c r="L502" i="2"/>
  <c r="R501" i="2"/>
  <c r="Q501" i="2"/>
  <c r="P501" i="2"/>
  <c r="O501" i="2"/>
  <c r="M501" i="2"/>
  <c r="L501" i="2"/>
  <c r="R500" i="2"/>
  <c r="Q500" i="2"/>
  <c r="P500" i="2"/>
  <c r="O500" i="2"/>
  <c r="M500" i="2"/>
  <c r="L500" i="2"/>
  <c r="R499" i="2"/>
  <c r="Q499" i="2"/>
  <c r="P499" i="2"/>
  <c r="O499" i="2"/>
  <c r="M499" i="2"/>
  <c r="L499" i="2"/>
  <c r="R498" i="2"/>
  <c r="Q498" i="2"/>
  <c r="P498" i="2"/>
  <c r="O498" i="2"/>
  <c r="M498" i="2"/>
  <c r="L498" i="2"/>
  <c r="R497" i="2"/>
  <c r="Q497" i="2"/>
  <c r="P497" i="2"/>
  <c r="O497" i="2"/>
  <c r="M497" i="2"/>
  <c r="L497" i="2"/>
  <c r="R496" i="2"/>
  <c r="Q496" i="2"/>
  <c r="P496" i="2"/>
  <c r="O496" i="2"/>
  <c r="M496" i="2"/>
  <c r="L496" i="2"/>
  <c r="R495" i="2"/>
  <c r="Q495" i="2"/>
  <c r="P495" i="2"/>
  <c r="O495" i="2"/>
  <c r="M495" i="2"/>
  <c r="L495" i="2"/>
  <c r="R494" i="2"/>
  <c r="Q494" i="2"/>
  <c r="P494" i="2"/>
  <c r="O494" i="2"/>
  <c r="M494" i="2"/>
  <c r="L494" i="2"/>
  <c r="R493" i="2"/>
  <c r="Q493" i="2"/>
  <c r="P493" i="2"/>
  <c r="O493" i="2"/>
  <c r="M493" i="2"/>
  <c r="L493" i="2"/>
  <c r="R492" i="2"/>
  <c r="Q492" i="2"/>
  <c r="P492" i="2"/>
  <c r="O492" i="2"/>
  <c r="M492" i="2"/>
  <c r="L492" i="2"/>
  <c r="R491" i="2"/>
  <c r="Q491" i="2"/>
  <c r="P491" i="2"/>
  <c r="O491" i="2"/>
  <c r="M491" i="2"/>
  <c r="L491" i="2"/>
  <c r="R490" i="2"/>
  <c r="Q490" i="2"/>
  <c r="P490" i="2"/>
  <c r="O490" i="2"/>
  <c r="M490" i="2"/>
  <c r="L490" i="2"/>
  <c r="R489" i="2"/>
  <c r="Q489" i="2"/>
  <c r="P489" i="2"/>
  <c r="O489" i="2"/>
  <c r="M489" i="2"/>
  <c r="L489" i="2"/>
  <c r="R488" i="2"/>
  <c r="Q488" i="2"/>
  <c r="P488" i="2"/>
  <c r="O488" i="2"/>
  <c r="M488" i="2"/>
  <c r="L488" i="2"/>
  <c r="R487" i="2"/>
  <c r="Q487" i="2"/>
  <c r="P487" i="2"/>
  <c r="O487" i="2"/>
  <c r="M487" i="2"/>
  <c r="L487" i="2"/>
  <c r="R486" i="2"/>
  <c r="Q486" i="2"/>
  <c r="P486" i="2"/>
  <c r="O486" i="2"/>
  <c r="M486" i="2"/>
  <c r="L486" i="2"/>
  <c r="R485" i="2"/>
  <c r="Q485" i="2"/>
  <c r="P485" i="2"/>
  <c r="O485" i="2"/>
  <c r="M485" i="2"/>
  <c r="L485" i="2"/>
  <c r="R484" i="2"/>
  <c r="Q484" i="2"/>
  <c r="P484" i="2"/>
  <c r="O484" i="2"/>
  <c r="M484" i="2"/>
  <c r="L484" i="2"/>
  <c r="R483" i="2"/>
  <c r="Q483" i="2"/>
  <c r="P483" i="2"/>
  <c r="O483" i="2"/>
  <c r="M483" i="2"/>
  <c r="L483" i="2"/>
  <c r="R482" i="2"/>
  <c r="Q482" i="2"/>
  <c r="P482" i="2"/>
  <c r="O482" i="2"/>
  <c r="M482" i="2"/>
  <c r="L482" i="2"/>
  <c r="R481" i="2"/>
  <c r="Q481" i="2"/>
  <c r="P481" i="2"/>
  <c r="O481" i="2"/>
  <c r="M481" i="2"/>
  <c r="L481" i="2"/>
  <c r="R480" i="2"/>
  <c r="Q480" i="2"/>
  <c r="P480" i="2"/>
  <c r="O480" i="2"/>
  <c r="M480" i="2"/>
  <c r="L480" i="2"/>
  <c r="R479" i="2"/>
  <c r="Q479" i="2"/>
  <c r="P479" i="2"/>
  <c r="O479" i="2"/>
  <c r="M479" i="2"/>
  <c r="L479" i="2"/>
  <c r="R478" i="2"/>
  <c r="Q478" i="2"/>
  <c r="P478" i="2"/>
  <c r="O478" i="2"/>
  <c r="M478" i="2"/>
  <c r="L478" i="2"/>
  <c r="R477" i="2"/>
  <c r="Q477" i="2"/>
  <c r="P477" i="2"/>
  <c r="O477" i="2"/>
  <c r="M477" i="2"/>
  <c r="L477" i="2"/>
  <c r="R476" i="2"/>
  <c r="Q476" i="2"/>
  <c r="P476" i="2"/>
  <c r="O476" i="2"/>
  <c r="M476" i="2"/>
  <c r="L476" i="2"/>
  <c r="R475" i="2"/>
  <c r="Q475" i="2"/>
  <c r="P475" i="2"/>
  <c r="O475" i="2"/>
  <c r="M475" i="2"/>
  <c r="L475" i="2"/>
  <c r="R474" i="2"/>
  <c r="Q474" i="2"/>
  <c r="P474" i="2"/>
  <c r="O474" i="2"/>
  <c r="M474" i="2"/>
  <c r="L474" i="2"/>
  <c r="R473" i="2"/>
  <c r="Q473" i="2"/>
  <c r="P473" i="2"/>
  <c r="O473" i="2"/>
  <c r="M473" i="2"/>
  <c r="L473" i="2"/>
  <c r="R472" i="2"/>
  <c r="Q472" i="2"/>
  <c r="P472" i="2"/>
  <c r="O472" i="2"/>
  <c r="M472" i="2"/>
  <c r="L472" i="2"/>
  <c r="R471" i="2"/>
  <c r="Q471" i="2"/>
  <c r="P471" i="2"/>
  <c r="O471" i="2"/>
  <c r="M471" i="2"/>
  <c r="L471" i="2"/>
  <c r="R470" i="2"/>
  <c r="Q470" i="2"/>
  <c r="P470" i="2"/>
  <c r="O470" i="2"/>
  <c r="M470" i="2"/>
  <c r="L470" i="2"/>
  <c r="R469" i="2"/>
  <c r="Q469" i="2"/>
  <c r="P469" i="2"/>
  <c r="O469" i="2"/>
  <c r="M469" i="2"/>
  <c r="L469" i="2"/>
  <c r="R468" i="2"/>
  <c r="Q468" i="2"/>
  <c r="P468" i="2"/>
  <c r="O468" i="2"/>
  <c r="M468" i="2"/>
  <c r="L468" i="2"/>
  <c r="R467" i="2"/>
  <c r="Q467" i="2"/>
  <c r="P467" i="2"/>
  <c r="O467" i="2"/>
  <c r="M467" i="2"/>
  <c r="L467" i="2"/>
  <c r="R466" i="2"/>
  <c r="Q466" i="2"/>
  <c r="P466" i="2"/>
  <c r="O466" i="2"/>
  <c r="M466" i="2"/>
  <c r="L466" i="2"/>
  <c r="R465" i="2"/>
  <c r="Q465" i="2"/>
  <c r="P465" i="2"/>
  <c r="O465" i="2"/>
  <c r="M465" i="2"/>
  <c r="L465" i="2"/>
  <c r="R464" i="2"/>
  <c r="Q464" i="2"/>
  <c r="P464" i="2"/>
  <c r="O464" i="2"/>
  <c r="M464" i="2"/>
  <c r="L464" i="2"/>
  <c r="R463" i="2"/>
  <c r="Q463" i="2"/>
  <c r="P463" i="2"/>
  <c r="O463" i="2"/>
  <c r="M463" i="2"/>
  <c r="L463" i="2"/>
  <c r="R462" i="2"/>
  <c r="Q462" i="2"/>
  <c r="P462" i="2"/>
  <c r="O462" i="2"/>
  <c r="M462" i="2"/>
  <c r="L462" i="2"/>
  <c r="R461" i="2"/>
  <c r="Q461" i="2"/>
  <c r="P461" i="2"/>
  <c r="O461" i="2"/>
  <c r="M461" i="2"/>
  <c r="L461" i="2"/>
  <c r="R460" i="2"/>
  <c r="Q460" i="2"/>
  <c r="P460" i="2"/>
  <c r="O460" i="2"/>
  <c r="M460" i="2"/>
  <c r="L460" i="2"/>
  <c r="R459" i="2"/>
  <c r="Q459" i="2"/>
  <c r="P459" i="2"/>
  <c r="O459" i="2"/>
  <c r="M459" i="2"/>
  <c r="L459" i="2"/>
  <c r="R458" i="2"/>
  <c r="Q458" i="2"/>
  <c r="P458" i="2"/>
  <c r="O458" i="2"/>
  <c r="M458" i="2"/>
  <c r="L458" i="2"/>
  <c r="R457" i="2"/>
  <c r="Q457" i="2"/>
  <c r="P457" i="2"/>
  <c r="O457" i="2"/>
  <c r="M457" i="2"/>
  <c r="L457" i="2"/>
  <c r="R456" i="2"/>
  <c r="Q456" i="2"/>
  <c r="P456" i="2"/>
  <c r="O456" i="2"/>
  <c r="M456" i="2"/>
  <c r="L456" i="2"/>
  <c r="R455" i="2"/>
  <c r="Q455" i="2"/>
  <c r="P455" i="2"/>
  <c r="O455" i="2"/>
  <c r="M455" i="2"/>
  <c r="L455" i="2"/>
  <c r="R454" i="2"/>
  <c r="Q454" i="2"/>
  <c r="P454" i="2"/>
  <c r="O454" i="2"/>
  <c r="M454" i="2"/>
  <c r="L454" i="2"/>
  <c r="R453" i="2"/>
  <c r="Q453" i="2"/>
  <c r="P453" i="2"/>
  <c r="O453" i="2"/>
  <c r="M453" i="2"/>
  <c r="L453" i="2"/>
  <c r="R452" i="2"/>
  <c r="Q452" i="2"/>
  <c r="P452" i="2"/>
  <c r="O452" i="2"/>
  <c r="M452" i="2"/>
  <c r="L452" i="2"/>
  <c r="R451" i="2"/>
  <c r="Q451" i="2"/>
  <c r="P451" i="2"/>
  <c r="O451" i="2"/>
  <c r="M451" i="2"/>
  <c r="L451" i="2"/>
  <c r="R450" i="2"/>
  <c r="Q450" i="2"/>
  <c r="P450" i="2"/>
  <c r="O450" i="2"/>
  <c r="M450" i="2"/>
  <c r="L450" i="2"/>
  <c r="R449" i="2"/>
  <c r="Q449" i="2"/>
  <c r="P449" i="2"/>
  <c r="O449" i="2"/>
  <c r="M449" i="2"/>
  <c r="L449" i="2"/>
  <c r="R448" i="2"/>
  <c r="Q448" i="2"/>
  <c r="P448" i="2"/>
  <c r="O448" i="2"/>
  <c r="M448" i="2"/>
  <c r="L448" i="2"/>
  <c r="R447" i="2"/>
  <c r="Q447" i="2"/>
  <c r="P447" i="2"/>
  <c r="O447" i="2"/>
  <c r="M447" i="2"/>
  <c r="L447" i="2"/>
  <c r="R446" i="2"/>
  <c r="Q446" i="2"/>
  <c r="P446" i="2"/>
  <c r="O446" i="2"/>
  <c r="M446" i="2"/>
  <c r="L446" i="2"/>
  <c r="R445" i="2"/>
  <c r="Q445" i="2"/>
  <c r="P445" i="2"/>
  <c r="O445" i="2"/>
  <c r="M445" i="2"/>
  <c r="L445" i="2"/>
  <c r="R444" i="2"/>
  <c r="Q444" i="2"/>
  <c r="P444" i="2"/>
  <c r="O444" i="2"/>
  <c r="M444" i="2"/>
  <c r="L444" i="2"/>
  <c r="R443" i="2"/>
  <c r="Q443" i="2"/>
  <c r="P443" i="2"/>
  <c r="O443" i="2"/>
  <c r="M443" i="2"/>
  <c r="L443" i="2"/>
  <c r="R442" i="2"/>
  <c r="Q442" i="2"/>
  <c r="P442" i="2"/>
  <c r="O442" i="2"/>
  <c r="M442" i="2"/>
  <c r="L442" i="2"/>
  <c r="R441" i="2"/>
  <c r="Q441" i="2"/>
  <c r="P441" i="2"/>
  <c r="O441" i="2"/>
  <c r="M441" i="2"/>
  <c r="L441" i="2"/>
  <c r="R440" i="2"/>
  <c r="Q440" i="2"/>
  <c r="P440" i="2"/>
  <c r="O440" i="2"/>
  <c r="M440" i="2"/>
  <c r="L440" i="2"/>
  <c r="R439" i="2"/>
  <c r="Q439" i="2"/>
  <c r="P439" i="2"/>
  <c r="O439" i="2"/>
  <c r="M439" i="2"/>
  <c r="L439" i="2"/>
  <c r="R438" i="2"/>
  <c r="Q438" i="2"/>
  <c r="P438" i="2"/>
  <c r="O438" i="2"/>
  <c r="M438" i="2"/>
  <c r="L438" i="2"/>
  <c r="R437" i="2"/>
  <c r="Q437" i="2"/>
  <c r="P437" i="2"/>
  <c r="O437" i="2"/>
  <c r="M437" i="2"/>
  <c r="L437" i="2"/>
  <c r="R436" i="2"/>
  <c r="Q436" i="2"/>
  <c r="P436" i="2"/>
  <c r="O436" i="2"/>
  <c r="M436" i="2"/>
  <c r="L436" i="2"/>
  <c r="R435" i="2"/>
  <c r="Q435" i="2"/>
  <c r="P435" i="2"/>
  <c r="O435" i="2"/>
  <c r="M435" i="2"/>
  <c r="L435" i="2"/>
  <c r="R434" i="2"/>
  <c r="Q434" i="2"/>
  <c r="P434" i="2"/>
  <c r="O434" i="2"/>
  <c r="M434" i="2"/>
  <c r="L434" i="2"/>
  <c r="R433" i="2"/>
  <c r="Q433" i="2"/>
  <c r="P433" i="2"/>
  <c r="O433" i="2"/>
  <c r="M433" i="2"/>
  <c r="L433" i="2"/>
  <c r="R432" i="2"/>
  <c r="Q432" i="2"/>
  <c r="P432" i="2"/>
  <c r="O432" i="2"/>
  <c r="M432" i="2"/>
  <c r="L432" i="2"/>
  <c r="R431" i="2"/>
  <c r="Q431" i="2"/>
  <c r="P431" i="2"/>
  <c r="O431" i="2"/>
  <c r="M431" i="2"/>
  <c r="L431" i="2"/>
  <c r="R430" i="2"/>
  <c r="Q430" i="2"/>
  <c r="P430" i="2"/>
  <c r="O430" i="2"/>
  <c r="M430" i="2"/>
  <c r="L430" i="2"/>
  <c r="R429" i="2"/>
  <c r="Q429" i="2"/>
  <c r="P429" i="2"/>
  <c r="O429" i="2"/>
  <c r="M429" i="2"/>
  <c r="L429" i="2"/>
  <c r="R428" i="2"/>
  <c r="Q428" i="2"/>
  <c r="P428" i="2"/>
  <c r="O428" i="2"/>
  <c r="M428" i="2"/>
  <c r="L428" i="2"/>
  <c r="R427" i="2"/>
  <c r="Q427" i="2"/>
  <c r="P427" i="2"/>
  <c r="O427" i="2"/>
  <c r="M427" i="2"/>
  <c r="L427" i="2"/>
  <c r="R426" i="2"/>
  <c r="Q426" i="2"/>
  <c r="P426" i="2"/>
  <c r="O426" i="2"/>
  <c r="M426" i="2"/>
  <c r="L426" i="2"/>
  <c r="R425" i="2"/>
  <c r="Q425" i="2"/>
  <c r="P425" i="2"/>
  <c r="O425" i="2"/>
  <c r="M425" i="2"/>
  <c r="L425" i="2"/>
  <c r="R424" i="2"/>
  <c r="Q424" i="2"/>
  <c r="P424" i="2"/>
  <c r="O424" i="2"/>
  <c r="M424" i="2"/>
  <c r="L424" i="2"/>
  <c r="R423" i="2"/>
  <c r="Q423" i="2"/>
  <c r="P423" i="2"/>
  <c r="O423" i="2"/>
  <c r="M423" i="2"/>
  <c r="L423" i="2"/>
  <c r="R422" i="2"/>
  <c r="Q422" i="2"/>
  <c r="P422" i="2"/>
  <c r="O422" i="2"/>
  <c r="M422" i="2"/>
  <c r="L422" i="2"/>
  <c r="R421" i="2"/>
  <c r="Q421" i="2"/>
  <c r="P421" i="2"/>
  <c r="O421" i="2"/>
  <c r="M421" i="2"/>
  <c r="L421" i="2"/>
  <c r="R420" i="2"/>
  <c r="Q420" i="2"/>
  <c r="P420" i="2"/>
  <c r="O420" i="2"/>
  <c r="M420" i="2"/>
  <c r="L420" i="2"/>
  <c r="R419" i="2"/>
  <c r="Q419" i="2"/>
  <c r="P419" i="2"/>
  <c r="O419" i="2"/>
  <c r="M419" i="2"/>
  <c r="L419" i="2"/>
  <c r="R418" i="2"/>
  <c r="Q418" i="2"/>
  <c r="P418" i="2"/>
  <c r="O418" i="2"/>
  <c r="M418" i="2"/>
  <c r="L418" i="2"/>
  <c r="R417" i="2"/>
  <c r="Q417" i="2"/>
  <c r="P417" i="2"/>
  <c r="O417" i="2"/>
  <c r="M417" i="2"/>
  <c r="L417" i="2"/>
  <c r="R416" i="2"/>
  <c r="Q416" i="2"/>
  <c r="P416" i="2"/>
  <c r="O416" i="2"/>
  <c r="M416" i="2"/>
  <c r="L416" i="2"/>
  <c r="R415" i="2"/>
  <c r="Q415" i="2"/>
  <c r="P415" i="2"/>
  <c r="O415" i="2"/>
  <c r="M415" i="2"/>
  <c r="L415" i="2"/>
  <c r="R414" i="2"/>
  <c r="Q414" i="2"/>
  <c r="P414" i="2"/>
  <c r="O414" i="2"/>
  <c r="M414" i="2"/>
  <c r="L414" i="2"/>
  <c r="R413" i="2"/>
  <c r="Q413" i="2"/>
  <c r="P413" i="2"/>
  <c r="O413" i="2"/>
  <c r="M413" i="2"/>
  <c r="L413" i="2"/>
  <c r="R412" i="2"/>
  <c r="Q412" i="2"/>
  <c r="P412" i="2"/>
  <c r="O412" i="2"/>
  <c r="M412" i="2"/>
  <c r="L412" i="2"/>
  <c r="R411" i="2"/>
  <c r="Q411" i="2"/>
  <c r="P411" i="2"/>
  <c r="O411" i="2"/>
  <c r="M411" i="2"/>
  <c r="L411" i="2"/>
  <c r="R410" i="2"/>
  <c r="Q410" i="2"/>
  <c r="P410" i="2"/>
  <c r="O410" i="2"/>
  <c r="M410" i="2"/>
  <c r="L410" i="2"/>
  <c r="R409" i="2"/>
  <c r="Q409" i="2"/>
  <c r="P409" i="2"/>
  <c r="O409" i="2"/>
  <c r="M409" i="2"/>
  <c r="L409" i="2"/>
  <c r="R408" i="2"/>
  <c r="Q408" i="2"/>
  <c r="P408" i="2"/>
  <c r="O408" i="2"/>
  <c r="M408" i="2"/>
  <c r="L408" i="2"/>
  <c r="R407" i="2"/>
  <c r="Q407" i="2"/>
  <c r="P407" i="2"/>
  <c r="O407" i="2"/>
  <c r="M407" i="2"/>
  <c r="L407" i="2"/>
  <c r="R406" i="2"/>
  <c r="Q406" i="2"/>
  <c r="P406" i="2"/>
  <c r="O406" i="2"/>
  <c r="M406" i="2"/>
  <c r="L406" i="2"/>
  <c r="R405" i="2"/>
  <c r="Q405" i="2"/>
  <c r="P405" i="2"/>
  <c r="O405" i="2"/>
  <c r="M405" i="2"/>
  <c r="L405" i="2"/>
  <c r="R404" i="2"/>
  <c r="Q404" i="2"/>
  <c r="P404" i="2"/>
  <c r="O404" i="2"/>
  <c r="M404" i="2"/>
  <c r="L404" i="2"/>
  <c r="R403" i="2"/>
  <c r="Q403" i="2"/>
  <c r="P403" i="2"/>
  <c r="O403" i="2"/>
  <c r="M403" i="2"/>
  <c r="L403" i="2"/>
  <c r="R402" i="2"/>
  <c r="Q402" i="2"/>
  <c r="P402" i="2"/>
  <c r="O402" i="2"/>
  <c r="M402" i="2"/>
  <c r="L402" i="2"/>
  <c r="R401" i="2"/>
  <c r="Q401" i="2"/>
  <c r="P401" i="2"/>
  <c r="O401" i="2"/>
  <c r="M401" i="2"/>
  <c r="L401" i="2"/>
  <c r="R400" i="2"/>
  <c r="Q400" i="2"/>
  <c r="P400" i="2"/>
  <c r="O400" i="2"/>
  <c r="M400" i="2"/>
  <c r="L400" i="2"/>
  <c r="R399" i="2"/>
  <c r="Q399" i="2"/>
  <c r="P399" i="2"/>
  <c r="O399" i="2"/>
  <c r="M399" i="2"/>
  <c r="L399" i="2"/>
  <c r="R398" i="2"/>
  <c r="Q398" i="2"/>
  <c r="P398" i="2"/>
  <c r="O398" i="2"/>
  <c r="M398" i="2"/>
  <c r="L398" i="2"/>
  <c r="R397" i="2"/>
  <c r="Q397" i="2"/>
  <c r="P397" i="2"/>
  <c r="O397" i="2"/>
  <c r="M397" i="2"/>
  <c r="L397" i="2"/>
  <c r="R396" i="2"/>
  <c r="Q396" i="2"/>
  <c r="P396" i="2"/>
  <c r="O396" i="2"/>
  <c r="M396" i="2"/>
  <c r="L396" i="2"/>
  <c r="R395" i="2"/>
  <c r="Q395" i="2"/>
  <c r="P395" i="2"/>
  <c r="O395" i="2"/>
  <c r="M395" i="2"/>
  <c r="L395" i="2"/>
  <c r="R394" i="2"/>
  <c r="Q394" i="2"/>
  <c r="P394" i="2"/>
  <c r="O394" i="2"/>
  <c r="M394" i="2"/>
  <c r="L394" i="2"/>
  <c r="R393" i="2"/>
  <c r="Q393" i="2"/>
  <c r="P393" i="2"/>
  <c r="O393" i="2"/>
  <c r="M393" i="2"/>
  <c r="L393" i="2"/>
  <c r="R392" i="2"/>
  <c r="Q392" i="2"/>
  <c r="P392" i="2"/>
  <c r="O392" i="2"/>
  <c r="M392" i="2"/>
  <c r="L392" i="2"/>
  <c r="R391" i="2"/>
  <c r="Q391" i="2"/>
  <c r="P391" i="2"/>
  <c r="O391" i="2"/>
  <c r="M391" i="2"/>
  <c r="L391" i="2"/>
  <c r="R390" i="2"/>
  <c r="Q390" i="2"/>
  <c r="P390" i="2"/>
  <c r="O390" i="2"/>
  <c r="M390" i="2"/>
  <c r="L390" i="2"/>
  <c r="R389" i="2"/>
  <c r="Q389" i="2"/>
  <c r="P389" i="2"/>
  <c r="O389" i="2"/>
  <c r="M389" i="2"/>
  <c r="L389" i="2"/>
  <c r="R388" i="2"/>
  <c r="Q388" i="2"/>
  <c r="P388" i="2"/>
  <c r="O388" i="2"/>
  <c r="M388" i="2"/>
  <c r="L388" i="2"/>
  <c r="R387" i="2"/>
  <c r="Q387" i="2"/>
  <c r="P387" i="2"/>
  <c r="O387" i="2"/>
  <c r="M387" i="2"/>
  <c r="L387" i="2"/>
  <c r="R386" i="2"/>
  <c r="Q386" i="2"/>
  <c r="P386" i="2"/>
  <c r="O386" i="2"/>
  <c r="M386" i="2"/>
  <c r="L386" i="2"/>
  <c r="R385" i="2"/>
  <c r="Q385" i="2"/>
  <c r="P385" i="2"/>
  <c r="O385" i="2"/>
  <c r="M385" i="2"/>
  <c r="L385" i="2"/>
  <c r="R384" i="2"/>
  <c r="Q384" i="2"/>
  <c r="P384" i="2"/>
  <c r="O384" i="2"/>
  <c r="M384" i="2"/>
  <c r="L384" i="2"/>
  <c r="R383" i="2"/>
  <c r="Q383" i="2"/>
  <c r="P383" i="2"/>
  <c r="O383" i="2"/>
  <c r="M383" i="2"/>
  <c r="L383" i="2"/>
  <c r="R382" i="2"/>
  <c r="Q382" i="2"/>
  <c r="P382" i="2"/>
  <c r="O382" i="2"/>
  <c r="M382" i="2"/>
  <c r="L382" i="2"/>
  <c r="R381" i="2"/>
  <c r="Q381" i="2"/>
  <c r="P381" i="2"/>
  <c r="O381" i="2"/>
  <c r="M381" i="2"/>
  <c r="L381" i="2"/>
  <c r="R380" i="2"/>
  <c r="Q380" i="2"/>
  <c r="P380" i="2"/>
  <c r="O380" i="2"/>
  <c r="M380" i="2"/>
  <c r="L380" i="2"/>
  <c r="R379" i="2"/>
  <c r="Q379" i="2"/>
  <c r="P379" i="2"/>
  <c r="O379" i="2"/>
  <c r="M379" i="2"/>
  <c r="L379" i="2"/>
  <c r="R378" i="2"/>
  <c r="Q378" i="2"/>
  <c r="P378" i="2"/>
  <c r="O378" i="2"/>
  <c r="M378" i="2"/>
  <c r="L378" i="2"/>
  <c r="R377" i="2"/>
  <c r="Q377" i="2"/>
  <c r="P377" i="2"/>
  <c r="O377" i="2"/>
  <c r="M377" i="2"/>
  <c r="L377" i="2"/>
  <c r="R376" i="2"/>
  <c r="Q376" i="2"/>
  <c r="P376" i="2"/>
  <c r="O376" i="2"/>
  <c r="M376" i="2"/>
  <c r="L376" i="2"/>
  <c r="R375" i="2"/>
  <c r="Q375" i="2"/>
  <c r="P375" i="2"/>
  <c r="O375" i="2"/>
  <c r="M375" i="2"/>
  <c r="L375" i="2"/>
  <c r="R374" i="2"/>
  <c r="Q374" i="2"/>
  <c r="P374" i="2"/>
  <c r="O374" i="2"/>
  <c r="M374" i="2"/>
  <c r="L374" i="2"/>
  <c r="R373" i="2"/>
  <c r="Q373" i="2"/>
  <c r="P373" i="2"/>
  <c r="O373" i="2"/>
  <c r="M373" i="2"/>
  <c r="L373" i="2"/>
  <c r="R372" i="2"/>
  <c r="Q372" i="2"/>
  <c r="P372" i="2"/>
  <c r="O372" i="2"/>
  <c r="M372" i="2"/>
  <c r="L372" i="2"/>
  <c r="R371" i="2"/>
  <c r="Q371" i="2"/>
  <c r="P371" i="2"/>
  <c r="O371" i="2"/>
  <c r="M371" i="2"/>
  <c r="L371" i="2"/>
  <c r="R370" i="2"/>
  <c r="Q370" i="2"/>
  <c r="P370" i="2"/>
  <c r="O370" i="2"/>
  <c r="M370" i="2"/>
  <c r="L370" i="2"/>
  <c r="R369" i="2"/>
  <c r="Q369" i="2"/>
  <c r="P369" i="2"/>
  <c r="O369" i="2"/>
  <c r="M369" i="2"/>
  <c r="L369" i="2"/>
  <c r="R368" i="2"/>
  <c r="Q368" i="2"/>
  <c r="P368" i="2"/>
  <c r="O368" i="2"/>
  <c r="M368" i="2"/>
  <c r="L368" i="2"/>
  <c r="R367" i="2"/>
  <c r="Q367" i="2"/>
  <c r="P367" i="2"/>
  <c r="O367" i="2"/>
  <c r="M367" i="2"/>
  <c r="L367" i="2"/>
  <c r="R366" i="2"/>
  <c r="Q366" i="2"/>
  <c r="P366" i="2"/>
  <c r="O366" i="2"/>
  <c r="M366" i="2"/>
  <c r="L366" i="2"/>
  <c r="R365" i="2"/>
  <c r="Q365" i="2"/>
  <c r="P365" i="2"/>
  <c r="O365" i="2"/>
  <c r="M365" i="2"/>
  <c r="L365" i="2"/>
  <c r="R364" i="2"/>
  <c r="Q364" i="2"/>
  <c r="P364" i="2"/>
  <c r="O364" i="2"/>
  <c r="M364" i="2"/>
  <c r="L364" i="2"/>
  <c r="R363" i="2"/>
  <c r="Q363" i="2"/>
  <c r="P363" i="2"/>
  <c r="O363" i="2"/>
  <c r="M363" i="2"/>
  <c r="L363" i="2"/>
  <c r="R362" i="2"/>
  <c r="Q362" i="2"/>
  <c r="P362" i="2"/>
  <c r="O362" i="2"/>
  <c r="M362" i="2"/>
  <c r="L362" i="2"/>
  <c r="R361" i="2"/>
  <c r="Q361" i="2"/>
  <c r="P361" i="2"/>
  <c r="O361" i="2"/>
  <c r="M361" i="2"/>
  <c r="L361" i="2"/>
  <c r="R360" i="2"/>
  <c r="Q360" i="2"/>
  <c r="P360" i="2"/>
  <c r="O360" i="2"/>
  <c r="M360" i="2"/>
  <c r="L360" i="2"/>
  <c r="R359" i="2"/>
  <c r="Q359" i="2"/>
  <c r="P359" i="2"/>
  <c r="O359" i="2"/>
  <c r="M359" i="2"/>
  <c r="L359" i="2"/>
  <c r="R358" i="2"/>
  <c r="Q358" i="2"/>
  <c r="P358" i="2"/>
  <c r="O358" i="2"/>
  <c r="M358" i="2"/>
  <c r="L358" i="2"/>
  <c r="R357" i="2"/>
  <c r="Q357" i="2"/>
  <c r="P357" i="2"/>
  <c r="O357" i="2"/>
  <c r="M357" i="2"/>
  <c r="L357" i="2"/>
  <c r="R356" i="2"/>
  <c r="Q356" i="2"/>
  <c r="P356" i="2"/>
  <c r="O356" i="2"/>
  <c r="M356" i="2"/>
  <c r="L356" i="2"/>
  <c r="R355" i="2"/>
  <c r="Q355" i="2"/>
  <c r="P355" i="2"/>
  <c r="O355" i="2"/>
  <c r="M355" i="2"/>
  <c r="L355" i="2"/>
  <c r="R354" i="2"/>
  <c r="Q354" i="2"/>
  <c r="P354" i="2"/>
  <c r="O354" i="2"/>
  <c r="M354" i="2"/>
  <c r="L354" i="2"/>
  <c r="R353" i="2"/>
  <c r="Q353" i="2"/>
  <c r="P353" i="2"/>
  <c r="O353" i="2"/>
  <c r="M353" i="2"/>
  <c r="L353" i="2"/>
  <c r="R352" i="2"/>
  <c r="Q352" i="2"/>
  <c r="P352" i="2"/>
  <c r="O352" i="2"/>
  <c r="M352" i="2"/>
  <c r="L352" i="2"/>
  <c r="R351" i="2"/>
  <c r="Q351" i="2"/>
  <c r="P351" i="2"/>
  <c r="O351" i="2"/>
  <c r="M351" i="2"/>
  <c r="L351" i="2"/>
  <c r="R350" i="2"/>
  <c r="Q350" i="2"/>
  <c r="P350" i="2"/>
  <c r="O350" i="2"/>
  <c r="M350" i="2"/>
  <c r="L350" i="2"/>
  <c r="R349" i="2"/>
  <c r="Q349" i="2"/>
  <c r="P349" i="2"/>
  <c r="O349" i="2"/>
  <c r="M349" i="2"/>
  <c r="L349" i="2"/>
  <c r="R348" i="2"/>
  <c r="Q348" i="2"/>
  <c r="P348" i="2"/>
  <c r="O348" i="2"/>
  <c r="M348" i="2"/>
  <c r="L348" i="2"/>
  <c r="R347" i="2"/>
  <c r="Q347" i="2"/>
  <c r="P347" i="2"/>
  <c r="O347" i="2"/>
  <c r="M347" i="2"/>
  <c r="L347" i="2"/>
  <c r="R346" i="2"/>
  <c r="Q346" i="2"/>
  <c r="P346" i="2"/>
  <c r="O346" i="2"/>
  <c r="M346" i="2"/>
  <c r="L346" i="2"/>
  <c r="R345" i="2"/>
  <c r="Q345" i="2"/>
  <c r="P345" i="2"/>
  <c r="O345" i="2"/>
  <c r="M345" i="2"/>
  <c r="L345" i="2"/>
  <c r="R344" i="2"/>
  <c r="Q344" i="2"/>
  <c r="P344" i="2"/>
  <c r="O344" i="2"/>
  <c r="M344" i="2"/>
  <c r="L344" i="2"/>
  <c r="R343" i="2"/>
  <c r="Q343" i="2"/>
  <c r="P343" i="2"/>
  <c r="O343" i="2"/>
  <c r="M343" i="2"/>
  <c r="L343" i="2"/>
  <c r="R342" i="2"/>
  <c r="Q342" i="2"/>
  <c r="P342" i="2"/>
  <c r="O342" i="2"/>
  <c r="M342" i="2"/>
  <c r="L342" i="2"/>
  <c r="R341" i="2"/>
  <c r="Q341" i="2"/>
  <c r="P341" i="2"/>
  <c r="O341" i="2"/>
  <c r="M341" i="2"/>
  <c r="L341" i="2"/>
  <c r="R340" i="2"/>
  <c r="Q340" i="2"/>
  <c r="P340" i="2"/>
  <c r="O340" i="2"/>
  <c r="M340" i="2"/>
  <c r="L340" i="2"/>
  <c r="R339" i="2"/>
  <c r="Q339" i="2"/>
  <c r="P339" i="2"/>
  <c r="O339" i="2"/>
  <c r="M339" i="2"/>
  <c r="L339" i="2"/>
  <c r="R338" i="2"/>
  <c r="Q338" i="2"/>
  <c r="P338" i="2"/>
  <c r="O338" i="2"/>
  <c r="M338" i="2"/>
  <c r="L338" i="2"/>
  <c r="R337" i="2"/>
  <c r="Q337" i="2"/>
  <c r="P337" i="2"/>
  <c r="O337" i="2"/>
  <c r="M337" i="2"/>
  <c r="L337" i="2"/>
  <c r="R336" i="2"/>
  <c r="Q336" i="2"/>
  <c r="P336" i="2"/>
  <c r="O336" i="2"/>
  <c r="M336" i="2"/>
  <c r="L336" i="2"/>
  <c r="R335" i="2"/>
  <c r="Q335" i="2"/>
  <c r="P335" i="2"/>
  <c r="O335" i="2"/>
  <c r="M335" i="2"/>
  <c r="L335" i="2"/>
  <c r="R334" i="2"/>
  <c r="Q334" i="2"/>
  <c r="P334" i="2"/>
  <c r="O334" i="2"/>
  <c r="M334" i="2"/>
  <c r="L334" i="2"/>
  <c r="R333" i="2"/>
  <c r="Q333" i="2"/>
  <c r="P333" i="2"/>
  <c r="O333" i="2"/>
  <c r="M333" i="2"/>
  <c r="L333" i="2"/>
  <c r="R332" i="2"/>
  <c r="Q332" i="2"/>
  <c r="P332" i="2"/>
  <c r="O332" i="2"/>
  <c r="M332" i="2"/>
  <c r="L332" i="2"/>
  <c r="R331" i="2"/>
  <c r="Q331" i="2"/>
  <c r="P331" i="2"/>
  <c r="O331" i="2"/>
  <c r="M331" i="2"/>
  <c r="L331" i="2"/>
  <c r="R330" i="2"/>
  <c r="Q330" i="2"/>
  <c r="P330" i="2"/>
  <c r="O330" i="2"/>
  <c r="M330" i="2"/>
  <c r="L330" i="2"/>
  <c r="R329" i="2"/>
  <c r="Q329" i="2"/>
  <c r="P329" i="2"/>
  <c r="O329" i="2"/>
  <c r="M329" i="2"/>
  <c r="L329" i="2"/>
  <c r="R328" i="2"/>
  <c r="Q328" i="2"/>
  <c r="P328" i="2"/>
  <c r="O328" i="2"/>
  <c r="M328" i="2"/>
  <c r="L328" i="2"/>
  <c r="R327" i="2"/>
  <c r="Q327" i="2"/>
  <c r="P327" i="2"/>
  <c r="O327" i="2"/>
  <c r="M327" i="2"/>
  <c r="L327" i="2"/>
  <c r="R326" i="2"/>
  <c r="Q326" i="2"/>
  <c r="P326" i="2"/>
  <c r="O326" i="2"/>
  <c r="M326" i="2"/>
  <c r="L326" i="2"/>
  <c r="R325" i="2"/>
  <c r="Q325" i="2"/>
  <c r="P325" i="2"/>
  <c r="O325" i="2"/>
  <c r="M325" i="2"/>
  <c r="L325" i="2"/>
  <c r="R324" i="2"/>
  <c r="Q324" i="2"/>
  <c r="P324" i="2"/>
  <c r="O324" i="2"/>
  <c r="M324" i="2"/>
  <c r="L324" i="2"/>
  <c r="R323" i="2"/>
  <c r="Q323" i="2"/>
  <c r="P323" i="2"/>
  <c r="O323" i="2"/>
  <c r="M323" i="2"/>
  <c r="L323" i="2"/>
  <c r="R322" i="2"/>
  <c r="Q322" i="2"/>
  <c r="P322" i="2"/>
  <c r="O322" i="2"/>
  <c r="M322" i="2"/>
  <c r="L322" i="2"/>
  <c r="R321" i="2"/>
  <c r="Q321" i="2"/>
  <c r="P321" i="2"/>
  <c r="O321" i="2"/>
  <c r="M321" i="2"/>
  <c r="L321" i="2"/>
  <c r="R320" i="2"/>
  <c r="Q320" i="2"/>
  <c r="P320" i="2"/>
  <c r="O320" i="2"/>
  <c r="M320" i="2"/>
  <c r="L320" i="2"/>
  <c r="R319" i="2"/>
  <c r="Q319" i="2"/>
  <c r="P319" i="2"/>
  <c r="O319" i="2"/>
  <c r="M319" i="2"/>
  <c r="L319" i="2"/>
  <c r="R318" i="2"/>
  <c r="Q318" i="2"/>
  <c r="P318" i="2"/>
  <c r="O318" i="2"/>
  <c r="M318" i="2"/>
  <c r="L318" i="2"/>
  <c r="R317" i="2"/>
  <c r="Q317" i="2"/>
  <c r="P317" i="2"/>
  <c r="O317" i="2"/>
  <c r="M317" i="2"/>
  <c r="L317" i="2"/>
  <c r="R316" i="2"/>
  <c r="Q316" i="2"/>
  <c r="P316" i="2"/>
  <c r="O316" i="2"/>
  <c r="M316" i="2"/>
  <c r="L316" i="2"/>
  <c r="R315" i="2"/>
  <c r="Q315" i="2"/>
  <c r="P315" i="2"/>
  <c r="O315" i="2"/>
  <c r="M315" i="2"/>
  <c r="L315" i="2"/>
  <c r="R314" i="2"/>
  <c r="Q314" i="2"/>
  <c r="P314" i="2"/>
  <c r="O314" i="2"/>
  <c r="M314" i="2"/>
  <c r="L314" i="2"/>
  <c r="R313" i="2"/>
  <c r="Q313" i="2"/>
  <c r="P313" i="2"/>
  <c r="O313" i="2"/>
  <c r="M313" i="2"/>
  <c r="L313" i="2"/>
  <c r="R312" i="2"/>
  <c r="Q312" i="2"/>
  <c r="P312" i="2"/>
  <c r="O312" i="2"/>
  <c r="M312" i="2"/>
  <c r="L312" i="2"/>
  <c r="R311" i="2"/>
  <c r="Q311" i="2"/>
  <c r="P311" i="2"/>
  <c r="O311" i="2"/>
  <c r="M311" i="2"/>
  <c r="L311" i="2"/>
  <c r="R310" i="2"/>
  <c r="Q310" i="2"/>
  <c r="P310" i="2"/>
  <c r="O310" i="2"/>
  <c r="M310" i="2"/>
  <c r="L310" i="2"/>
  <c r="R309" i="2"/>
  <c r="Q309" i="2"/>
  <c r="P309" i="2"/>
  <c r="O309" i="2"/>
  <c r="M309" i="2"/>
  <c r="L309" i="2"/>
  <c r="R308" i="2"/>
  <c r="Q308" i="2"/>
  <c r="P308" i="2"/>
  <c r="O308" i="2"/>
  <c r="M308" i="2"/>
  <c r="L308" i="2"/>
  <c r="R307" i="2"/>
  <c r="Q307" i="2"/>
  <c r="P307" i="2"/>
  <c r="O307" i="2"/>
  <c r="M307" i="2"/>
  <c r="L307" i="2"/>
  <c r="R306" i="2"/>
  <c r="Q306" i="2"/>
  <c r="P306" i="2"/>
  <c r="O306" i="2"/>
  <c r="M306" i="2"/>
  <c r="L306" i="2"/>
  <c r="R305" i="2"/>
  <c r="Q305" i="2"/>
  <c r="P305" i="2"/>
  <c r="O305" i="2"/>
  <c r="M305" i="2"/>
  <c r="L305" i="2"/>
  <c r="R304" i="2"/>
  <c r="Q304" i="2"/>
  <c r="P304" i="2"/>
  <c r="O304" i="2"/>
  <c r="M304" i="2"/>
  <c r="L304" i="2"/>
  <c r="R303" i="2"/>
  <c r="Q303" i="2"/>
  <c r="P303" i="2"/>
  <c r="O303" i="2"/>
  <c r="M303" i="2"/>
  <c r="L303" i="2"/>
  <c r="R302" i="2"/>
  <c r="Q302" i="2"/>
  <c r="P302" i="2"/>
  <c r="O302" i="2"/>
  <c r="M302" i="2"/>
  <c r="L302" i="2"/>
  <c r="R301" i="2"/>
  <c r="Q301" i="2"/>
  <c r="P301" i="2"/>
  <c r="O301" i="2"/>
  <c r="M301" i="2"/>
  <c r="L301" i="2"/>
  <c r="R300" i="2"/>
  <c r="Q300" i="2"/>
  <c r="P300" i="2"/>
  <c r="O300" i="2"/>
  <c r="M300" i="2"/>
  <c r="L300" i="2"/>
  <c r="R299" i="2"/>
  <c r="Q299" i="2"/>
  <c r="P299" i="2"/>
  <c r="O299" i="2"/>
  <c r="M299" i="2"/>
  <c r="L299" i="2"/>
  <c r="R298" i="2"/>
  <c r="Q298" i="2"/>
  <c r="P298" i="2"/>
  <c r="O298" i="2"/>
  <c r="M298" i="2"/>
  <c r="L298" i="2"/>
  <c r="R297" i="2"/>
  <c r="Q297" i="2"/>
  <c r="P297" i="2"/>
  <c r="O297" i="2"/>
  <c r="M297" i="2"/>
  <c r="L297" i="2"/>
  <c r="R296" i="2"/>
  <c r="Q296" i="2"/>
  <c r="P296" i="2"/>
  <c r="O296" i="2"/>
  <c r="M296" i="2"/>
  <c r="L296" i="2"/>
  <c r="R295" i="2"/>
  <c r="Q295" i="2"/>
  <c r="P295" i="2"/>
  <c r="O295" i="2"/>
  <c r="M295" i="2"/>
  <c r="L295" i="2"/>
  <c r="R294" i="2"/>
  <c r="Q294" i="2"/>
  <c r="P294" i="2"/>
  <c r="O294" i="2"/>
  <c r="M294" i="2"/>
  <c r="L294" i="2"/>
  <c r="R293" i="2"/>
  <c r="Q293" i="2"/>
  <c r="P293" i="2"/>
  <c r="O293" i="2"/>
  <c r="M293" i="2"/>
  <c r="L293" i="2"/>
  <c r="R292" i="2"/>
  <c r="Q292" i="2"/>
  <c r="P292" i="2"/>
  <c r="O292" i="2"/>
  <c r="M292" i="2"/>
  <c r="L292" i="2"/>
  <c r="R291" i="2"/>
  <c r="Q291" i="2"/>
  <c r="P291" i="2"/>
  <c r="O291" i="2"/>
  <c r="M291" i="2"/>
  <c r="L291" i="2"/>
  <c r="R290" i="2"/>
  <c r="Q290" i="2"/>
  <c r="P290" i="2"/>
  <c r="O290" i="2"/>
  <c r="M290" i="2"/>
  <c r="L290" i="2"/>
  <c r="R289" i="2"/>
  <c r="Q289" i="2"/>
  <c r="P289" i="2"/>
  <c r="O289" i="2"/>
  <c r="M289" i="2"/>
  <c r="L289" i="2"/>
  <c r="R288" i="2"/>
  <c r="Q288" i="2"/>
  <c r="P288" i="2"/>
  <c r="O288" i="2"/>
  <c r="M288" i="2"/>
  <c r="L288" i="2"/>
  <c r="R287" i="2"/>
  <c r="Q287" i="2"/>
  <c r="P287" i="2"/>
  <c r="O287" i="2"/>
  <c r="M287" i="2"/>
  <c r="L287" i="2"/>
  <c r="R286" i="2"/>
  <c r="Q286" i="2"/>
  <c r="P286" i="2"/>
  <c r="O286" i="2"/>
  <c r="M286" i="2"/>
  <c r="L286" i="2"/>
  <c r="R285" i="2"/>
  <c r="Q285" i="2"/>
  <c r="P285" i="2"/>
  <c r="O285" i="2"/>
  <c r="M285" i="2"/>
  <c r="L285" i="2"/>
  <c r="R284" i="2"/>
  <c r="Q284" i="2"/>
  <c r="P284" i="2"/>
  <c r="O284" i="2"/>
  <c r="M284" i="2"/>
  <c r="L284" i="2"/>
  <c r="R283" i="2"/>
  <c r="Q283" i="2"/>
  <c r="P283" i="2"/>
  <c r="O283" i="2"/>
  <c r="M283" i="2"/>
  <c r="L283" i="2"/>
  <c r="R282" i="2"/>
  <c r="Q282" i="2"/>
  <c r="P282" i="2"/>
  <c r="O282" i="2"/>
  <c r="M282" i="2"/>
  <c r="L282" i="2"/>
  <c r="R281" i="2"/>
  <c r="Q281" i="2"/>
  <c r="P281" i="2"/>
  <c r="O281" i="2"/>
  <c r="M281" i="2"/>
  <c r="L281" i="2"/>
  <c r="R280" i="2"/>
  <c r="Q280" i="2"/>
  <c r="P280" i="2"/>
  <c r="O280" i="2"/>
  <c r="M280" i="2"/>
  <c r="L280" i="2"/>
  <c r="R279" i="2"/>
  <c r="Q279" i="2"/>
  <c r="P279" i="2"/>
  <c r="O279" i="2"/>
  <c r="M279" i="2"/>
  <c r="L279" i="2"/>
  <c r="R278" i="2"/>
  <c r="Q278" i="2"/>
  <c r="P278" i="2"/>
  <c r="O278" i="2"/>
  <c r="M278" i="2"/>
  <c r="L278" i="2"/>
  <c r="R277" i="2"/>
  <c r="Q277" i="2"/>
  <c r="P277" i="2"/>
  <c r="O277" i="2"/>
  <c r="M277" i="2"/>
  <c r="L277" i="2"/>
  <c r="R276" i="2"/>
  <c r="Q276" i="2"/>
  <c r="P276" i="2"/>
  <c r="O276" i="2"/>
  <c r="M276" i="2"/>
  <c r="L276" i="2"/>
  <c r="R275" i="2"/>
  <c r="Q275" i="2"/>
  <c r="P275" i="2"/>
  <c r="O275" i="2"/>
  <c r="M275" i="2"/>
  <c r="L275" i="2"/>
  <c r="R274" i="2"/>
  <c r="Q274" i="2"/>
  <c r="P274" i="2"/>
  <c r="O274" i="2"/>
  <c r="M274" i="2"/>
  <c r="L274" i="2"/>
  <c r="R273" i="2"/>
  <c r="Q273" i="2"/>
  <c r="P273" i="2"/>
  <c r="O273" i="2"/>
  <c r="M273" i="2"/>
  <c r="L273" i="2"/>
  <c r="R272" i="2"/>
  <c r="Q272" i="2"/>
  <c r="P272" i="2"/>
  <c r="O272" i="2"/>
  <c r="M272" i="2"/>
  <c r="L272" i="2"/>
  <c r="R271" i="2"/>
  <c r="Q271" i="2"/>
  <c r="P271" i="2"/>
  <c r="O271" i="2"/>
  <c r="M271" i="2"/>
  <c r="L271" i="2"/>
  <c r="R270" i="2"/>
  <c r="Q270" i="2"/>
  <c r="P270" i="2"/>
  <c r="O270" i="2"/>
  <c r="M270" i="2"/>
  <c r="L270" i="2"/>
  <c r="R269" i="2"/>
  <c r="Q269" i="2"/>
  <c r="P269" i="2"/>
  <c r="O269" i="2"/>
  <c r="M269" i="2"/>
  <c r="L269" i="2"/>
  <c r="R268" i="2"/>
  <c r="Q268" i="2"/>
  <c r="P268" i="2"/>
  <c r="O268" i="2"/>
  <c r="M268" i="2"/>
  <c r="L268" i="2"/>
  <c r="R267" i="2"/>
  <c r="Q267" i="2"/>
  <c r="P267" i="2"/>
  <c r="O267" i="2"/>
  <c r="M267" i="2"/>
  <c r="L267" i="2"/>
  <c r="R266" i="2"/>
  <c r="Q266" i="2"/>
  <c r="P266" i="2"/>
  <c r="O266" i="2"/>
  <c r="M266" i="2"/>
  <c r="L266" i="2"/>
  <c r="R265" i="2"/>
  <c r="Q265" i="2"/>
  <c r="P265" i="2"/>
  <c r="O265" i="2"/>
  <c r="M265" i="2"/>
  <c r="L265" i="2"/>
  <c r="R264" i="2"/>
  <c r="Q264" i="2"/>
  <c r="P264" i="2"/>
  <c r="O264" i="2"/>
  <c r="M264" i="2"/>
  <c r="L264" i="2"/>
  <c r="R263" i="2"/>
  <c r="Q263" i="2"/>
  <c r="P263" i="2"/>
  <c r="O263" i="2"/>
  <c r="M263" i="2"/>
  <c r="L263" i="2"/>
  <c r="R262" i="2"/>
  <c r="Q262" i="2"/>
  <c r="P262" i="2"/>
  <c r="O262" i="2"/>
  <c r="M262" i="2"/>
  <c r="L262" i="2"/>
  <c r="R261" i="2"/>
  <c r="Q261" i="2"/>
  <c r="P261" i="2"/>
  <c r="O261" i="2"/>
  <c r="M261" i="2"/>
  <c r="L261" i="2"/>
  <c r="R260" i="2"/>
  <c r="Q260" i="2"/>
  <c r="P260" i="2"/>
  <c r="O260" i="2"/>
  <c r="M260" i="2"/>
  <c r="L260" i="2"/>
  <c r="R259" i="2"/>
  <c r="Q259" i="2"/>
  <c r="P259" i="2"/>
  <c r="O259" i="2"/>
  <c r="M259" i="2"/>
  <c r="L259" i="2"/>
  <c r="R258" i="2"/>
  <c r="Q258" i="2"/>
  <c r="P258" i="2"/>
  <c r="O258" i="2"/>
  <c r="M258" i="2"/>
  <c r="L258" i="2"/>
  <c r="R257" i="2"/>
  <c r="Q257" i="2"/>
  <c r="P257" i="2"/>
  <c r="O257" i="2"/>
  <c r="M257" i="2"/>
  <c r="L257" i="2"/>
  <c r="R256" i="2"/>
  <c r="Q256" i="2"/>
  <c r="P256" i="2"/>
  <c r="O256" i="2"/>
  <c r="M256" i="2"/>
  <c r="L256" i="2"/>
  <c r="R255" i="2"/>
  <c r="Q255" i="2"/>
  <c r="P255" i="2"/>
  <c r="O255" i="2"/>
  <c r="M255" i="2"/>
  <c r="L255" i="2"/>
  <c r="R254" i="2"/>
  <c r="Q254" i="2"/>
  <c r="P254" i="2"/>
  <c r="O254" i="2"/>
  <c r="M254" i="2"/>
  <c r="L254" i="2"/>
  <c r="R253" i="2"/>
  <c r="Q253" i="2"/>
  <c r="P253" i="2"/>
  <c r="O253" i="2"/>
  <c r="M253" i="2"/>
  <c r="L253" i="2"/>
  <c r="R252" i="2"/>
  <c r="Q252" i="2"/>
  <c r="P252" i="2"/>
  <c r="O252" i="2"/>
  <c r="M252" i="2"/>
  <c r="L252" i="2"/>
  <c r="R251" i="2"/>
  <c r="Q251" i="2"/>
  <c r="P251" i="2"/>
  <c r="O251" i="2"/>
  <c r="M251" i="2"/>
  <c r="L251" i="2"/>
  <c r="R250" i="2"/>
  <c r="Q250" i="2"/>
  <c r="P250" i="2"/>
  <c r="O250" i="2"/>
  <c r="M250" i="2"/>
  <c r="L250" i="2"/>
  <c r="R249" i="2"/>
  <c r="Q249" i="2"/>
  <c r="P249" i="2"/>
  <c r="O249" i="2"/>
  <c r="M249" i="2"/>
  <c r="L249" i="2"/>
  <c r="R248" i="2"/>
  <c r="Q248" i="2"/>
  <c r="P248" i="2"/>
  <c r="O248" i="2"/>
  <c r="M248" i="2"/>
  <c r="L248" i="2"/>
  <c r="R247" i="2"/>
  <c r="Q247" i="2"/>
  <c r="P247" i="2"/>
  <c r="O247" i="2"/>
  <c r="M247" i="2"/>
  <c r="L247" i="2"/>
  <c r="R246" i="2"/>
  <c r="Q246" i="2"/>
  <c r="P246" i="2"/>
  <c r="O246" i="2"/>
  <c r="M246" i="2"/>
  <c r="L246" i="2"/>
  <c r="R245" i="2"/>
  <c r="Q245" i="2"/>
  <c r="P245" i="2"/>
  <c r="O245" i="2"/>
  <c r="M245" i="2"/>
  <c r="L245" i="2"/>
  <c r="R244" i="2"/>
  <c r="Q244" i="2"/>
  <c r="P244" i="2"/>
  <c r="O244" i="2"/>
  <c r="M244" i="2"/>
  <c r="L244" i="2"/>
  <c r="R243" i="2"/>
  <c r="Q243" i="2"/>
  <c r="P243" i="2"/>
  <c r="O243" i="2"/>
  <c r="M243" i="2"/>
  <c r="L243" i="2"/>
  <c r="R242" i="2"/>
  <c r="Q242" i="2"/>
  <c r="P242" i="2"/>
  <c r="O242" i="2"/>
  <c r="M242" i="2"/>
  <c r="L242" i="2"/>
  <c r="R241" i="2"/>
  <c r="Q241" i="2"/>
  <c r="P241" i="2"/>
  <c r="O241" i="2"/>
  <c r="M241" i="2"/>
  <c r="L241" i="2"/>
  <c r="R240" i="2"/>
  <c r="Q240" i="2"/>
  <c r="P240" i="2"/>
  <c r="O240" i="2"/>
  <c r="M240" i="2"/>
  <c r="L240" i="2"/>
  <c r="R239" i="2"/>
  <c r="Q239" i="2"/>
  <c r="P239" i="2"/>
  <c r="O239" i="2"/>
  <c r="M239" i="2"/>
  <c r="L239" i="2"/>
  <c r="R238" i="2"/>
  <c r="Q238" i="2"/>
  <c r="P238" i="2"/>
  <c r="O238" i="2"/>
  <c r="M238" i="2"/>
  <c r="L238" i="2"/>
  <c r="R237" i="2"/>
  <c r="Q237" i="2"/>
  <c r="P237" i="2"/>
  <c r="O237" i="2"/>
  <c r="M237" i="2"/>
  <c r="L237" i="2"/>
  <c r="R236" i="2"/>
  <c r="Q236" i="2"/>
  <c r="P236" i="2"/>
  <c r="O236" i="2"/>
  <c r="M236" i="2"/>
  <c r="L236" i="2"/>
  <c r="R235" i="2"/>
  <c r="Q235" i="2"/>
  <c r="P235" i="2"/>
  <c r="O235" i="2"/>
  <c r="M235" i="2"/>
  <c r="L235" i="2"/>
  <c r="R234" i="2"/>
  <c r="Q234" i="2"/>
  <c r="P234" i="2"/>
  <c r="O234" i="2"/>
  <c r="M234" i="2"/>
  <c r="L234" i="2"/>
  <c r="R233" i="2"/>
  <c r="Q233" i="2"/>
  <c r="P233" i="2"/>
  <c r="O233" i="2"/>
  <c r="M233" i="2"/>
  <c r="L233" i="2"/>
  <c r="R232" i="2"/>
  <c r="Q232" i="2"/>
  <c r="P232" i="2"/>
  <c r="O232" i="2"/>
  <c r="M232" i="2"/>
  <c r="L232" i="2"/>
  <c r="R231" i="2"/>
  <c r="Q231" i="2"/>
  <c r="P231" i="2"/>
  <c r="O231" i="2"/>
  <c r="M231" i="2"/>
  <c r="L231" i="2"/>
  <c r="R230" i="2"/>
  <c r="Q230" i="2"/>
  <c r="P230" i="2"/>
  <c r="O230" i="2"/>
  <c r="M230" i="2"/>
  <c r="L230" i="2"/>
  <c r="R229" i="2"/>
  <c r="Q229" i="2"/>
  <c r="P229" i="2"/>
  <c r="O229" i="2"/>
  <c r="M229" i="2"/>
  <c r="L229" i="2"/>
  <c r="R228" i="2"/>
  <c r="Q228" i="2"/>
  <c r="P228" i="2"/>
  <c r="O228" i="2"/>
  <c r="M228" i="2"/>
  <c r="L228" i="2"/>
  <c r="R227" i="2"/>
  <c r="Q227" i="2"/>
  <c r="P227" i="2"/>
  <c r="O227" i="2"/>
  <c r="M227" i="2"/>
  <c r="L227" i="2"/>
  <c r="R226" i="2"/>
  <c r="Q226" i="2"/>
  <c r="P226" i="2"/>
  <c r="O226" i="2"/>
  <c r="M226" i="2"/>
  <c r="L226" i="2"/>
  <c r="R225" i="2"/>
  <c r="Q225" i="2"/>
  <c r="P225" i="2"/>
  <c r="O225" i="2"/>
  <c r="M225" i="2"/>
  <c r="L225" i="2"/>
  <c r="R224" i="2"/>
  <c r="Q224" i="2"/>
  <c r="P224" i="2"/>
  <c r="O224" i="2"/>
  <c r="M224" i="2"/>
  <c r="L224" i="2"/>
  <c r="R223" i="2"/>
  <c r="Q223" i="2"/>
  <c r="P223" i="2"/>
  <c r="O223" i="2"/>
  <c r="M223" i="2"/>
  <c r="L223" i="2"/>
  <c r="R222" i="2"/>
  <c r="Q222" i="2"/>
  <c r="P222" i="2"/>
  <c r="O222" i="2"/>
  <c r="M222" i="2"/>
  <c r="L222" i="2"/>
  <c r="R221" i="2"/>
  <c r="Q221" i="2"/>
  <c r="P221" i="2"/>
  <c r="O221" i="2"/>
  <c r="M221" i="2"/>
  <c r="L221" i="2"/>
  <c r="R220" i="2"/>
  <c r="Q220" i="2"/>
  <c r="P220" i="2"/>
  <c r="O220" i="2"/>
  <c r="M220" i="2"/>
  <c r="L220" i="2"/>
  <c r="R219" i="2"/>
  <c r="Q219" i="2"/>
  <c r="P219" i="2"/>
  <c r="O219" i="2"/>
  <c r="M219" i="2"/>
  <c r="L219" i="2"/>
  <c r="R218" i="2"/>
  <c r="Q218" i="2"/>
  <c r="P218" i="2"/>
  <c r="O218" i="2"/>
  <c r="M218" i="2"/>
  <c r="L218" i="2"/>
  <c r="R217" i="2"/>
  <c r="Q217" i="2"/>
  <c r="P217" i="2"/>
  <c r="O217" i="2"/>
  <c r="M217" i="2"/>
  <c r="L217" i="2"/>
  <c r="R216" i="2"/>
  <c r="Q216" i="2"/>
  <c r="P216" i="2"/>
  <c r="O216" i="2"/>
  <c r="M216" i="2"/>
  <c r="L216" i="2"/>
  <c r="R215" i="2"/>
  <c r="Q215" i="2"/>
  <c r="P215" i="2"/>
  <c r="O215" i="2"/>
  <c r="M215" i="2"/>
  <c r="L215" i="2"/>
  <c r="R214" i="2"/>
  <c r="Q214" i="2"/>
  <c r="P214" i="2"/>
  <c r="O214" i="2"/>
  <c r="M214" i="2"/>
  <c r="L214" i="2"/>
  <c r="R213" i="2"/>
  <c r="Q213" i="2"/>
  <c r="P213" i="2"/>
  <c r="O213" i="2"/>
  <c r="M213" i="2"/>
  <c r="L213" i="2"/>
  <c r="R212" i="2"/>
  <c r="Q212" i="2"/>
  <c r="P212" i="2"/>
  <c r="O212" i="2"/>
  <c r="M212" i="2"/>
  <c r="L212" i="2"/>
  <c r="R211" i="2"/>
  <c r="Q211" i="2"/>
  <c r="P211" i="2"/>
  <c r="O211" i="2"/>
  <c r="M211" i="2"/>
  <c r="L211" i="2"/>
  <c r="R210" i="2"/>
  <c r="Q210" i="2"/>
  <c r="P210" i="2"/>
  <c r="O210" i="2"/>
  <c r="M210" i="2"/>
  <c r="L210" i="2"/>
  <c r="R209" i="2"/>
  <c r="Q209" i="2"/>
  <c r="P209" i="2"/>
  <c r="O209" i="2"/>
  <c r="M209" i="2"/>
  <c r="L209" i="2"/>
  <c r="R208" i="2"/>
  <c r="Q208" i="2"/>
  <c r="P208" i="2"/>
  <c r="O208" i="2"/>
  <c r="M208" i="2"/>
  <c r="L208" i="2"/>
  <c r="R207" i="2"/>
  <c r="Q207" i="2"/>
  <c r="P207" i="2"/>
  <c r="O207" i="2"/>
  <c r="M207" i="2"/>
  <c r="L207" i="2"/>
  <c r="R206" i="2"/>
  <c r="Q206" i="2"/>
  <c r="P206" i="2"/>
  <c r="O206" i="2"/>
  <c r="M206" i="2"/>
  <c r="L206" i="2"/>
  <c r="R205" i="2"/>
  <c r="Q205" i="2"/>
  <c r="P205" i="2"/>
  <c r="O205" i="2"/>
  <c r="M205" i="2"/>
  <c r="L205" i="2"/>
  <c r="R204" i="2"/>
  <c r="Q204" i="2"/>
  <c r="P204" i="2"/>
  <c r="O204" i="2"/>
  <c r="M204" i="2"/>
  <c r="L204" i="2"/>
  <c r="R203" i="2"/>
  <c r="Q203" i="2"/>
  <c r="P203" i="2"/>
  <c r="O203" i="2"/>
  <c r="M203" i="2"/>
  <c r="L203" i="2"/>
  <c r="R202" i="2"/>
  <c r="Q202" i="2"/>
  <c r="P202" i="2"/>
  <c r="O202" i="2"/>
  <c r="M202" i="2"/>
  <c r="L202" i="2"/>
  <c r="R201" i="2"/>
  <c r="Q201" i="2"/>
  <c r="P201" i="2"/>
  <c r="O201" i="2"/>
  <c r="M201" i="2"/>
  <c r="L201" i="2"/>
  <c r="R200" i="2"/>
  <c r="Q200" i="2"/>
  <c r="P200" i="2"/>
  <c r="O200" i="2"/>
  <c r="M200" i="2"/>
  <c r="L200" i="2"/>
  <c r="R199" i="2"/>
  <c r="Q199" i="2"/>
  <c r="P199" i="2"/>
  <c r="O199" i="2"/>
  <c r="M199" i="2"/>
  <c r="L199" i="2"/>
  <c r="R198" i="2"/>
  <c r="Q198" i="2"/>
  <c r="P198" i="2"/>
  <c r="O198" i="2"/>
  <c r="M198" i="2"/>
  <c r="L198" i="2"/>
  <c r="R197" i="2"/>
  <c r="Q197" i="2"/>
  <c r="P197" i="2"/>
  <c r="O197" i="2"/>
  <c r="M197" i="2"/>
  <c r="L197" i="2"/>
  <c r="R196" i="2"/>
  <c r="Q196" i="2"/>
  <c r="P196" i="2"/>
  <c r="O196" i="2"/>
  <c r="M196" i="2"/>
  <c r="L196" i="2"/>
  <c r="R195" i="2"/>
  <c r="Q195" i="2"/>
  <c r="P195" i="2"/>
  <c r="O195" i="2"/>
  <c r="M195" i="2"/>
  <c r="L195" i="2"/>
  <c r="R194" i="2"/>
  <c r="Q194" i="2"/>
  <c r="P194" i="2"/>
  <c r="O194" i="2"/>
  <c r="M194" i="2"/>
  <c r="L194" i="2"/>
  <c r="R193" i="2"/>
  <c r="Q193" i="2"/>
  <c r="P193" i="2"/>
  <c r="O193" i="2"/>
  <c r="M193" i="2"/>
  <c r="L193" i="2"/>
  <c r="R192" i="2"/>
  <c r="Q192" i="2"/>
  <c r="P192" i="2"/>
  <c r="O192" i="2"/>
  <c r="M192" i="2"/>
  <c r="L192" i="2"/>
  <c r="R191" i="2"/>
  <c r="Q191" i="2"/>
  <c r="P191" i="2"/>
  <c r="O191" i="2"/>
  <c r="M191" i="2"/>
  <c r="L191" i="2"/>
  <c r="R190" i="2"/>
  <c r="Q190" i="2"/>
  <c r="P190" i="2"/>
  <c r="O190" i="2"/>
  <c r="M190" i="2"/>
  <c r="L190" i="2"/>
  <c r="R189" i="2"/>
  <c r="Q189" i="2"/>
  <c r="P189" i="2"/>
  <c r="O189" i="2"/>
  <c r="M189" i="2"/>
  <c r="L189" i="2"/>
  <c r="R188" i="2"/>
  <c r="Q188" i="2"/>
  <c r="P188" i="2"/>
  <c r="O188" i="2"/>
  <c r="M188" i="2"/>
  <c r="L188" i="2"/>
  <c r="R187" i="2"/>
  <c r="Q187" i="2"/>
  <c r="P187" i="2"/>
  <c r="O187" i="2"/>
  <c r="M187" i="2"/>
  <c r="L187" i="2"/>
  <c r="R186" i="2"/>
  <c r="Q186" i="2"/>
  <c r="P186" i="2"/>
  <c r="O186" i="2"/>
  <c r="M186" i="2"/>
  <c r="L186" i="2"/>
  <c r="R185" i="2"/>
  <c r="Q185" i="2"/>
  <c r="P185" i="2"/>
  <c r="O185" i="2"/>
  <c r="M185" i="2"/>
  <c r="L185" i="2"/>
  <c r="R184" i="2"/>
  <c r="Q184" i="2"/>
  <c r="P184" i="2"/>
  <c r="O184" i="2"/>
  <c r="M184" i="2"/>
  <c r="L184" i="2"/>
  <c r="R183" i="2"/>
  <c r="Q183" i="2"/>
  <c r="P183" i="2"/>
  <c r="O183" i="2"/>
  <c r="M183" i="2"/>
  <c r="L183" i="2"/>
  <c r="R182" i="2"/>
  <c r="Q182" i="2"/>
  <c r="P182" i="2"/>
  <c r="O182" i="2"/>
  <c r="M182" i="2"/>
  <c r="L182" i="2"/>
  <c r="R181" i="2"/>
  <c r="Q181" i="2"/>
  <c r="P181" i="2"/>
  <c r="O181" i="2"/>
  <c r="M181" i="2"/>
  <c r="L181" i="2"/>
  <c r="R180" i="2"/>
  <c r="Q180" i="2"/>
  <c r="P180" i="2"/>
  <c r="O180" i="2"/>
  <c r="M180" i="2"/>
  <c r="L180" i="2"/>
  <c r="R179" i="2"/>
  <c r="Q179" i="2"/>
  <c r="P179" i="2"/>
  <c r="O179" i="2"/>
  <c r="M179" i="2"/>
  <c r="L179" i="2"/>
  <c r="R178" i="2"/>
  <c r="Q178" i="2"/>
  <c r="P178" i="2"/>
  <c r="O178" i="2"/>
  <c r="M178" i="2"/>
  <c r="L178" i="2"/>
  <c r="R177" i="2"/>
  <c r="Q177" i="2"/>
  <c r="P177" i="2"/>
  <c r="O177" i="2"/>
  <c r="M177" i="2"/>
  <c r="L177" i="2"/>
  <c r="R176" i="2"/>
  <c r="Q176" i="2"/>
  <c r="P176" i="2"/>
  <c r="O176" i="2"/>
  <c r="M176" i="2"/>
  <c r="L176" i="2"/>
  <c r="R175" i="2"/>
  <c r="Q175" i="2"/>
  <c r="P175" i="2"/>
  <c r="O175" i="2"/>
  <c r="M175" i="2"/>
  <c r="L175" i="2"/>
  <c r="R174" i="2"/>
  <c r="Q174" i="2"/>
  <c r="P174" i="2"/>
  <c r="O174" i="2"/>
  <c r="M174" i="2"/>
  <c r="L174" i="2"/>
  <c r="R173" i="2"/>
  <c r="Q173" i="2"/>
  <c r="P173" i="2"/>
  <c r="O173" i="2"/>
  <c r="M173" i="2"/>
  <c r="L173" i="2"/>
  <c r="R172" i="2"/>
  <c r="Q172" i="2"/>
  <c r="P172" i="2"/>
  <c r="O172" i="2"/>
  <c r="M172" i="2"/>
  <c r="L172" i="2"/>
  <c r="R171" i="2"/>
  <c r="Q171" i="2"/>
  <c r="P171" i="2"/>
  <c r="O171" i="2"/>
  <c r="M171" i="2"/>
  <c r="L171" i="2"/>
  <c r="R170" i="2"/>
  <c r="Q170" i="2"/>
  <c r="P170" i="2"/>
  <c r="O170" i="2"/>
  <c r="M170" i="2"/>
  <c r="L170" i="2"/>
  <c r="R169" i="2"/>
  <c r="Q169" i="2"/>
  <c r="P169" i="2"/>
  <c r="O169" i="2"/>
  <c r="M169" i="2"/>
  <c r="L169" i="2"/>
  <c r="R168" i="2"/>
  <c r="Q168" i="2"/>
  <c r="P168" i="2"/>
  <c r="O168" i="2"/>
  <c r="M168" i="2"/>
  <c r="L168" i="2"/>
  <c r="R167" i="2"/>
  <c r="Q167" i="2"/>
  <c r="P167" i="2"/>
  <c r="O167" i="2"/>
  <c r="M167" i="2"/>
  <c r="L167" i="2"/>
  <c r="R166" i="2"/>
  <c r="Q166" i="2"/>
  <c r="P166" i="2"/>
  <c r="O166" i="2"/>
  <c r="M166" i="2"/>
  <c r="L166" i="2"/>
  <c r="R165" i="2"/>
  <c r="Q165" i="2"/>
  <c r="P165" i="2"/>
  <c r="O165" i="2"/>
  <c r="M165" i="2"/>
  <c r="L165" i="2"/>
  <c r="R164" i="2"/>
  <c r="Q164" i="2"/>
  <c r="P164" i="2"/>
  <c r="O164" i="2"/>
  <c r="M164" i="2"/>
  <c r="L164" i="2"/>
  <c r="R163" i="2"/>
  <c r="Q163" i="2"/>
  <c r="P163" i="2"/>
  <c r="O163" i="2"/>
  <c r="M163" i="2"/>
  <c r="L163" i="2"/>
  <c r="R162" i="2"/>
  <c r="Q162" i="2"/>
  <c r="P162" i="2"/>
  <c r="O162" i="2"/>
  <c r="M162" i="2"/>
  <c r="L162" i="2"/>
  <c r="R161" i="2"/>
  <c r="Q161" i="2"/>
  <c r="P161" i="2"/>
  <c r="O161" i="2"/>
  <c r="M161" i="2"/>
  <c r="L161" i="2"/>
  <c r="R160" i="2"/>
  <c r="Q160" i="2"/>
  <c r="P160" i="2"/>
  <c r="O160" i="2"/>
  <c r="M160" i="2"/>
  <c r="L160" i="2"/>
  <c r="R159" i="2"/>
  <c r="Q159" i="2"/>
  <c r="P159" i="2"/>
  <c r="O159" i="2"/>
  <c r="M159" i="2"/>
  <c r="L159" i="2"/>
  <c r="R158" i="2"/>
  <c r="Q158" i="2"/>
  <c r="P158" i="2"/>
  <c r="O158" i="2"/>
  <c r="M158" i="2"/>
  <c r="L158" i="2"/>
  <c r="R157" i="2"/>
  <c r="Q157" i="2"/>
  <c r="P157" i="2"/>
  <c r="O157" i="2"/>
  <c r="M157" i="2"/>
  <c r="L157" i="2"/>
  <c r="R156" i="2"/>
  <c r="Q156" i="2"/>
  <c r="P156" i="2"/>
  <c r="O156" i="2"/>
  <c r="M156" i="2"/>
  <c r="L156" i="2"/>
  <c r="R155" i="2"/>
  <c r="Q155" i="2"/>
  <c r="P155" i="2"/>
  <c r="O155" i="2"/>
  <c r="M155" i="2"/>
  <c r="L155" i="2"/>
  <c r="R154" i="2"/>
  <c r="Q154" i="2"/>
  <c r="P154" i="2"/>
  <c r="O154" i="2"/>
  <c r="M154" i="2"/>
  <c r="L154" i="2"/>
  <c r="R153" i="2"/>
  <c r="Q153" i="2"/>
  <c r="P153" i="2"/>
  <c r="O153" i="2"/>
  <c r="M153" i="2"/>
  <c r="L153" i="2"/>
  <c r="R152" i="2"/>
  <c r="Q152" i="2"/>
  <c r="P152" i="2"/>
  <c r="O152" i="2"/>
  <c r="M152" i="2"/>
  <c r="L152" i="2"/>
  <c r="R151" i="2"/>
  <c r="Q151" i="2"/>
  <c r="P151" i="2"/>
  <c r="O151" i="2"/>
  <c r="M151" i="2"/>
  <c r="L151" i="2"/>
  <c r="R150" i="2"/>
  <c r="Q150" i="2"/>
  <c r="P150" i="2"/>
  <c r="O150" i="2"/>
  <c r="M150" i="2"/>
  <c r="L150" i="2"/>
  <c r="R149" i="2"/>
  <c r="Q149" i="2"/>
  <c r="P149" i="2"/>
  <c r="O149" i="2"/>
  <c r="M149" i="2"/>
  <c r="L149" i="2"/>
  <c r="R148" i="2"/>
  <c r="Q148" i="2"/>
  <c r="P148" i="2"/>
  <c r="O148" i="2"/>
  <c r="M148" i="2"/>
  <c r="L148" i="2"/>
  <c r="R147" i="2"/>
  <c r="Q147" i="2"/>
  <c r="P147" i="2"/>
  <c r="O147" i="2"/>
  <c r="M147" i="2"/>
  <c r="L147" i="2"/>
  <c r="R146" i="2"/>
  <c r="Q146" i="2"/>
  <c r="P146" i="2"/>
  <c r="O146" i="2"/>
  <c r="M146" i="2"/>
  <c r="L146" i="2"/>
  <c r="R145" i="2"/>
  <c r="Q145" i="2"/>
  <c r="P145" i="2"/>
  <c r="O145" i="2"/>
  <c r="M145" i="2"/>
  <c r="L145" i="2"/>
  <c r="R144" i="2"/>
  <c r="Q144" i="2"/>
  <c r="P144" i="2"/>
  <c r="O144" i="2"/>
  <c r="M144" i="2"/>
  <c r="L144" i="2"/>
  <c r="R143" i="2"/>
  <c r="Q143" i="2"/>
  <c r="P143" i="2"/>
  <c r="O143" i="2"/>
  <c r="M143" i="2"/>
  <c r="L143" i="2"/>
  <c r="R142" i="2"/>
  <c r="Q142" i="2"/>
  <c r="P142" i="2"/>
  <c r="O142" i="2"/>
  <c r="M142" i="2"/>
  <c r="L142" i="2"/>
  <c r="R141" i="2"/>
  <c r="Q141" i="2"/>
  <c r="P141" i="2"/>
  <c r="O141" i="2"/>
  <c r="M141" i="2"/>
  <c r="L141" i="2"/>
  <c r="R140" i="2"/>
  <c r="Q140" i="2"/>
  <c r="P140" i="2"/>
  <c r="O140" i="2"/>
  <c r="M140" i="2"/>
  <c r="L140" i="2"/>
  <c r="R139" i="2"/>
  <c r="Q139" i="2"/>
  <c r="P139" i="2"/>
  <c r="O139" i="2"/>
  <c r="M139" i="2"/>
  <c r="L139" i="2"/>
  <c r="R138" i="2"/>
  <c r="Q138" i="2"/>
  <c r="P138" i="2"/>
  <c r="O138" i="2"/>
  <c r="M138" i="2"/>
  <c r="L138" i="2"/>
  <c r="R137" i="2"/>
  <c r="Q137" i="2"/>
  <c r="P137" i="2"/>
  <c r="O137" i="2"/>
  <c r="M137" i="2"/>
  <c r="L137" i="2"/>
  <c r="R136" i="2"/>
  <c r="Q136" i="2"/>
  <c r="P136" i="2"/>
  <c r="O136" i="2"/>
  <c r="M136" i="2"/>
  <c r="L136" i="2"/>
  <c r="R135" i="2"/>
  <c r="Q135" i="2"/>
  <c r="P135" i="2"/>
  <c r="O135" i="2"/>
  <c r="M135" i="2"/>
  <c r="L135" i="2"/>
  <c r="R134" i="2"/>
  <c r="Q134" i="2"/>
  <c r="P134" i="2"/>
  <c r="O134" i="2"/>
  <c r="M134" i="2"/>
  <c r="L134" i="2"/>
  <c r="R133" i="2"/>
  <c r="Q133" i="2"/>
  <c r="P133" i="2"/>
  <c r="O133" i="2"/>
  <c r="M133" i="2"/>
  <c r="L133" i="2"/>
  <c r="R132" i="2"/>
  <c r="Q132" i="2"/>
  <c r="P132" i="2"/>
  <c r="O132" i="2"/>
  <c r="M132" i="2"/>
  <c r="L132" i="2"/>
  <c r="R131" i="2"/>
  <c r="Q131" i="2"/>
  <c r="P131" i="2"/>
  <c r="O131" i="2"/>
  <c r="M131" i="2"/>
  <c r="L131" i="2"/>
  <c r="R130" i="2"/>
  <c r="Q130" i="2"/>
  <c r="P130" i="2"/>
  <c r="O130" i="2"/>
  <c r="M130" i="2"/>
  <c r="L130" i="2"/>
  <c r="R129" i="2"/>
  <c r="Q129" i="2"/>
  <c r="P129" i="2"/>
  <c r="O129" i="2"/>
  <c r="M129" i="2"/>
  <c r="L129" i="2"/>
  <c r="R128" i="2"/>
  <c r="Q128" i="2"/>
  <c r="P128" i="2"/>
  <c r="O128" i="2"/>
  <c r="M128" i="2"/>
  <c r="L128" i="2"/>
  <c r="R127" i="2"/>
  <c r="Q127" i="2"/>
  <c r="P127" i="2"/>
  <c r="O127" i="2"/>
  <c r="M127" i="2"/>
  <c r="L127" i="2"/>
  <c r="R126" i="2"/>
  <c r="Q126" i="2"/>
  <c r="P126" i="2"/>
  <c r="O126" i="2"/>
  <c r="M126" i="2"/>
  <c r="L126" i="2"/>
  <c r="R125" i="2"/>
  <c r="Q125" i="2"/>
  <c r="P125" i="2"/>
  <c r="O125" i="2"/>
  <c r="M125" i="2"/>
  <c r="L125" i="2"/>
  <c r="R124" i="2"/>
  <c r="Q124" i="2"/>
  <c r="P124" i="2"/>
  <c r="O124" i="2"/>
  <c r="M124" i="2"/>
  <c r="L124" i="2"/>
  <c r="R123" i="2"/>
  <c r="Q123" i="2"/>
  <c r="P123" i="2"/>
  <c r="O123" i="2"/>
  <c r="M123" i="2"/>
  <c r="L123" i="2"/>
  <c r="R122" i="2"/>
  <c r="Q122" i="2"/>
  <c r="P122" i="2"/>
  <c r="O122" i="2"/>
  <c r="M122" i="2"/>
  <c r="L122" i="2"/>
  <c r="R121" i="2"/>
  <c r="Q121" i="2"/>
  <c r="P121" i="2"/>
  <c r="O121" i="2"/>
  <c r="M121" i="2"/>
  <c r="L121" i="2"/>
  <c r="R120" i="2"/>
  <c r="Q120" i="2"/>
  <c r="P120" i="2"/>
  <c r="O120" i="2"/>
  <c r="M120" i="2"/>
  <c r="L120" i="2"/>
  <c r="R119" i="2"/>
  <c r="Q119" i="2"/>
  <c r="P119" i="2"/>
  <c r="O119" i="2"/>
  <c r="M119" i="2"/>
  <c r="L119" i="2"/>
  <c r="R118" i="2"/>
  <c r="Q118" i="2"/>
  <c r="P118" i="2"/>
  <c r="O118" i="2"/>
  <c r="M118" i="2"/>
  <c r="L118" i="2"/>
  <c r="R117" i="2"/>
  <c r="Q117" i="2"/>
  <c r="P117" i="2"/>
  <c r="O117" i="2"/>
  <c r="M117" i="2"/>
  <c r="L117" i="2"/>
  <c r="R116" i="2"/>
  <c r="Q116" i="2"/>
  <c r="P116" i="2"/>
  <c r="O116" i="2"/>
  <c r="M116" i="2"/>
  <c r="L116" i="2"/>
  <c r="R115" i="2"/>
  <c r="Q115" i="2"/>
  <c r="P115" i="2"/>
  <c r="O115" i="2"/>
  <c r="M115" i="2"/>
  <c r="L115" i="2"/>
  <c r="R114" i="2"/>
  <c r="Q114" i="2"/>
  <c r="P114" i="2"/>
  <c r="O114" i="2"/>
  <c r="M114" i="2"/>
  <c r="L114" i="2"/>
  <c r="R113" i="2"/>
  <c r="Q113" i="2"/>
  <c r="P113" i="2"/>
  <c r="O113" i="2"/>
  <c r="M113" i="2"/>
  <c r="L113" i="2"/>
  <c r="R112" i="2"/>
  <c r="Q112" i="2"/>
  <c r="P112" i="2"/>
  <c r="O112" i="2"/>
  <c r="M112" i="2"/>
  <c r="L112" i="2"/>
  <c r="R111" i="2"/>
  <c r="Q111" i="2"/>
  <c r="P111" i="2"/>
  <c r="O111" i="2"/>
  <c r="M111" i="2"/>
  <c r="L111" i="2"/>
  <c r="R110" i="2"/>
  <c r="Q110" i="2"/>
  <c r="P110" i="2"/>
  <c r="O110" i="2"/>
  <c r="M110" i="2"/>
  <c r="L110" i="2"/>
  <c r="R109" i="2"/>
  <c r="Q109" i="2"/>
  <c r="P109" i="2"/>
  <c r="O109" i="2"/>
  <c r="M109" i="2"/>
  <c r="L109" i="2"/>
  <c r="R108" i="2"/>
  <c r="Q108" i="2"/>
  <c r="P108" i="2"/>
  <c r="O108" i="2"/>
  <c r="M108" i="2"/>
  <c r="L108" i="2"/>
  <c r="R107" i="2"/>
  <c r="Q107" i="2"/>
  <c r="P107" i="2"/>
  <c r="O107" i="2"/>
  <c r="M107" i="2"/>
  <c r="L107" i="2"/>
  <c r="R106" i="2"/>
  <c r="Q106" i="2"/>
  <c r="P106" i="2"/>
  <c r="O106" i="2"/>
  <c r="M106" i="2"/>
  <c r="L106" i="2"/>
  <c r="R105" i="2"/>
  <c r="Q105" i="2"/>
  <c r="P105" i="2"/>
  <c r="O105" i="2"/>
  <c r="M105" i="2"/>
  <c r="L105" i="2"/>
  <c r="R104" i="2"/>
  <c r="Q104" i="2"/>
  <c r="P104" i="2"/>
  <c r="O104" i="2"/>
  <c r="M104" i="2"/>
  <c r="L104" i="2"/>
  <c r="R103" i="2"/>
  <c r="Q103" i="2"/>
  <c r="P103" i="2"/>
  <c r="O103" i="2"/>
  <c r="M103" i="2"/>
  <c r="L103" i="2"/>
  <c r="R102" i="2"/>
  <c r="Q102" i="2"/>
  <c r="P102" i="2"/>
  <c r="O102" i="2"/>
  <c r="M102" i="2"/>
  <c r="L102" i="2"/>
  <c r="R101" i="2"/>
  <c r="Q101" i="2"/>
  <c r="P101" i="2"/>
  <c r="O101" i="2"/>
  <c r="M101" i="2"/>
  <c r="L101" i="2"/>
  <c r="R100" i="2"/>
  <c r="Q100" i="2"/>
  <c r="P100" i="2"/>
  <c r="O100" i="2"/>
  <c r="M100" i="2"/>
  <c r="L100" i="2"/>
  <c r="R99" i="2"/>
  <c r="Q99" i="2"/>
  <c r="P99" i="2"/>
  <c r="O99" i="2"/>
  <c r="M99" i="2"/>
  <c r="L99" i="2"/>
  <c r="R98" i="2"/>
  <c r="Q98" i="2"/>
  <c r="P98" i="2"/>
  <c r="O98" i="2"/>
  <c r="M98" i="2"/>
  <c r="L98" i="2"/>
  <c r="R97" i="2"/>
  <c r="Q97" i="2"/>
  <c r="P97" i="2"/>
  <c r="O97" i="2"/>
  <c r="M97" i="2"/>
  <c r="L97" i="2"/>
  <c r="R96" i="2"/>
  <c r="Q96" i="2"/>
  <c r="P96" i="2"/>
  <c r="O96" i="2"/>
  <c r="M96" i="2"/>
  <c r="L96" i="2"/>
  <c r="R95" i="2"/>
  <c r="Q95" i="2"/>
  <c r="P95" i="2"/>
  <c r="O95" i="2"/>
  <c r="M95" i="2"/>
  <c r="L95" i="2"/>
  <c r="R94" i="2"/>
  <c r="Q94" i="2"/>
  <c r="P94" i="2"/>
  <c r="O94" i="2"/>
  <c r="M94" i="2"/>
  <c r="L94" i="2"/>
  <c r="R93" i="2"/>
  <c r="Q93" i="2"/>
  <c r="P93" i="2"/>
  <c r="O93" i="2"/>
  <c r="M93" i="2"/>
  <c r="L93" i="2"/>
  <c r="R92" i="2"/>
  <c r="Q92" i="2"/>
  <c r="P92" i="2"/>
  <c r="O92" i="2"/>
  <c r="M92" i="2"/>
  <c r="L92" i="2"/>
  <c r="R91" i="2"/>
  <c r="Q91" i="2"/>
  <c r="P91" i="2"/>
  <c r="O91" i="2"/>
  <c r="M91" i="2"/>
  <c r="L91" i="2"/>
  <c r="R90" i="2"/>
  <c r="Q90" i="2"/>
  <c r="P90" i="2"/>
  <c r="O90" i="2"/>
  <c r="M90" i="2"/>
  <c r="L90" i="2"/>
  <c r="R89" i="2"/>
  <c r="Q89" i="2"/>
  <c r="P89" i="2"/>
  <c r="O89" i="2"/>
  <c r="M89" i="2"/>
  <c r="L89" i="2"/>
  <c r="R88" i="2"/>
  <c r="Q88" i="2"/>
  <c r="P88" i="2"/>
  <c r="O88" i="2"/>
  <c r="M88" i="2"/>
  <c r="L88" i="2"/>
  <c r="R87" i="2"/>
  <c r="Q87" i="2"/>
  <c r="P87" i="2"/>
  <c r="O87" i="2"/>
  <c r="M87" i="2"/>
  <c r="L87" i="2"/>
  <c r="R86" i="2"/>
  <c r="Q86" i="2"/>
  <c r="P86" i="2"/>
  <c r="O86" i="2"/>
  <c r="M86" i="2"/>
  <c r="L86" i="2"/>
  <c r="R85" i="2"/>
  <c r="Q85" i="2"/>
  <c r="P85" i="2"/>
  <c r="O85" i="2"/>
  <c r="M85" i="2"/>
  <c r="L85" i="2"/>
  <c r="R84" i="2"/>
  <c r="Q84" i="2"/>
  <c r="P84" i="2"/>
  <c r="O84" i="2"/>
  <c r="M84" i="2"/>
  <c r="L84" i="2"/>
  <c r="R83" i="2"/>
  <c r="Q83" i="2"/>
  <c r="P83" i="2"/>
  <c r="O83" i="2"/>
  <c r="M83" i="2"/>
  <c r="L83" i="2"/>
  <c r="R82" i="2"/>
  <c r="Q82" i="2"/>
  <c r="P82" i="2"/>
  <c r="O82" i="2"/>
  <c r="M82" i="2"/>
  <c r="L82" i="2"/>
  <c r="R81" i="2"/>
  <c r="Q81" i="2"/>
  <c r="P81" i="2"/>
  <c r="O81" i="2"/>
  <c r="M81" i="2"/>
  <c r="L81" i="2"/>
  <c r="R80" i="2"/>
  <c r="Q80" i="2"/>
  <c r="P80" i="2"/>
  <c r="O80" i="2"/>
  <c r="M80" i="2"/>
  <c r="L80" i="2"/>
  <c r="R79" i="2"/>
  <c r="Q79" i="2"/>
  <c r="P79" i="2"/>
  <c r="O79" i="2"/>
  <c r="M79" i="2"/>
  <c r="L79" i="2"/>
  <c r="R78" i="2"/>
  <c r="Q78" i="2"/>
  <c r="P78" i="2"/>
  <c r="O78" i="2"/>
  <c r="M78" i="2"/>
  <c r="L78" i="2"/>
  <c r="R77" i="2"/>
  <c r="Q77" i="2"/>
  <c r="P77" i="2"/>
  <c r="O77" i="2"/>
  <c r="M77" i="2"/>
  <c r="L77" i="2"/>
  <c r="R76" i="2"/>
  <c r="Q76" i="2"/>
  <c r="P76" i="2"/>
  <c r="O76" i="2"/>
  <c r="M76" i="2"/>
  <c r="L76" i="2"/>
  <c r="R75" i="2"/>
  <c r="Q75" i="2"/>
  <c r="P75" i="2"/>
  <c r="O75" i="2"/>
  <c r="M75" i="2"/>
  <c r="L75" i="2"/>
  <c r="R74" i="2"/>
  <c r="Q74" i="2"/>
  <c r="P74" i="2"/>
  <c r="O74" i="2"/>
  <c r="M74" i="2"/>
  <c r="L74" i="2"/>
  <c r="R73" i="2"/>
  <c r="Q73" i="2"/>
  <c r="P73" i="2"/>
  <c r="O73" i="2"/>
  <c r="M73" i="2"/>
  <c r="L73" i="2"/>
  <c r="R72" i="2"/>
  <c r="Q72" i="2"/>
  <c r="P72" i="2"/>
  <c r="O72" i="2"/>
  <c r="M72" i="2"/>
  <c r="L72" i="2"/>
  <c r="R71" i="2"/>
  <c r="Q71" i="2"/>
  <c r="P71" i="2"/>
  <c r="O71" i="2"/>
  <c r="M71" i="2"/>
  <c r="L71" i="2"/>
  <c r="R70" i="2"/>
  <c r="Q70" i="2"/>
  <c r="P70" i="2"/>
  <c r="O70" i="2"/>
  <c r="M70" i="2"/>
  <c r="L70" i="2"/>
  <c r="R69" i="2"/>
  <c r="Q69" i="2"/>
  <c r="P69" i="2"/>
  <c r="O69" i="2"/>
  <c r="M69" i="2"/>
  <c r="L69" i="2"/>
  <c r="R68" i="2"/>
  <c r="Q68" i="2"/>
  <c r="P68" i="2"/>
  <c r="O68" i="2"/>
  <c r="M68" i="2"/>
  <c r="L68" i="2"/>
  <c r="R67" i="2"/>
  <c r="Q67" i="2"/>
  <c r="P67" i="2"/>
  <c r="O67" i="2"/>
  <c r="M67" i="2"/>
  <c r="L67" i="2"/>
  <c r="R66" i="2"/>
  <c r="Q66" i="2"/>
  <c r="P66" i="2"/>
  <c r="O66" i="2"/>
  <c r="M66" i="2"/>
  <c r="L66" i="2"/>
  <c r="R65" i="2"/>
  <c r="Q65" i="2"/>
  <c r="P65" i="2"/>
  <c r="O65" i="2"/>
  <c r="M65" i="2"/>
  <c r="L65" i="2"/>
  <c r="R64" i="2"/>
  <c r="Q64" i="2"/>
  <c r="P64" i="2"/>
  <c r="O64" i="2"/>
  <c r="M64" i="2"/>
  <c r="L64" i="2"/>
  <c r="R63" i="2"/>
  <c r="Q63" i="2"/>
  <c r="P63" i="2"/>
  <c r="O63" i="2"/>
  <c r="M63" i="2"/>
  <c r="L63" i="2"/>
  <c r="R62" i="2"/>
  <c r="Q62" i="2"/>
  <c r="P62" i="2"/>
  <c r="O62" i="2"/>
  <c r="M62" i="2"/>
  <c r="L62" i="2"/>
  <c r="R61" i="2"/>
  <c r="Q61" i="2"/>
  <c r="P61" i="2"/>
  <c r="O61" i="2"/>
  <c r="M61" i="2"/>
  <c r="L61" i="2"/>
  <c r="R60" i="2"/>
  <c r="Q60" i="2"/>
  <c r="P60" i="2"/>
  <c r="O60" i="2"/>
  <c r="M60" i="2"/>
  <c r="L60" i="2"/>
  <c r="R59" i="2"/>
  <c r="Q59" i="2"/>
  <c r="P59" i="2"/>
  <c r="O59" i="2"/>
  <c r="M59" i="2"/>
  <c r="L59" i="2"/>
  <c r="R58" i="2"/>
  <c r="Q58" i="2"/>
  <c r="P58" i="2"/>
  <c r="O58" i="2"/>
  <c r="M58" i="2"/>
  <c r="L58" i="2"/>
  <c r="R57" i="2"/>
  <c r="Q57" i="2"/>
  <c r="P57" i="2"/>
  <c r="O57" i="2"/>
  <c r="M57" i="2"/>
  <c r="L57" i="2"/>
  <c r="R56" i="2"/>
  <c r="Q56" i="2"/>
  <c r="P56" i="2"/>
  <c r="O56" i="2"/>
  <c r="M56" i="2"/>
  <c r="L56" i="2"/>
  <c r="R55" i="2"/>
  <c r="Q55" i="2"/>
  <c r="P55" i="2"/>
  <c r="O55" i="2"/>
  <c r="M55" i="2"/>
  <c r="L55" i="2"/>
  <c r="R54" i="2"/>
  <c r="Q54" i="2"/>
  <c r="P54" i="2"/>
  <c r="O54" i="2"/>
  <c r="M54" i="2"/>
  <c r="L54" i="2"/>
  <c r="R53" i="2"/>
  <c r="Q53" i="2"/>
  <c r="P53" i="2"/>
  <c r="O53" i="2"/>
  <c r="M53" i="2"/>
  <c r="L53" i="2"/>
  <c r="R52" i="2"/>
  <c r="Q52" i="2"/>
  <c r="P52" i="2"/>
  <c r="O52" i="2"/>
  <c r="M52" i="2"/>
  <c r="L52" i="2"/>
  <c r="R51" i="2"/>
  <c r="Q51" i="2"/>
  <c r="P51" i="2"/>
  <c r="O51" i="2"/>
  <c r="M51" i="2"/>
  <c r="L51" i="2"/>
  <c r="R50" i="2"/>
  <c r="Q50" i="2"/>
  <c r="P50" i="2"/>
  <c r="O50" i="2"/>
  <c r="M50" i="2"/>
  <c r="L50" i="2"/>
  <c r="R49" i="2"/>
  <c r="Q49" i="2"/>
  <c r="P49" i="2"/>
  <c r="O49" i="2"/>
  <c r="M49" i="2"/>
  <c r="L49" i="2"/>
  <c r="R48" i="2"/>
  <c r="Q48" i="2"/>
  <c r="P48" i="2"/>
  <c r="O48" i="2"/>
  <c r="M48" i="2"/>
  <c r="L48" i="2"/>
  <c r="R47" i="2"/>
  <c r="Q47" i="2"/>
  <c r="P47" i="2"/>
  <c r="O47" i="2"/>
  <c r="M47" i="2"/>
  <c r="L47" i="2"/>
  <c r="R46" i="2"/>
  <c r="Q46" i="2"/>
  <c r="P46" i="2"/>
  <c r="O46" i="2"/>
  <c r="M46" i="2"/>
  <c r="L46" i="2"/>
  <c r="R45" i="2"/>
  <c r="Q45" i="2"/>
  <c r="P45" i="2"/>
  <c r="O45" i="2"/>
  <c r="M45" i="2"/>
  <c r="L45" i="2"/>
  <c r="R44" i="2"/>
  <c r="Q44" i="2"/>
  <c r="P44" i="2"/>
  <c r="O44" i="2"/>
  <c r="M44" i="2"/>
  <c r="L44" i="2"/>
  <c r="R43" i="2"/>
  <c r="Q43" i="2"/>
  <c r="P43" i="2"/>
  <c r="O43" i="2"/>
  <c r="M43" i="2"/>
  <c r="L43" i="2"/>
  <c r="R42" i="2"/>
  <c r="Q42" i="2"/>
  <c r="P42" i="2"/>
  <c r="O42" i="2"/>
  <c r="M42" i="2"/>
  <c r="L42" i="2"/>
  <c r="R41" i="2"/>
  <c r="Q41" i="2"/>
  <c r="P41" i="2"/>
  <c r="O41" i="2"/>
  <c r="M41" i="2"/>
  <c r="L41" i="2"/>
  <c r="R40" i="2"/>
  <c r="Q40" i="2"/>
  <c r="P40" i="2"/>
  <c r="O40" i="2"/>
  <c r="M40" i="2"/>
  <c r="L40" i="2"/>
  <c r="R39" i="2"/>
  <c r="Q39" i="2"/>
  <c r="P39" i="2"/>
  <c r="O39" i="2"/>
  <c r="M39" i="2"/>
  <c r="L39" i="2"/>
  <c r="R38" i="2"/>
  <c r="Q38" i="2"/>
  <c r="P38" i="2"/>
  <c r="O38" i="2"/>
  <c r="M38" i="2"/>
  <c r="L38" i="2"/>
  <c r="R37" i="2"/>
  <c r="Q37" i="2"/>
  <c r="P37" i="2"/>
  <c r="O37" i="2"/>
  <c r="M37" i="2"/>
  <c r="L37" i="2"/>
  <c r="R36" i="2"/>
  <c r="Q36" i="2"/>
  <c r="P36" i="2"/>
  <c r="O36" i="2"/>
  <c r="M36" i="2"/>
  <c r="L36" i="2"/>
  <c r="R35" i="2"/>
  <c r="Q35" i="2"/>
  <c r="P35" i="2"/>
  <c r="O35" i="2"/>
  <c r="M35" i="2"/>
  <c r="L35" i="2"/>
  <c r="R34" i="2"/>
  <c r="Q34" i="2"/>
  <c r="P34" i="2"/>
  <c r="O34" i="2"/>
  <c r="M34" i="2"/>
  <c r="L34" i="2"/>
  <c r="R33" i="2"/>
  <c r="Q33" i="2"/>
  <c r="P33" i="2"/>
  <c r="O33" i="2"/>
  <c r="M33" i="2"/>
  <c r="L33" i="2"/>
  <c r="R32" i="2"/>
  <c r="Q32" i="2"/>
  <c r="P32" i="2"/>
  <c r="O32" i="2"/>
  <c r="M32" i="2"/>
  <c r="L32" i="2"/>
  <c r="R31" i="2"/>
  <c r="Q31" i="2"/>
  <c r="P31" i="2"/>
  <c r="O31" i="2"/>
  <c r="M31" i="2"/>
  <c r="L31" i="2"/>
  <c r="R30" i="2"/>
  <c r="Q30" i="2"/>
  <c r="P30" i="2"/>
  <c r="O30" i="2"/>
  <c r="M30" i="2"/>
  <c r="L30" i="2"/>
  <c r="R29" i="2"/>
  <c r="Q29" i="2"/>
  <c r="P29" i="2"/>
  <c r="O29" i="2"/>
  <c r="M29" i="2"/>
  <c r="L29" i="2"/>
  <c r="R28" i="2"/>
  <c r="Q28" i="2"/>
  <c r="P28" i="2"/>
  <c r="O28" i="2"/>
  <c r="M28" i="2"/>
  <c r="L28" i="2"/>
  <c r="R27" i="2"/>
  <c r="Q27" i="2"/>
  <c r="P27" i="2"/>
  <c r="O27" i="2"/>
  <c r="M27" i="2"/>
  <c r="L27" i="2"/>
  <c r="R26" i="2"/>
  <c r="Q26" i="2"/>
  <c r="P26" i="2"/>
  <c r="O26" i="2"/>
  <c r="M26" i="2"/>
  <c r="L26" i="2"/>
  <c r="R25" i="2"/>
  <c r="Q25" i="2"/>
  <c r="P25" i="2"/>
  <c r="O25" i="2"/>
  <c r="M25" i="2"/>
  <c r="L25" i="2"/>
  <c r="R24" i="2"/>
  <c r="Q24" i="2"/>
  <c r="P24" i="2"/>
  <c r="O24" i="2"/>
  <c r="M24" i="2"/>
  <c r="L24" i="2"/>
  <c r="R23" i="2"/>
  <c r="Q23" i="2"/>
  <c r="P23" i="2"/>
  <c r="O23" i="2"/>
  <c r="M23" i="2"/>
  <c r="L23" i="2"/>
  <c r="R22" i="2"/>
  <c r="Q22" i="2"/>
  <c r="P22" i="2"/>
  <c r="O22" i="2"/>
  <c r="M22" i="2"/>
  <c r="L22" i="2"/>
  <c r="R21" i="2"/>
  <c r="Q21" i="2"/>
  <c r="P21" i="2"/>
  <c r="O21" i="2"/>
  <c r="M21" i="2"/>
  <c r="L21" i="2"/>
  <c r="R20" i="2"/>
  <c r="Q20" i="2"/>
  <c r="P20" i="2"/>
  <c r="O20" i="2"/>
  <c r="M20" i="2"/>
  <c r="L20" i="2"/>
  <c r="R19" i="2"/>
  <c r="Q19" i="2"/>
  <c r="P19" i="2"/>
  <c r="O19" i="2"/>
  <c r="M19" i="2"/>
  <c r="L19" i="2"/>
  <c r="R18" i="2"/>
  <c r="Q18" i="2"/>
  <c r="P18" i="2"/>
  <c r="O18" i="2"/>
  <c r="M18" i="2"/>
  <c r="L18" i="2"/>
  <c r="R17" i="2"/>
  <c r="Q17" i="2"/>
  <c r="P17" i="2"/>
  <c r="O17" i="2"/>
  <c r="M17" i="2"/>
  <c r="L17" i="2"/>
  <c r="R16" i="2"/>
  <c r="Q16" i="2"/>
  <c r="P16" i="2"/>
  <c r="O16" i="2"/>
  <c r="M16" i="2"/>
  <c r="L16" i="2"/>
  <c r="R15" i="2"/>
  <c r="Q15" i="2"/>
  <c r="P15" i="2"/>
  <c r="O15" i="2"/>
  <c r="M15" i="2"/>
  <c r="L15" i="2"/>
  <c r="R14" i="2"/>
  <c r="Q14" i="2"/>
  <c r="P14" i="2"/>
  <c r="O14" i="2"/>
  <c r="M14" i="2"/>
  <c r="L14" i="2"/>
  <c r="R13" i="2"/>
  <c r="Q13" i="2"/>
  <c r="P13" i="2"/>
  <c r="O13" i="2"/>
  <c r="M13" i="2"/>
  <c r="L13" i="2"/>
  <c r="R12" i="2"/>
  <c r="Q12" i="2"/>
  <c r="P12" i="2"/>
  <c r="O12" i="2"/>
  <c r="M12" i="2"/>
  <c r="L12" i="2"/>
  <c r="R11" i="2"/>
  <c r="Q11" i="2"/>
  <c r="P11" i="2"/>
  <c r="O11" i="2"/>
  <c r="M11" i="2"/>
  <c r="L11" i="2"/>
  <c r="R10" i="2"/>
  <c r="Q10" i="2"/>
  <c r="P10" i="2"/>
  <c r="O10" i="2"/>
  <c r="M10" i="2"/>
  <c r="L10" i="2"/>
  <c r="R9" i="2"/>
  <c r="Q9" i="2"/>
  <c r="P9" i="2"/>
  <c r="O9" i="2"/>
  <c r="M9" i="2"/>
  <c r="L9" i="2"/>
  <c r="R8" i="2"/>
  <c r="Q8" i="2"/>
  <c r="P8" i="2"/>
  <c r="O8" i="2"/>
  <c r="M8" i="2"/>
  <c r="L8" i="2"/>
  <c r="R7" i="2"/>
  <c r="Q7" i="2"/>
  <c r="P7" i="2"/>
  <c r="O7" i="2"/>
  <c r="M7" i="2"/>
  <c r="L7" i="2"/>
  <c r="R6" i="2"/>
  <c r="Q6" i="2"/>
  <c r="P6" i="2"/>
  <c r="O6" i="2"/>
  <c r="M6" i="2"/>
  <c r="L6" i="2"/>
  <c r="R5" i="2"/>
  <c r="Q5" i="2"/>
  <c r="P5" i="2"/>
  <c r="O5" i="2"/>
  <c r="M5" i="2"/>
  <c r="L5" i="2"/>
  <c r="R4" i="2"/>
  <c r="Q4" i="2"/>
  <c r="P4" i="2"/>
  <c r="O4" i="2"/>
  <c r="M4" i="2"/>
  <c r="L4" i="2"/>
  <c r="R3" i="2"/>
  <c r="Q3" i="2"/>
  <c r="P3" i="2"/>
  <c r="O3" i="2"/>
  <c r="M3" i="2"/>
  <c r="L3" i="2"/>
  <c r="R2" i="2"/>
  <c r="E9" i="10" s="1"/>
  <c r="Q2" i="2"/>
  <c r="AG23" i="10" s="1"/>
  <c r="P2" i="2"/>
  <c r="O2" i="2"/>
  <c r="J56" i="11" s="1"/>
  <c r="M2" i="2"/>
  <c r="E10" i="9" s="1"/>
  <c r="L2" i="2"/>
  <c r="E9" i="11" s="1"/>
  <c r="E5" i="11" l="1"/>
  <c r="E8" i="9"/>
  <c r="J15" i="10"/>
  <c r="R15" i="10"/>
  <c r="Z15" i="10"/>
  <c r="AH15" i="10"/>
  <c r="L16" i="10"/>
  <c r="T16" i="10"/>
  <c r="AB16" i="10"/>
  <c r="AJ16" i="10"/>
  <c r="N17" i="10"/>
  <c r="V17" i="10"/>
  <c r="AD17" i="10"/>
  <c r="AL17" i="10"/>
  <c r="P18" i="10"/>
  <c r="X18" i="10"/>
  <c r="AF18" i="10"/>
  <c r="J19" i="10"/>
  <c r="R19" i="10"/>
  <c r="Z19" i="10"/>
  <c r="AH19" i="10"/>
  <c r="L20" i="10"/>
  <c r="T20" i="10"/>
  <c r="AB20" i="10"/>
  <c r="AJ20" i="10"/>
  <c r="N21" i="10"/>
  <c r="V21" i="10"/>
  <c r="AD21" i="10"/>
  <c r="AL21" i="10"/>
  <c r="P22" i="10"/>
  <c r="X22" i="10"/>
  <c r="AF22" i="10"/>
  <c r="J23" i="10"/>
  <c r="R23" i="10"/>
  <c r="Z23" i="10"/>
  <c r="AH23" i="10"/>
  <c r="L24" i="10"/>
  <c r="T24" i="10"/>
  <c r="AB24" i="10"/>
  <c r="AJ24" i="10"/>
  <c r="N25" i="10"/>
  <c r="V25" i="10"/>
  <c r="AD25" i="10"/>
  <c r="AL25" i="10"/>
  <c r="P26" i="10"/>
  <c r="X26" i="10"/>
  <c r="AF26" i="10"/>
  <c r="J11" i="11"/>
  <c r="E7" i="11" s="1"/>
  <c r="J19" i="11"/>
  <c r="J27" i="11"/>
  <c r="J35" i="11"/>
  <c r="J43" i="11"/>
  <c r="J51" i="11"/>
  <c r="J59" i="11"/>
  <c r="I15" i="9"/>
  <c r="I23" i="9"/>
  <c r="I31" i="9"/>
  <c r="K15" i="10"/>
  <c r="S15" i="10"/>
  <c r="AA15" i="10"/>
  <c r="AI15" i="10"/>
  <c r="M16" i="10"/>
  <c r="U16" i="10"/>
  <c r="AC16" i="10"/>
  <c r="AK16" i="10"/>
  <c r="O17" i="10"/>
  <c r="W17" i="10"/>
  <c r="AE17" i="10"/>
  <c r="I18" i="10"/>
  <c r="Q18" i="10"/>
  <c r="Y18" i="10"/>
  <c r="AG18" i="10"/>
  <c r="K19" i="10"/>
  <c r="S19" i="10"/>
  <c r="AA19" i="10"/>
  <c r="AI19" i="10"/>
  <c r="M20" i="10"/>
  <c r="U20" i="10"/>
  <c r="AC20" i="10"/>
  <c r="AK20" i="10"/>
  <c r="O21" i="10"/>
  <c r="W21" i="10"/>
  <c r="AE21" i="10"/>
  <c r="I22" i="10"/>
  <c r="Q22" i="10"/>
  <c r="Y22" i="10"/>
  <c r="AG22" i="10"/>
  <c r="K23" i="10"/>
  <c r="S23" i="10"/>
  <c r="AA23" i="10"/>
  <c r="AI23" i="10"/>
  <c r="M24" i="10"/>
  <c r="U24" i="10"/>
  <c r="AC24" i="10"/>
  <c r="AK24" i="10"/>
  <c r="O25" i="10"/>
  <c r="W25" i="10"/>
  <c r="AE25" i="10"/>
  <c r="I5" i="11"/>
  <c r="I7" i="11"/>
  <c r="I9" i="11"/>
  <c r="I17" i="11"/>
  <c r="I25" i="11"/>
  <c r="I33" i="11"/>
  <c r="I41" i="11"/>
  <c r="I49" i="11"/>
  <c r="I57" i="11"/>
  <c r="L15" i="10"/>
  <c r="T15" i="10"/>
  <c r="AB15" i="10"/>
  <c r="AJ15" i="10"/>
  <c r="N16" i="10"/>
  <c r="V16" i="10"/>
  <c r="AD16" i="10"/>
  <c r="AL16" i="10"/>
  <c r="P17" i="10"/>
  <c r="X17" i="10"/>
  <c r="AF17" i="10"/>
  <c r="J18" i="10"/>
  <c r="R18" i="10"/>
  <c r="Z18" i="10"/>
  <c r="AH18" i="10"/>
  <c r="L19" i="10"/>
  <c r="T19" i="10"/>
  <c r="AB19" i="10"/>
  <c r="AJ19" i="10"/>
  <c r="N20" i="10"/>
  <c r="V20" i="10"/>
  <c r="AD20" i="10"/>
  <c r="AL20" i="10"/>
  <c r="P21" i="10"/>
  <c r="X21" i="10"/>
  <c r="AF21" i="10"/>
  <c r="J22" i="10"/>
  <c r="R22" i="10"/>
  <c r="Z22" i="10"/>
  <c r="AH22" i="10"/>
  <c r="L23" i="10"/>
  <c r="T23" i="10"/>
  <c r="AB23" i="10"/>
  <c r="AJ23" i="10"/>
  <c r="N24" i="10"/>
  <c r="V24" i="10"/>
  <c r="AD24" i="10"/>
  <c r="AL24" i="10"/>
  <c r="P25" i="10"/>
  <c r="X25" i="10"/>
  <c r="AF25" i="10"/>
  <c r="J26" i="10"/>
  <c r="R26" i="10"/>
  <c r="Z26" i="10"/>
  <c r="AH26" i="10"/>
  <c r="N2" i="2"/>
  <c r="M15" i="10"/>
  <c r="U15" i="10"/>
  <c r="AC15" i="10"/>
  <c r="AK15" i="10"/>
  <c r="O16" i="10"/>
  <c r="W16" i="10"/>
  <c r="AE16" i="10"/>
  <c r="I17" i="10"/>
  <c r="Q17" i="10"/>
  <c r="Y17" i="10"/>
  <c r="AG17" i="10"/>
  <c r="K18" i="10"/>
  <c r="S18" i="10"/>
  <c r="AA18" i="10"/>
  <c r="AI18" i="10"/>
  <c r="M19" i="10"/>
  <c r="U19" i="10"/>
  <c r="AC19" i="10"/>
  <c r="AK19" i="10"/>
  <c r="O20" i="10"/>
  <c r="W20" i="10"/>
  <c r="AE20" i="10"/>
  <c r="I21" i="10"/>
  <c r="Q21" i="10"/>
  <c r="Y21" i="10"/>
  <c r="AG21" i="10"/>
  <c r="K22" i="10"/>
  <c r="S22" i="10"/>
  <c r="AA22" i="10"/>
  <c r="AI22" i="10"/>
  <c r="M23" i="10"/>
  <c r="U23" i="10"/>
  <c r="AC23" i="10"/>
  <c r="AK23" i="10"/>
  <c r="O24" i="10"/>
  <c r="W24" i="10"/>
  <c r="AE24" i="10"/>
  <c r="I25" i="10"/>
  <c r="Q25" i="10"/>
  <c r="Y25" i="10"/>
  <c r="AG25" i="10"/>
  <c r="K26" i="10"/>
  <c r="S26" i="10"/>
  <c r="AA26" i="10"/>
  <c r="AI26" i="10"/>
  <c r="E8" i="11"/>
  <c r="J12" i="11"/>
  <c r="J20" i="11"/>
  <c r="J28" i="11"/>
  <c r="J36" i="11"/>
  <c r="J44" i="11"/>
  <c r="J52" i="11"/>
  <c r="J60" i="11"/>
  <c r="E7" i="9"/>
  <c r="I16" i="9"/>
  <c r="I24" i="9"/>
  <c r="I32" i="9"/>
  <c r="E5" i="10"/>
  <c r="N15" i="10"/>
  <c r="V15" i="10"/>
  <c r="AD15" i="10"/>
  <c r="AL15" i="10"/>
  <c r="P16" i="10"/>
  <c r="X16" i="10"/>
  <c r="AF16" i="10"/>
  <c r="J17" i="10"/>
  <c r="R17" i="10"/>
  <c r="Z17" i="10"/>
  <c r="AH17" i="10"/>
  <c r="L18" i="10"/>
  <c r="T18" i="10"/>
  <c r="AB18" i="10"/>
  <c r="AJ18" i="10"/>
  <c r="N19" i="10"/>
  <c r="V19" i="10"/>
  <c r="AD19" i="10"/>
  <c r="AL19" i="10"/>
  <c r="P20" i="10"/>
  <c r="X20" i="10"/>
  <c r="AF20" i="10"/>
  <c r="J21" i="10"/>
  <c r="R21" i="10"/>
  <c r="Z21" i="10"/>
  <c r="AH21" i="10"/>
  <c r="L22" i="10"/>
  <c r="T22" i="10"/>
  <c r="AB22" i="10"/>
  <c r="AJ22" i="10"/>
  <c r="N23" i="10"/>
  <c r="V23" i="10"/>
  <c r="AD23" i="10"/>
  <c r="AL23" i="10"/>
  <c r="P24" i="10"/>
  <c r="X24" i="10"/>
  <c r="AF24" i="10"/>
  <c r="J25" i="10"/>
  <c r="R25" i="10"/>
  <c r="Z25" i="10"/>
  <c r="AH25" i="10"/>
  <c r="L26" i="10"/>
  <c r="T26" i="10"/>
  <c r="AB26" i="10"/>
  <c r="AJ26" i="10"/>
  <c r="I10" i="11"/>
  <c r="I18" i="11"/>
  <c r="I26" i="11"/>
  <c r="I34" i="11"/>
  <c r="I42" i="11"/>
  <c r="I50" i="11"/>
  <c r="I58" i="11"/>
  <c r="O15" i="10"/>
  <c r="W15" i="10"/>
  <c r="AE15" i="10"/>
  <c r="I16" i="10"/>
  <c r="Q16" i="10"/>
  <c r="Y16" i="10"/>
  <c r="AG16" i="10"/>
  <c r="K17" i="10"/>
  <c r="S17" i="10"/>
  <c r="AA17" i="10"/>
  <c r="AI17" i="10"/>
  <c r="M18" i="10"/>
  <c r="U18" i="10"/>
  <c r="AC18" i="10"/>
  <c r="AK18" i="10"/>
  <c r="O19" i="10"/>
  <c r="W19" i="10"/>
  <c r="AE19" i="10"/>
  <c r="I20" i="10"/>
  <c r="Q20" i="10"/>
  <c r="Y20" i="10"/>
  <c r="AG20" i="10"/>
  <c r="K21" i="10"/>
  <c r="S21" i="10"/>
  <c r="AA21" i="10"/>
  <c r="AI21" i="10"/>
  <c r="M22" i="10"/>
  <c r="U22" i="10"/>
  <c r="AC22" i="10"/>
  <c r="AK22" i="10"/>
  <c r="O23" i="10"/>
  <c r="W23" i="10"/>
  <c r="AE23" i="10"/>
  <c r="I24" i="10"/>
  <c r="Q24" i="10"/>
  <c r="Y24" i="10"/>
  <c r="AG24" i="10"/>
  <c r="K25" i="10"/>
  <c r="S25" i="10"/>
  <c r="AA25" i="10"/>
  <c r="AI25" i="10"/>
  <c r="M26" i="10"/>
  <c r="U26" i="10"/>
  <c r="AC26" i="10"/>
  <c r="AK26" i="10"/>
  <c r="E7" i="10"/>
  <c r="P15" i="10"/>
  <c r="X15" i="10"/>
  <c r="AF15" i="10"/>
  <c r="J16" i="10"/>
  <c r="R16" i="10"/>
  <c r="Z16" i="10"/>
  <c r="AH16" i="10"/>
  <c r="L17" i="10"/>
  <c r="T17" i="10"/>
  <c r="AB17" i="10"/>
  <c r="AJ17" i="10"/>
  <c r="N18" i="10"/>
  <c r="V18" i="10"/>
  <c r="AD18" i="10"/>
  <c r="AL18" i="10"/>
  <c r="P19" i="10"/>
  <c r="X19" i="10"/>
  <c r="AF19" i="10"/>
  <c r="J20" i="10"/>
  <c r="R20" i="10"/>
  <c r="Z20" i="10"/>
  <c r="AH20" i="10"/>
  <c r="L21" i="10"/>
  <c r="T21" i="10"/>
  <c r="AB21" i="10"/>
  <c r="AJ21" i="10"/>
  <c r="N22" i="10"/>
  <c r="V22" i="10"/>
  <c r="AD22" i="10"/>
  <c r="AL22" i="10"/>
  <c r="I64" i="11"/>
  <c r="I15" i="10"/>
  <c r="Q15" i="10"/>
  <c r="Y15" i="10"/>
  <c r="AG15" i="10"/>
  <c r="K16" i="10"/>
  <c r="S16" i="10"/>
  <c r="AA16" i="10"/>
  <c r="AI16" i="10"/>
  <c r="M17" i="10"/>
  <c r="U17" i="10"/>
  <c r="AC17" i="10"/>
  <c r="AK17" i="10"/>
  <c r="O18" i="10"/>
  <c r="W18" i="10"/>
  <c r="AE18" i="10"/>
  <c r="I19" i="10"/>
  <c r="Q19" i="10"/>
  <c r="Y19" i="10"/>
  <c r="AG19" i="10"/>
  <c r="K20" i="10"/>
  <c r="S20" i="10"/>
  <c r="AA20" i="10"/>
  <c r="AI20" i="10"/>
  <c r="M21" i="10"/>
  <c r="U21" i="10"/>
  <c r="AC21" i="10"/>
  <c r="AK21" i="10"/>
  <c r="O22" i="10"/>
  <c r="W22" i="10"/>
  <c r="AE22" i="10"/>
  <c r="I23" i="10"/>
  <c r="Q23" i="10"/>
  <c r="Y23" i="10"/>
  <c r="J16" i="11"/>
  <c r="J24" i="11"/>
  <c r="J32" i="11"/>
  <c r="J40" i="11"/>
  <c r="J48" i="11"/>
  <c r="E6" i="10" l="1"/>
</calcChain>
</file>

<file path=xl/sharedStrings.xml><?xml version="1.0" encoding="utf-8"?>
<sst xmlns="http://schemas.openxmlformats.org/spreadsheetml/2006/main" count="13850" uniqueCount="5013">
  <si>
    <t>THE UNLOX ACADEMY - DA/DS TRACK</t>
  </si>
  <si>
    <t>Excel Minor Project - Sales Operations Analytics</t>
  </si>
  <si>
    <t>Interview-Grade Data Analytics Assessment · 100 Marks</t>
  </si>
  <si>
    <t>THE SCENARIO</t>
  </si>
  <si>
    <t>You have just joined the analytics team at a fast-growing multi-category retailer operating across 6 Indian cities.</t>
  </si>
  <si>
    <t>The head of sales has handed you 5 raw data files - Orders, Customers, Products, Sales Reps, and Targets - and asked</t>
  </si>
  <si>
    <t>you to answer a set of business questions before the leadership review tomorrow morning.</t>
  </si>
  <si>
    <t>The data is REAL-WORLD messy: duplicates, missing references, inconsistent case, invalid records, discontinued SKUs.</t>
  </si>
  <si>
    <t>Part of the assessment is spotting and handling these issues correctly. A wrong-looking answer isn't always wrong -</t>
  </si>
  <si>
    <t>sometimes the data itself is telling a story.</t>
  </si>
  <si>
    <t>RULES OF THE ASSESSMENT</t>
  </si>
  <si>
    <t>1. Write your answer in the YELLOW cells on each question sheet. Empty answer cell = 0 marks.</t>
  </si>
  <si>
    <t>2. You may use ANY Excel feature: formulas, PivotTables, PivotCharts, filters, sorting, helper columns.</t>
  </si>
  <si>
    <t>3. Formulas preferred over hardcoded values. If a data value changes, your answer should recalculate.</t>
  </si>
  <si>
    <t>4. Partial credit is awarded - a right approach with a small error scores more than a blank cell.</t>
  </si>
  <si>
    <t>5. Do not modify the DATA sheets. If cleaning is needed, use helper columns or a scratch area.</t>
  </si>
  <si>
    <t>6. Time management matters - attempt every section, perfect none if needed.</t>
  </si>
  <si>
    <t>MARKS DISTRIBUTION</t>
  </si>
  <si>
    <t>Section</t>
  </si>
  <si>
    <t>Topic</t>
  </si>
  <si>
    <t>Questions</t>
  </si>
  <si>
    <t>Marks</t>
  </si>
  <si>
    <t>Q1</t>
  </si>
  <si>
    <t>Lookup Functions (VLOOKUP, INDEX-MATCH, chained lookups)</t>
  </si>
  <si>
    <t>8</t>
  </si>
  <si>
    <t>25</t>
  </si>
  <si>
    <t>Q2</t>
  </si>
  <si>
    <t>Data Cleaning &amp; Quality Diagnostics</t>
  </si>
  <si>
    <t>6</t>
  </si>
  <si>
    <t>20</t>
  </si>
  <si>
    <t>Q3</t>
  </si>
  <si>
    <t>Conditional Aggregation (SUMIFS, COUNTIFS, IF logic)</t>
  </si>
  <si>
    <t>Q4</t>
  </si>
  <si>
    <t>Pivot Tables (2D pivots, % of total, calculated fields)</t>
  </si>
  <si>
    <t>5</t>
  </si>
  <si>
    <t>Q5</t>
  </si>
  <si>
    <t>Advanced (Ranking, Running Totals, Multi-condition)</t>
  </si>
  <si>
    <t>10</t>
  </si>
  <si>
    <t>TOTAL</t>
  </si>
  <si>
    <t>30</t>
  </si>
  <si>
    <t>100</t>
  </si>
  <si>
    <t>PERFORMANCE TIERS</t>
  </si>
  <si>
    <t>Tier</t>
  </si>
  <si>
    <t>Interview Verdict</t>
  </si>
  <si>
    <t>85 - 100</t>
  </si>
  <si>
    <t>Excellent</t>
  </si>
  <si>
    <t>Round 1 clear - Excel not a concern</t>
  </si>
  <si>
    <t>70 - 84</t>
  </si>
  <si>
    <t>Good</t>
  </si>
  <si>
    <t>Round 1 clear with minor gaps</t>
  </si>
  <si>
    <t>55 - 69</t>
  </si>
  <si>
    <t>Borderline</t>
  </si>
  <si>
    <t>Round 1 uncertain - needs revision</t>
  </si>
  <si>
    <t>40 - 54</t>
  </si>
  <si>
    <t>Weak</t>
  </si>
  <si>
    <t>Round 1 likely reject - 2 weeks of practice needed</t>
  </si>
  <si>
    <t>&lt; 40</t>
  </si>
  <si>
    <t>Insufficient</t>
  </si>
  <si>
    <t>Round 1 reject - foundational gaps</t>
  </si>
  <si>
    <t>DATA SHEETS OVERVIEW</t>
  </si>
  <si>
    <t>Sheet</t>
  </si>
  <si>
    <t>Rows</t>
  </si>
  <si>
    <t>Key Columns</t>
  </si>
  <si>
    <t>Joins to</t>
  </si>
  <si>
    <t>Orders</t>
  </si>
  <si>
    <t>~2000</t>
  </si>
  <si>
    <t>order_id, order_date, customer_id, product_id, sales_rep_id, quantity, unit_price, discount_pct, final_amount, payment_status, ship_city</t>
  </si>
  <si>
    <t>All others</t>
  </si>
  <si>
    <t>Customers</t>
  </si>
  <si>
    <t>300</t>
  </si>
  <si>
    <t>customer_id (PK), customer_name, age, city, segment, signup_date</t>
  </si>
  <si>
    <t>Orders via customer_id</t>
  </si>
  <si>
    <t>Products</t>
  </si>
  <si>
    <t>60</t>
  </si>
  <si>
    <t>product_id (PK), product_name, category, unit_cost, unit_price, is_active</t>
  </si>
  <si>
    <t>Orders via product_id</t>
  </si>
  <si>
    <t>Sales_Reps</t>
  </si>
  <si>
    <t>rep_id (PK), rep_name, region, hire_date, team_lead_id</t>
  </si>
  <si>
    <t>Orders via sales_rep_id, self-join via team_lead_id</t>
  </si>
  <si>
    <t>Targets</t>
  </si>
  <si>
    <t>30 × 12</t>
  </si>
  <si>
    <t>rep_id (PK), Jan-24 through Dec-24 monthly target values</t>
  </si>
  <si>
    <t>Sales_Reps via rep_id</t>
  </si>
  <si>
    <t>order_id</t>
  </si>
  <si>
    <t>order_date</t>
  </si>
  <si>
    <t>customer_id</t>
  </si>
  <si>
    <t>product_id</t>
  </si>
  <si>
    <t>sales_rep_id</t>
  </si>
  <si>
    <t>quantity</t>
  </si>
  <si>
    <t>unit_price</t>
  </si>
  <si>
    <t>discount_pct</t>
  </si>
  <si>
    <t>final_amount</t>
  </si>
  <si>
    <t>payment_status</t>
  </si>
  <si>
    <t>ship_city</t>
  </si>
  <si>
    <t>Category</t>
  </si>
  <si>
    <t>Segment</t>
  </si>
  <si>
    <t>Region (helper)</t>
  </si>
  <si>
    <t>Age (helper)</t>
  </si>
  <si>
    <t>Month (helper)</t>
  </si>
  <si>
    <t>Margin (helper)</t>
  </si>
  <si>
    <t>ORD-00001</t>
  </si>
  <si>
    <t>CUST-0243</t>
  </si>
  <si>
    <t>PROD-014</t>
  </si>
  <si>
    <t>R007</t>
  </si>
  <si>
    <t>Completed</t>
  </si>
  <si>
    <t>Pune</t>
  </si>
  <si>
    <t>ORD-00002</t>
  </si>
  <si>
    <t>CUST-0202</t>
  </si>
  <si>
    <t>PROD-020</t>
  </si>
  <si>
    <t>R008</t>
  </si>
  <si>
    <t>Pending</t>
  </si>
  <si>
    <t>Chennai</t>
  </si>
  <si>
    <t>ORD-00003</t>
  </si>
  <si>
    <t>CUST-0098</t>
  </si>
  <si>
    <t>PROD-053</t>
  </si>
  <si>
    <t>R009</t>
  </si>
  <si>
    <t>Delhi</t>
  </si>
  <si>
    <t>ORD-00004</t>
  </si>
  <si>
    <t>CUST-0071</t>
  </si>
  <si>
    <t>PROD-028</t>
  </si>
  <si>
    <t>R010</t>
  </si>
  <si>
    <t>ORD-00005</t>
  </si>
  <si>
    <t>CUST-0180</t>
  </si>
  <si>
    <t>PROD-012</t>
  </si>
  <si>
    <t>R011</t>
  </si>
  <si>
    <t>ORD-00006</t>
  </si>
  <si>
    <t>CUST-0275</t>
  </si>
  <si>
    <t>PROD-032</t>
  </si>
  <si>
    <t>R012</t>
  </si>
  <si>
    <t>Mumbai</t>
  </si>
  <si>
    <t>ORD-00007</t>
  </si>
  <si>
    <t>CUST-0293</t>
  </si>
  <si>
    <t>PROD-057</t>
  </si>
  <si>
    <t>R013</t>
  </si>
  <si>
    <t>Bengaluru</t>
  </si>
  <si>
    <t>ORD-00008</t>
  </si>
  <si>
    <t>CUST-0281</t>
  </si>
  <si>
    <t>PROD-007</t>
  </si>
  <si>
    <t>R014</t>
  </si>
  <si>
    <t>ORD-00009</t>
  </si>
  <si>
    <t>CUST-0260</t>
  </si>
  <si>
    <t>PROD-038</t>
  </si>
  <si>
    <t>R015</t>
  </si>
  <si>
    <t>ORD-00010</t>
  </si>
  <si>
    <t>CUST-0147</t>
  </si>
  <si>
    <t>PROD-030</t>
  </si>
  <si>
    <t>R016</t>
  </si>
  <si>
    <t>ORD-00011</t>
  </si>
  <si>
    <t>CUST-0204</t>
  </si>
  <si>
    <t>PROD-024</t>
  </si>
  <si>
    <t>R017</t>
  </si>
  <si>
    <t>Hyderabad</t>
  </si>
  <si>
    <t>ORD-00012</t>
  </si>
  <si>
    <t>PROD-010</t>
  </si>
  <si>
    <t>R018</t>
  </si>
  <si>
    <t>ORD-00013</t>
  </si>
  <si>
    <t>CUST-0280</t>
  </si>
  <si>
    <t>PROD-002</t>
  </si>
  <si>
    <t>R019</t>
  </si>
  <si>
    <t>Cancelled</t>
  </si>
  <si>
    <t>ORD-00014</t>
  </si>
  <si>
    <t>CUST-0008</t>
  </si>
  <si>
    <t>PROD-036</t>
  </si>
  <si>
    <t>R020</t>
  </si>
  <si>
    <t>Refunded</t>
  </si>
  <si>
    <t>ORD-00015</t>
  </si>
  <si>
    <t>CUST-0052</t>
  </si>
  <si>
    <t>PROD-060</t>
  </si>
  <si>
    <t>R021</t>
  </si>
  <si>
    <t>ORD-00016</t>
  </si>
  <si>
    <t>CUST-0184</t>
  </si>
  <si>
    <t>PROD-058</t>
  </si>
  <si>
    <t>R022</t>
  </si>
  <si>
    <t>ORD-00017</t>
  </si>
  <si>
    <t>CUST-0056</t>
  </si>
  <si>
    <t>R023</t>
  </si>
  <si>
    <t>ORD-00018</t>
  </si>
  <si>
    <t>CUST-0273</t>
  </si>
  <si>
    <t>PROD-047</t>
  </si>
  <si>
    <t>R024</t>
  </si>
  <si>
    <t>ORD-00019</t>
  </si>
  <si>
    <t>CUST-0182</t>
  </si>
  <si>
    <t>PROD-051</t>
  </si>
  <si>
    <t>R025</t>
  </si>
  <si>
    <t>ORD-00020</t>
  </si>
  <si>
    <t>CUST-0265</t>
  </si>
  <si>
    <t>PROD-040</t>
  </si>
  <si>
    <t>R026</t>
  </si>
  <si>
    <t>ORD-00021</t>
  </si>
  <si>
    <t>CUST-0159</t>
  </si>
  <si>
    <t>PROD-019</t>
  </si>
  <si>
    <t>R027</t>
  </si>
  <si>
    <t>ORD-00022</t>
  </si>
  <si>
    <t>CUST-0259</t>
  </si>
  <si>
    <t>R028</t>
  </si>
  <si>
    <t>ORD-00023</t>
  </si>
  <si>
    <t>CUST-0107</t>
  </si>
  <si>
    <t>PROD-015</t>
  </si>
  <si>
    <t>R029</t>
  </si>
  <si>
    <t>ORD-00024</t>
  </si>
  <si>
    <t>CUST-0101</t>
  </si>
  <si>
    <t>PROD-044</t>
  </si>
  <si>
    <t>R030</t>
  </si>
  <si>
    <t>ORD-00025</t>
  </si>
  <si>
    <t>CUST-0142</t>
  </si>
  <si>
    <t>PROD-043</t>
  </si>
  <si>
    <t>R031</t>
  </si>
  <si>
    <t>ORD-00026</t>
  </si>
  <si>
    <t>CUST-0250</t>
  </si>
  <si>
    <t>PROD-054</t>
  </si>
  <si>
    <t>R032</t>
  </si>
  <si>
    <t>ORD-00027</t>
  </si>
  <si>
    <t>PROD-046</t>
  </si>
  <si>
    <t>R033</t>
  </si>
  <si>
    <t>ORD-00028</t>
  </si>
  <si>
    <t>CUST-0143</t>
  </si>
  <si>
    <t>PROD-003</t>
  </si>
  <si>
    <t>R034</t>
  </si>
  <si>
    <t>ORD-00029</t>
  </si>
  <si>
    <t>CUST-0086</t>
  </si>
  <si>
    <t>PROD-048</t>
  </si>
  <si>
    <t>R035</t>
  </si>
  <si>
    <t>ORD-00030</t>
  </si>
  <si>
    <t>CUST-0006</t>
  </si>
  <si>
    <t>PROD-055</t>
  </si>
  <si>
    <t>R036</t>
  </si>
  <si>
    <t>ORD-00031</t>
  </si>
  <si>
    <t>CUST-0241</t>
  </si>
  <si>
    <t>R037</t>
  </si>
  <si>
    <t>ORD-00032</t>
  </si>
  <si>
    <t>CUST-0035</t>
  </si>
  <si>
    <t>PROD-021</t>
  </si>
  <si>
    <t>R038</t>
  </si>
  <si>
    <t>ORD-00033</t>
  </si>
  <si>
    <t>PROD-037</t>
  </si>
  <si>
    <t>R039</t>
  </si>
  <si>
    <t>ORD-00034</t>
  </si>
  <si>
    <t>CUST-0064</t>
  </si>
  <si>
    <t>R040</t>
  </si>
  <si>
    <t>ORD-00035</t>
  </si>
  <si>
    <t>CUST-0118</t>
  </si>
  <si>
    <t>R041</t>
  </si>
  <si>
    <t>ORD-00036</t>
  </si>
  <si>
    <t>CUST-0013</t>
  </si>
  <si>
    <t>R042</t>
  </si>
  <si>
    <t>ORD-00037</t>
  </si>
  <si>
    <t>CUST-0177</t>
  </si>
  <si>
    <t>R043</t>
  </si>
  <si>
    <t>ORD-00038</t>
  </si>
  <si>
    <t>CUST-0186</t>
  </si>
  <si>
    <t>R044</t>
  </si>
  <si>
    <t>ORD-00039</t>
  </si>
  <si>
    <t>CUST-0069</t>
  </si>
  <si>
    <t>R045</t>
  </si>
  <si>
    <t>ORD-00040</t>
  </si>
  <si>
    <t>CUST-0283</t>
  </si>
  <si>
    <t>R046</t>
  </si>
  <si>
    <t>ORD-00041</t>
  </si>
  <si>
    <t>CUST-9507</t>
  </si>
  <si>
    <t>R047</t>
  </si>
  <si>
    <t>ORD-00042</t>
  </si>
  <si>
    <t>CUST-0053</t>
  </si>
  <si>
    <t>R048</t>
  </si>
  <si>
    <t>ORD-00043</t>
  </si>
  <si>
    <t>CUST-0222</t>
  </si>
  <si>
    <t>PROD-031</t>
  </si>
  <si>
    <t>R049</t>
  </si>
  <si>
    <t>ORD-00044</t>
  </si>
  <si>
    <t>CUST-0095</t>
  </si>
  <si>
    <t>R050</t>
  </si>
  <si>
    <t>ORD-00045</t>
  </si>
  <si>
    <t>CUST-0152</t>
  </si>
  <si>
    <t>R051</t>
  </si>
  <si>
    <t>ORD-00046</t>
  </si>
  <si>
    <t>CUST-0291</t>
  </si>
  <si>
    <t>PROD-027</t>
  </si>
  <si>
    <t>R052</t>
  </si>
  <si>
    <t>ORD-00047</t>
  </si>
  <si>
    <t>CUST-0112</t>
  </si>
  <si>
    <t>PROD-013</t>
  </si>
  <si>
    <t>R053</t>
  </si>
  <si>
    <t>ORD-00048</t>
  </si>
  <si>
    <t>CUST-9800</t>
  </si>
  <si>
    <t>PROD-050</t>
  </si>
  <si>
    <t>R054</t>
  </si>
  <si>
    <t>ORD-00049</t>
  </si>
  <si>
    <t>R055</t>
  </si>
  <si>
    <t>ORD-00050</t>
  </si>
  <si>
    <t>CUST-0226</t>
  </si>
  <si>
    <t>PROD-022</t>
  </si>
  <si>
    <t>R056</t>
  </si>
  <si>
    <t>ORD-00051</t>
  </si>
  <si>
    <t>CUST-0234</t>
  </si>
  <si>
    <t>PROD-004</t>
  </si>
  <si>
    <t>R057</t>
  </si>
  <si>
    <t>ORD-00052</t>
  </si>
  <si>
    <t>CUST-0176</t>
  </si>
  <si>
    <t>R058</t>
  </si>
  <si>
    <t>ORD-00053</t>
  </si>
  <si>
    <t>R059</t>
  </si>
  <si>
    <t>ORD-00054</t>
  </si>
  <si>
    <t>CUST-0088</t>
  </si>
  <si>
    <t>R060</t>
  </si>
  <si>
    <t>ORD-00055</t>
  </si>
  <si>
    <t>CUST-0267</t>
  </si>
  <si>
    <t>R061</t>
  </si>
  <si>
    <t>ORD-00056</t>
  </si>
  <si>
    <t>CUST-0194</t>
  </si>
  <si>
    <t>PROD-041</t>
  </si>
  <si>
    <t>R062</t>
  </si>
  <si>
    <t>ORD-00057</t>
  </si>
  <si>
    <t>CUST-0261</t>
  </si>
  <si>
    <t>R063</t>
  </si>
  <si>
    <t>ORD-00058</t>
  </si>
  <si>
    <t>CUST-0031</t>
  </si>
  <si>
    <t>PROD-026</t>
  </si>
  <si>
    <t>R064</t>
  </si>
  <si>
    <t>ORD-00059</t>
  </si>
  <si>
    <t>CUST-0175</t>
  </si>
  <si>
    <t>PROD-009</t>
  </si>
  <si>
    <t>R065</t>
  </si>
  <si>
    <t>ORD-00060</t>
  </si>
  <si>
    <t>CUST-0263</t>
  </si>
  <si>
    <t>PROD-039</t>
  </si>
  <si>
    <t>R066</t>
  </si>
  <si>
    <t>ORD-00061</t>
  </si>
  <si>
    <t>CUST-0203</t>
  </si>
  <si>
    <t>R067</t>
  </si>
  <si>
    <t>ORD-00062</t>
  </si>
  <si>
    <t>CUST-0258</t>
  </si>
  <si>
    <t>PROD-045</t>
  </si>
  <si>
    <t>R068</t>
  </si>
  <si>
    <t>ORD-00063</t>
  </si>
  <si>
    <t>CUST-0282</t>
  </si>
  <si>
    <t>PROD-008</t>
  </si>
  <si>
    <t>R069</t>
  </si>
  <si>
    <t>ORD-00064</t>
  </si>
  <si>
    <t>CUST-0168</t>
  </si>
  <si>
    <t>PROD-005</t>
  </si>
  <si>
    <t>R070</t>
  </si>
  <si>
    <t>ORD-00065</t>
  </si>
  <si>
    <t>CUST-0040</t>
  </si>
  <si>
    <t>R071</t>
  </si>
  <si>
    <t>ORD-00066</t>
  </si>
  <si>
    <t>R072</t>
  </si>
  <si>
    <t>ORD-00067</t>
  </si>
  <si>
    <t>R073</t>
  </si>
  <si>
    <t>ORD-00068</t>
  </si>
  <si>
    <t>CUST-0161</t>
  </si>
  <si>
    <t>R074</t>
  </si>
  <si>
    <t>ORD-00069</t>
  </si>
  <si>
    <t>CUST-0033</t>
  </si>
  <si>
    <t>PROD-016</t>
  </si>
  <si>
    <t>R075</t>
  </si>
  <si>
    <t>ORD-00070</t>
  </si>
  <si>
    <t>CUST-0191</t>
  </si>
  <si>
    <t>PROD-033</t>
  </si>
  <si>
    <t>R076</t>
  </si>
  <si>
    <t>ORD-00071</t>
  </si>
  <si>
    <t>R077</t>
  </si>
  <si>
    <t>ORD-00072</t>
  </si>
  <si>
    <t>CUST-0129</t>
  </si>
  <si>
    <t>R078</t>
  </si>
  <si>
    <t>ORD-00073</t>
  </si>
  <si>
    <t>CUST-0189</t>
  </si>
  <si>
    <t>R079</t>
  </si>
  <si>
    <t>ORD-00074</t>
  </si>
  <si>
    <t>R080</t>
  </si>
  <si>
    <t>ORD-00075</t>
  </si>
  <si>
    <t>CUST-0200</t>
  </si>
  <si>
    <t>R081</t>
  </si>
  <si>
    <t>ORD-00076</t>
  </si>
  <si>
    <t>R082</t>
  </si>
  <si>
    <t>ORD-00077</t>
  </si>
  <si>
    <t>CUST-0051</t>
  </si>
  <si>
    <t>R083</t>
  </si>
  <si>
    <t>ORD-00078</t>
  </si>
  <si>
    <t>CUST-0193</t>
  </si>
  <si>
    <t>R084</t>
  </si>
  <si>
    <t>ORD-00079</t>
  </si>
  <si>
    <t>CUST-0020</t>
  </si>
  <si>
    <t>R085</t>
  </si>
  <si>
    <t>ORD-00080</t>
  </si>
  <si>
    <t>CUST-0230</t>
  </si>
  <si>
    <t>R086</t>
  </si>
  <si>
    <t>ORD-00081</t>
  </si>
  <si>
    <t>CUST-0094</t>
  </si>
  <si>
    <t>R087</t>
  </si>
  <si>
    <t>ORD-00082</t>
  </si>
  <si>
    <t>CUST-0248</t>
  </si>
  <si>
    <t>R088</t>
  </si>
  <si>
    <t>ORD-00083</t>
  </si>
  <si>
    <t>CUST-0082</t>
  </si>
  <si>
    <t>R089</t>
  </si>
  <si>
    <t>ORD-00084</t>
  </si>
  <si>
    <t>CUST-0078</t>
  </si>
  <si>
    <t>R090</t>
  </si>
  <si>
    <t>ORD-00085</t>
  </si>
  <si>
    <t>CUST-0032</t>
  </si>
  <si>
    <t>R091</t>
  </si>
  <si>
    <t>ORD-00086</t>
  </si>
  <si>
    <t>R092</t>
  </si>
  <si>
    <t>ORD-00087</t>
  </si>
  <si>
    <t>CUST-0084</t>
  </si>
  <si>
    <t>R093</t>
  </si>
  <si>
    <t>ORD-00088</t>
  </si>
  <si>
    <t>R094</t>
  </si>
  <si>
    <t>ORD-00089</t>
  </si>
  <si>
    <t>CUST-0108</t>
  </si>
  <si>
    <t>R095</t>
  </si>
  <si>
    <t>ORD-00090</t>
  </si>
  <si>
    <t>CUST-0139</t>
  </si>
  <si>
    <t>R096</t>
  </si>
  <si>
    <t>ORD-00091</t>
  </si>
  <si>
    <t>R097</t>
  </si>
  <si>
    <t>ORD-00092</t>
  </si>
  <si>
    <t>CUST-0208</t>
  </si>
  <si>
    <t>R098</t>
  </si>
  <si>
    <t>ORD-00093</t>
  </si>
  <si>
    <t>PROD-029</t>
  </si>
  <si>
    <t>R099</t>
  </si>
  <si>
    <t>ORD-00094</t>
  </si>
  <si>
    <t>CUST-0042</t>
  </si>
  <si>
    <t>R100</t>
  </si>
  <si>
    <t>ORD-00095</t>
  </si>
  <si>
    <t>CUST-0133</t>
  </si>
  <si>
    <t>R101</t>
  </si>
  <si>
    <t>ORD-00096</t>
  </si>
  <si>
    <t>CUST-0219</t>
  </si>
  <si>
    <t>R102</t>
  </si>
  <si>
    <t>ORD-00097</t>
  </si>
  <si>
    <t>R103</t>
  </si>
  <si>
    <t>ORD-00098</t>
  </si>
  <si>
    <t>R104</t>
  </si>
  <si>
    <t>ORD-00099</t>
  </si>
  <si>
    <t>CUST-0170</t>
  </si>
  <si>
    <t>PROD-025</t>
  </si>
  <si>
    <t>R105</t>
  </si>
  <si>
    <t>ORD-00100</t>
  </si>
  <si>
    <t>CUST-0164</t>
  </si>
  <si>
    <t>R106</t>
  </si>
  <si>
    <t>ORD-00101</t>
  </si>
  <si>
    <t>PROD-017</t>
  </si>
  <si>
    <t>R107</t>
  </si>
  <si>
    <t>ORD-00102</t>
  </si>
  <si>
    <t>CUST-0181</t>
  </si>
  <si>
    <t>R108</t>
  </si>
  <si>
    <t>ORD-00103</t>
  </si>
  <si>
    <t>CUST-0131</t>
  </si>
  <si>
    <t>PROD-052</t>
  </si>
  <si>
    <t>R109</t>
  </si>
  <si>
    <t>ORD-00104</t>
  </si>
  <si>
    <t>CUST-0255</t>
  </si>
  <si>
    <t>R110</t>
  </si>
  <si>
    <t>ORD-00105</t>
  </si>
  <si>
    <t>PROD-001</t>
  </si>
  <si>
    <t>R111</t>
  </si>
  <si>
    <t>ORD-00106</t>
  </si>
  <si>
    <t>CUST-0081</t>
  </si>
  <si>
    <t>PROD-023</t>
  </si>
  <si>
    <t>R112</t>
  </si>
  <si>
    <t>ORD-00107</t>
  </si>
  <si>
    <t>CUST-0102</t>
  </si>
  <si>
    <t>R113</t>
  </si>
  <si>
    <t>ORD-00108</t>
  </si>
  <si>
    <t>CUST-0070</t>
  </si>
  <si>
    <t>R114</t>
  </si>
  <si>
    <t>ORD-00109</t>
  </si>
  <si>
    <t>CUST-0012</t>
  </si>
  <si>
    <t>R115</t>
  </si>
  <si>
    <t>ORD-00110</t>
  </si>
  <si>
    <t>R116</t>
  </si>
  <si>
    <t>ORD-00111</t>
  </si>
  <si>
    <t>CUST-0145</t>
  </si>
  <si>
    <t>R117</t>
  </si>
  <si>
    <t>ORD-00112</t>
  </si>
  <si>
    <t>CUST-0287</t>
  </si>
  <si>
    <t>R118</t>
  </si>
  <si>
    <t>ORD-00113</t>
  </si>
  <si>
    <t>PROD-049</t>
  </si>
  <si>
    <t>R119</t>
  </si>
  <si>
    <t>ORD-00114</t>
  </si>
  <si>
    <t>CUST-0096</t>
  </si>
  <si>
    <t>R120</t>
  </si>
  <si>
    <t>ORD-00115</t>
  </si>
  <si>
    <t>R121</t>
  </si>
  <si>
    <t>ORD-00116</t>
  </si>
  <si>
    <t>CUST-0025</t>
  </si>
  <si>
    <t>PROD-042</t>
  </si>
  <si>
    <t>R122</t>
  </si>
  <si>
    <t>ORD-00117</t>
  </si>
  <si>
    <t>CUST-0149</t>
  </si>
  <si>
    <t>R123</t>
  </si>
  <si>
    <t>ORD-00118</t>
  </si>
  <si>
    <t>CUST-0018</t>
  </si>
  <si>
    <t>R124</t>
  </si>
  <si>
    <t>ORD-00119</t>
  </si>
  <si>
    <t>CUST-0216</t>
  </si>
  <si>
    <t>R125</t>
  </si>
  <si>
    <t>ORD-00120</t>
  </si>
  <si>
    <t>CUST-0092</t>
  </si>
  <si>
    <t>R126</t>
  </si>
  <si>
    <t>ORD-00121</t>
  </si>
  <si>
    <t>R127</t>
  </si>
  <si>
    <t>ORD-00122</t>
  </si>
  <si>
    <t>CUST-0113</t>
  </si>
  <si>
    <t>R128</t>
  </si>
  <si>
    <t>ORD-00123</t>
  </si>
  <si>
    <t>CUST-0253</t>
  </si>
  <si>
    <t>R129</t>
  </si>
  <si>
    <t>ORD-00124</t>
  </si>
  <si>
    <t>CUST-0187</t>
  </si>
  <si>
    <t>R130</t>
  </si>
  <si>
    <t>ORD-00125</t>
  </si>
  <si>
    <t>CUST-0028</t>
  </si>
  <si>
    <t>R131</t>
  </si>
  <si>
    <t>ORD-00126</t>
  </si>
  <si>
    <t>CUST-0224</t>
  </si>
  <si>
    <t>R132</t>
  </si>
  <si>
    <t>ORD-00127</t>
  </si>
  <si>
    <t>CUST-0150</t>
  </si>
  <si>
    <t>PROD-006</t>
  </si>
  <si>
    <t>R133</t>
  </si>
  <si>
    <t>ORD-00128</t>
  </si>
  <si>
    <t>R134</t>
  </si>
  <si>
    <t>ORD-00129</t>
  </si>
  <si>
    <t>CUST-0239</t>
  </si>
  <si>
    <t>R135</t>
  </si>
  <si>
    <t>ORD-00130</t>
  </si>
  <si>
    <t>CUST-0106</t>
  </si>
  <si>
    <t>R136</t>
  </si>
  <si>
    <t>ORD-00131</t>
  </si>
  <si>
    <t>R137</t>
  </si>
  <si>
    <t>ORD-00132</t>
  </si>
  <si>
    <t>CUST-0114</t>
  </si>
  <si>
    <t>R138</t>
  </si>
  <si>
    <t>ORD-00133</t>
  </si>
  <si>
    <t>CUST-0146</t>
  </si>
  <si>
    <t>R139</t>
  </si>
  <si>
    <t>ORD-00134</t>
  </si>
  <si>
    <t>CUST-0298</t>
  </si>
  <si>
    <t>R140</t>
  </si>
  <si>
    <t>ORD-00135</t>
  </si>
  <si>
    <t>CUST-0111</t>
  </si>
  <si>
    <t>R141</t>
  </si>
  <si>
    <t>ORD-01445</t>
  </si>
  <si>
    <t>R142</t>
  </si>
  <si>
    <t>ORD-00137</t>
  </si>
  <si>
    <t>CUST-0024</t>
  </si>
  <si>
    <t>R143</t>
  </si>
  <si>
    <t>ORD-00138</t>
  </si>
  <si>
    <t>CUST-0210</t>
  </si>
  <si>
    <t>R144</t>
  </si>
  <si>
    <t>ORD-00139</t>
  </si>
  <si>
    <t>CUST-0192</t>
  </si>
  <si>
    <t>R145</t>
  </si>
  <si>
    <t>ORD-00140</t>
  </si>
  <si>
    <t>R146</t>
  </si>
  <si>
    <t>ORD-00141</t>
  </si>
  <si>
    <t>R147</t>
  </si>
  <si>
    <t>ORD-00142</t>
  </si>
  <si>
    <t>R148</t>
  </si>
  <si>
    <t>ORD-00143</t>
  </si>
  <si>
    <t>CUST-0294</t>
  </si>
  <si>
    <t>R149</t>
  </si>
  <si>
    <t>ORD-00144</t>
  </si>
  <si>
    <t>R150</t>
  </si>
  <si>
    <t>ORD-00145</t>
  </si>
  <si>
    <t>R151</t>
  </si>
  <si>
    <t>ORD-00146</t>
  </si>
  <si>
    <t>CUST-9657</t>
  </si>
  <si>
    <t>R152</t>
  </si>
  <si>
    <t>ORD-00147</t>
  </si>
  <si>
    <t>CUST-0080</t>
  </si>
  <si>
    <t>R153</t>
  </si>
  <si>
    <t>ORD-00148</t>
  </si>
  <si>
    <t>CUST-0172</t>
  </si>
  <si>
    <t>PROD-034</t>
  </si>
  <si>
    <t>R154</t>
  </si>
  <si>
    <t>ORD-00149</t>
  </si>
  <si>
    <t>R155</t>
  </si>
  <si>
    <t>ORD-00150</t>
  </si>
  <si>
    <t>R156</t>
  </si>
  <si>
    <t>ORD-00151</t>
  </si>
  <si>
    <t>CUST-0137</t>
  </si>
  <si>
    <t>R157</t>
  </si>
  <si>
    <t>MUMBAI</t>
  </si>
  <si>
    <t>ORD-00152</t>
  </si>
  <si>
    <t>R158</t>
  </si>
  <si>
    <t>ORD-00153</t>
  </si>
  <si>
    <t>CUST-0117</t>
  </si>
  <si>
    <t>PROD-011</t>
  </si>
  <si>
    <t>R159</t>
  </si>
  <si>
    <t>ORD-00154</t>
  </si>
  <si>
    <t>CUST-0104</t>
  </si>
  <si>
    <t>R160</t>
  </si>
  <si>
    <t>ORD-00155</t>
  </si>
  <si>
    <t>R161</t>
  </si>
  <si>
    <t>ORD-00156</t>
  </si>
  <si>
    <t>CUST-0165</t>
  </si>
  <si>
    <t>R162</t>
  </si>
  <si>
    <t>ORD-00157</t>
  </si>
  <si>
    <t>R163</t>
  </si>
  <si>
    <t>ORD-00158</t>
  </si>
  <si>
    <t>CUST-0228</t>
  </si>
  <si>
    <t>PROD-059</t>
  </si>
  <si>
    <t>R164</t>
  </si>
  <si>
    <t>ORD-00159</t>
  </si>
  <si>
    <t>CUST-0197</t>
  </si>
  <si>
    <t>R165</t>
  </si>
  <si>
    <t>ORD-00160</t>
  </si>
  <si>
    <t>CUST-0009</t>
  </si>
  <si>
    <t>R166</t>
  </si>
  <si>
    <t>ORD-00161</t>
  </si>
  <si>
    <t>R167</t>
  </si>
  <si>
    <t>ORD-00162</t>
  </si>
  <si>
    <t>R168</t>
  </si>
  <si>
    <t>ORD-00163</t>
  </si>
  <si>
    <t>CUST-0119</t>
  </si>
  <si>
    <t>R169</t>
  </si>
  <si>
    <t>ORD-00164</t>
  </si>
  <si>
    <t>R170</t>
  </si>
  <si>
    <t>ORD-00165</t>
  </si>
  <si>
    <t>CUST-0240</t>
  </si>
  <si>
    <t>R171</t>
  </si>
  <si>
    <t>ORD-00166</t>
  </si>
  <si>
    <t>CUST-0067</t>
  </si>
  <si>
    <t>R172</t>
  </si>
  <si>
    <t>ORD-00167</t>
  </si>
  <si>
    <t>R173</t>
  </si>
  <si>
    <t>ORD-00168</t>
  </si>
  <si>
    <t>R174</t>
  </si>
  <si>
    <t>ORD-00169</t>
  </si>
  <si>
    <t>R175</t>
  </si>
  <si>
    <t>ORD-00170</t>
  </si>
  <si>
    <t>CUST-0087</t>
  </si>
  <si>
    <t>R176</t>
  </si>
  <si>
    <t>ORD-00171</t>
  </si>
  <si>
    <t>R177</t>
  </si>
  <si>
    <t>ORD-00172</t>
  </si>
  <si>
    <t>CUST-0027</t>
  </si>
  <si>
    <t>R178</t>
  </si>
  <si>
    <t>ORD-00173</t>
  </si>
  <si>
    <t>R179</t>
  </si>
  <si>
    <t>ORD-00174</t>
  </si>
  <si>
    <t>CUST-0163</t>
  </si>
  <si>
    <t>R180</t>
  </si>
  <si>
    <t>ORD-00175</t>
  </si>
  <si>
    <t>CUST-0059</t>
  </si>
  <si>
    <t>R181</t>
  </si>
  <si>
    <t>ORD-00176</t>
  </si>
  <si>
    <t>R182</t>
  </si>
  <si>
    <t>ORD-00177</t>
  </si>
  <si>
    <t>CUST-0048</t>
  </si>
  <si>
    <t>R183</t>
  </si>
  <si>
    <t>ORD-00178</t>
  </si>
  <si>
    <t>R184</t>
  </si>
  <si>
    <t>ORD-00179</t>
  </si>
  <si>
    <t>CUST-0124</t>
  </si>
  <si>
    <t>R185</t>
  </si>
  <si>
    <t>ORD-00180</t>
  </si>
  <si>
    <t>R186</t>
  </si>
  <si>
    <t>ORD-00181</t>
  </si>
  <si>
    <t>R187</t>
  </si>
  <si>
    <t>ORD-00182</t>
  </si>
  <si>
    <t>R188</t>
  </si>
  <si>
    <t>ORD-00183</t>
  </si>
  <si>
    <t>R189</t>
  </si>
  <si>
    <t>ORD-00184</t>
  </si>
  <si>
    <t>R190</t>
  </si>
  <si>
    <t>ORD-00185</t>
  </si>
  <si>
    <t>R191</t>
  </si>
  <si>
    <t>ORD-00186</t>
  </si>
  <si>
    <t>CUST-0284</t>
  </si>
  <si>
    <t>PROD-035</t>
  </si>
  <si>
    <t>R192</t>
  </si>
  <si>
    <t>ORD-00187</t>
  </si>
  <si>
    <t>CUST-0274</t>
  </si>
  <si>
    <t>R193</t>
  </si>
  <si>
    <t>ORD-00188</t>
  </si>
  <si>
    <t>R194</t>
  </si>
  <si>
    <t>ORD-00189</t>
  </si>
  <si>
    <t>CUST-0264</t>
  </si>
  <si>
    <t>R195</t>
  </si>
  <si>
    <t>ORD-00190</t>
  </si>
  <si>
    <t>R196</t>
  </si>
  <si>
    <t>ORD-00191</t>
  </si>
  <si>
    <t>CUST-0041</t>
  </si>
  <si>
    <t>R197</t>
  </si>
  <si>
    <t>ORD-00192</t>
  </si>
  <si>
    <t>CUST-0043</t>
  </si>
  <si>
    <t>R198</t>
  </si>
  <si>
    <t>ORD-00193</t>
  </si>
  <si>
    <t>R199</t>
  </si>
  <si>
    <t>ORD-00194</t>
  </si>
  <si>
    <t>PROD-056</t>
  </si>
  <si>
    <t>R200</t>
  </si>
  <si>
    <t>ORD-00195</t>
  </si>
  <si>
    <t>R201</t>
  </si>
  <si>
    <t>ORD-00196</t>
  </si>
  <si>
    <t>CUST-0047</t>
  </si>
  <si>
    <t>R202</t>
  </si>
  <si>
    <t>ORD-00197</t>
  </si>
  <si>
    <t>CUST-0162</t>
  </si>
  <si>
    <t>R203</t>
  </si>
  <si>
    <t>ORD-00198</t>
  </si>
  <si>
    <t>CUST-0121</t>
  </si>
  <si>
    <t>R204</t>
  </si>
  <si>
    <t>ORD-00199</t>
  </si>
  <si>
    <t>CUST-0075</t>
  </si>
  <si>
    <t>R205</t>
  </si>
  <si>
    <t>ORD-00200</t>
  </si>
  <si>
    <t>R206</t>
  </si>
  <si>
    <t>ORD-00201</t>
  </si>
  <si>
    <t>R207</t>
  </si>
  <si>
    <t>ORD-00202</t>
  </si>
  <si>
    <t>CUST-0251</t>
  </si>
  <si>
    <t>R208</t>
  </si>
  <si>
    <t>ORD-00203</t>
  </si>
  <si>
    <t>CUST-0125</t>
  </si>
  <si>
    <t>R209</t>
  </si>
  <si>
    <t>ORD-00204</t>
  </si>
  <si>
    <t>R210</t>
  </si>
  <si>
    <t>ORD-00205</t>
  </si>
  <si>
    <t>CUST-0068</t>
  </si>
  <si>
    <t>R211</t>
  </si>
  <si>
    <t>ORD-00206</t>
  </si>
  <si>
    <t>R212</t>
  </si>
  <si>
    <t>ORD-00207</t>
  </si>
  <si>
    <t>R213</t>
  </si>
  <si>
    <t>ORD-00208</t>
  </si>
  <si>
    <t>CUST-0077</t>
  </si>
  <si>
    <t>R214</t>
  </si>
  <si>
    <t>ORD-00209</t>
  </si>
  <si>
    <t>CUST-0232</t>
  </si>
  <si>
    <t>R215</t>
  </si>
  <si>
    <t>ORD-00210</t>
  </si>
  <si>
    <t>CUST-0277</t>
  </si>
  <si>
    <t>R216</t>
  </si>
  <si>
    <t>ORD-00211</t>
  </si>
  <si>
    <t>R217</t>
  </si>
  <si>
    <t>ORD-00212</t>
  </si>
  <si>
    <t>CUST-0178</t>
  </si>
  <si>
    <t>R218</t>
  </si>
  <si>
    <t>ORD-00213</t>
  </si>
  <si>
    <t>CUST-0246</t>
  </si>
  <si>
    <t>R219</t>
  </si>
  <si>
    <t>ORD-00214</t>
  </si>
  <si>
    <t>R220</t>
  </si>
  <si>
    <t>ORD-00215</t>
  </si>
  <si>
    <t>R221</t>
  </si>
  <si>
    <t>ORD-00216</t>
  </si>
  <si>
    <t>R222</t>
  </si>
  <si>
    <t>ORD-00217</t>
  </si>
  <si>
    <t>CUST-0079</t>
  </si>
  <si>
    <t>R223</t>
  </si>
  <si>
    <t>ORD-00218</t>
  </si>
  <si>
    <t>CUST-0173</t>
  </si>
  <si>
    <t>R224</t>
  </si>
  <si>
    <t>ORD-00219</t>
  </si>
  <si>
    <t>CUST-0050</t>
  </si>
  <si>
    <t>R225</t>
  </si>
  <si>
    <t>ORD-00220</t>
  </si>
  <si>
    <t>CUST-0097</t>
  </si>
  <si>
    <t>R226</t>
  </si>
  <si>
    <t>ORD-00221</t>
  </si>
  <si>
    <t>CUST-0026</t>
  </si>
  <si>
    <t>R227</t>
  </si>
  <si>
    <t>ORD-00222</t>
  </si>
  <si>
    <t>CUST-0185</t>
  </si>
  <si>
    <t>R228</t>
  </si>
  <si>
    <t>ORD-00223</t>
  </si>
  <si>
    <t>CUST-0135</t>
  </si>
  <si>
    <t>R229</t>
  </si>
  <si>
    <t>ORD-00224</t>
  </si>
  <si>
    <t>CUST-0010</t>
  </si>
  <si>
    <t>R230</t>
  </si>
  <si>
    <t>ORD-00225</t>
  </si>
  <si>
    <t>CUST-0271</t>
  </si>
  <si>
    <t>R231</t>
  </si>
  <si>
    <t>ORD-00226</t>
  </si>
  <si>
    <t>R232</t>
  </si>
  <si>
    <t>ORD-00227</t>
  </si>
  <si>
    <t>CUST-0296</t>
  </si>
  <si>
    <t>R233</t>
  </si>
  <si>
    <t>ORD-00228</t>
  </si>
  <si>
    <t>R234</t>
  </si>
  <si>
    <t>ORD-00229</t>
  </si>
  <si>
    <t>R235</t>
  </si>
  <si>
    <t>ORD-00230</t>
  </si>
  <si>
    <t>R236</t>
  </si>
  <si>
    <t>ORD-00231</t>
  </si>
  <si>
    <t>R237</t>
  </si>
  <si>
    <t>ORD-00232</t>
  </si>
  <si>
    <t>R238</t>
  </si>
  <si>
    <t>ORD-00233</t>
  </si>
  <si>
    <t>R239</t>
  </si>
  <si>
    <t>ORD-00234</t>
  </si>
  <si>
    <t>R240</t>
  </si>
  <si>
    <t>ORD-00235</t>
  </si>
  <si>
    <t>R241</t>
  </si>
  <si>
    <t>ORD-00236</t>
  </si>
  <si>
    <t>CUST-0073</t>
  </si>
  <si>
    <t>R242</t>
  </si>
  <si>
    <t>ORD-00237</t>
  </si>
  <si>
    <t>CUST-0242</t>
  </si>
  <si>
    <t>R243</t>
  </si>
  <si>
    <t>ORD-00238</t>
  </si>
  <si>
    <t>R244</t>
  </si>
  <si>
    <t>ORD-00239</t>
  </si>
  <si>
    <t>CUST-0085</t>
  </si>
  <si>
    <t>R245</t>
  </si>
  <si>
    <t>ORD-00240</t>
  </si>
  <si>
    <t>R246</t>
  </si>
  <si>
    <t>ORD-00241</t>
  </si>
  <si>
    <t>R247</t>
  </si>
  <si>
    <t>ORD-00242</t>
  </si>
  <si>
    <t>CUST-0171</t>
  </si>
  <si>
    <t>R248</t>
  </si>
  <si>
    <t>ORD-00243</t>
  </si>
  <si>
    <t>R249</t>
  </si>
  <si>
    <t>ORD-00244</t>
  </si>
  <si>
    <t>CUST-0285</t>
  </si>
  <si>
    <t>R250</t>
  </si>
  <si>
    <t>ORD-00245</t>
  </si>
  <si>
    <t>R251</t>
  </si>
  <si>
    <t>ORD-00246</t>
  </si>
  <si>
    <t>CUST-0295</t>
  </si>
  <si>
    <t>R252</t>
  </si>
  <si>
    <t>ORD-00247</t>
  </si>
  <si>
    <t>CUST-0218</t>
  </si>
  <si>
    <t>R253</t>
  </si>
  <si>
    <t>ORD-00248</t>
  </si>
  <si>
    <t>CUST-0090</t>
  </si>
  <si>
    <t>R254</t>
  </si>
  <si>
    <t>ORD-00249</t>
  </si>
  <si>
    <t>R255</t>
  </si>
  <si>
    <t>ORD-00250</t>
  </si>
  <si>
    <t>CUST-0231</t>
  </si>
  <si>
    <t>R256</t>
  </si>
  <si>
    <t>ORD-00251</t>
  </si>
  <si>
    <t>CUST-0055</t>
  </si>
  <si>
    <t>R257</t>
  </si>
  <si>
    <t>ORD-00252</t>
  </si>
  <si>
    <t>CUST-0262</t>
  </si>
  <si>
    <t>R258</t>
  </si>
  <si>
    <t>ORD-00253</t>
  </si>
  <si>
    <t>CUST-0155</t>
  </si>
  <si>
    <t>R259</t>
  </si>
  <si>
    <t>ORD-00254</t>
  </si>
  <si>
    <t>CUST-0169</t>
  </si>
  <si>
    <t>R260</t>
  </si>
  <si>
    <t>ORD-00255</t>
  </si>
  <si>
    <t>R261</t>
  </si>
  <si>
    <t>ORD-00256</t>
  </si>
  <si>
    <t>CUST-0249</t>
  </si>
  <si>
    <t>R262</t>
  </si>
  <si>
    <t>ORD-00257</t>
  </si>
  <si>
    <t>CUST-0151</t>
  </si>
  <si>
    <t>R263</t>
  </si>
  <si>
    <t>ORD-00258</t>
  </si>
  <si>
    <t>CUST-0115</t>
  </si>
  <si>
    <t>R264</t>
  </si>
  <si>
    <t>ORD-00259</t>
  </si>
  <si>
    <t>R265</t>
  </si>
  <si>
    <t>ORD-00260</t>
  </si>
  <si>
    <t>R266</t>
  </si>
  <si>
    <t>ORD-00261</t>
  </si>
  <si>
    <t>CUST-0198</t>
  </si>
  <si>
    <t>R267</t>
  </si>
  <si>
    <t>ORD-00262</t>
  </si>
  <si>
    <t>R268</t>
  </si>
  <si>
    <t>ORD-00263</t>
  </si>
  <si>
    <t>CUST-0110</t>
  </si>
  <si>
    <t>R269</t>
  </si>
  <si>
    <t>ORD-00264</t>
  </si>
  <si>
    <t>CUST-0134</t>
  </si>
  <si>
    <t>R270</t>
  </si>
  <si>
    <t>ORD-00265</t>
  </si>
  <si>
    <t>CUST-0141</t>
  </si>
  <si>
    <t>R271</t>
  </si>
  <si>
    <t>ORD-00266</t>
  </si>
  <si>
    <t>R272</t>
  </si>
  <si>
    <t>ORD-00267</t>
  </si>
  <si>
    <t>R273</t>
  </si>
  <si>
    <t>ORD-00268</t>
  </si>
  <si>
    <t>R274</t>
  </si>
  <si>
    <t>ORD-00269</t>
  </si>
  <si>
    <t>R275</t>
  </si>
  <si>
    <t>ORD-00270</t>
  </si>
  <si>
    <t>R276</t>
  </si>
  <si>
    <t>ORD-00271</t>
  </si>
  <si>
    <t>CUST-0238</t>
  </si>
  <si>
    <t>R277</t>
  </si>
  <si>
    <t>ORD-00272</t>
  </si>
  <si>
    <t>R278</t>
  </si>
  <si>
    <t>ORD-00273</t>
  </si>
  <si>
    <t>CUST-0167</t>
  </si>
  <si>
    <t>R279</t>
  </si>
  <si>
    <t>ORD-00274</t>
  </si>
  <si>
    <t>R280</t>
  </si>
  <si>
    <t>ORD-00275</t>
  </si>
  <si>
    <t>R281</t>
  </si>
  <si>
    <t>ORD-00276</t>
  </si>
  <si>
    <t>R282</t>
  </si>
  <si>
    <t>ORD-00277</t>
  </si>
  <si>
    <t>CUST-0183</t>
  </si>
  <si>
    <t>R283</t>
  </si>
  <si>
    <t>ORD-00278</t>
  </si>
  <si>
    <t>R284</t>
  </si>
  <si>
    <t>ORD-00279</t>
  </si>
  <si>
    <t>R285</t>
  </si>
  <si>
    <t>ORD-00280</t>
  </si>
  <si>
    <t>R286</t>
  </si>
  <si>
    <t>ORD-00281</t>
  </si>
  <si>
    <t>R287</t>
  </si>
  <si>
    <t>ORD-00282</t>
  </si>
  <si>
    <t>R288</t>
  </si>
  <si>
    <t>ORD-00283</t>
  </si>
  <si>
    <t>R289</t>
  </si>
  <si>
    <t>ORD-00284</t>
  </si>
  <si>
    <t>CUST-0297</t>
  </si>
  <si>
    <t>R290</t>
  </si>
  <si>
    <t>ORD-00285</t>
  </si>
  <si>
    <t>R291</t>
  </si>
  <si>
    <t>ORD-00286</t>
  </si>
  <si>
    <t>R292</t>
  </si>
  <si>
    <t>ORD-00287</t>
  </si>
  <si>
    <t>CUST-0160</t>
  </si>
  <si>
    <t>R293</t>
  </si>
  <si>
    <t>ORD-00288</t>
  </si>
  <si>
    <t>R294</t>
  </si>
  <si>
    <t>ORD-00289</t>
  </si>
  <si>
    <t>R295</t>
  </si>
  <si>
    <t>ORD-00290</t>
  </si>
  <si>
    <t>PROD-018</t>
  </si>
  <si>
    <t>R296</t>
  </si>
  <si>
    <t>ORD-00291</t>
  </si>
  <si>
    <t>R297</t>
  </si>
  <si>
    <t>ORD-00292</t>
  </si>
  <si>
    <t>CUST-0011</t>
  </si>
  <si>
    <t>R298</t>
  </si>
  <si>
    <t>ORD-00335</t>
  </si>
  <si>
    <t>R299</t>
  </si>
  <si>
    <t>ORD-00294</t>
  </si>
  <si>
    <t>R300</t>
  </si>
  <si>
    <t>ORD-00295</t>
  </si>
  <si>
    <t>R301</t>
  </si>
  <si>
    <t>ORD-00296</t>
  </si>
  <si>
    <t>R302</t>
  </si>
  <si>
    <t>ORD-01770</t>
  </si>
  <si>
    <t>R303</t>
  </si>
  <si>
    <t>ORD-00298</t>
  </si>
  <si>
    <t>CUST-0166</t>
  </si>
  <si>
    <t>R304</t>
  </si>
  <si>
    <t>ORD-00299</t>
  </si>
  <si>
    <t>R305</t>
  </si>
  <si>
    <t>ORD-00300</t>
  </si>
  <si>
    <t>R306</t>
  </si>
  <si>
    <t>ORD-00301</t>
  </si>
  <si>
    <t>CUST-0036</t>
  </si>
  <si>
    <t>R307</t>
  </si>
  <si>
    <t>ORD-00302</t>
  </si>
  <si>
    <t>R308</t>
  </si>
  <si>
    <t>ORD-00303</t>
  </si>
  <si>
    <t>CUST-0247</t>
  </si>
  <si>
    <t>R309</t>
  </si>
  <si>
    <t>ORD-00881</t>
  </si>
  <si>
    <t>R310</t>
  </si>
  <si>
    <t>ORD-00305</t>
  </si>
  <si>
    <t>R311</t>
  </si>
  <si>
    <t>ORD-00306</t>
  </si>
  <si>
    <t>CUST-0196</t>
  </si>
  <si>
    <t>R312</t>
  </si>
  <si>
    <t>ORD-00307</t>
  </si>
  <si>
    <t>R313</t>
  </si>
  <si>
    <t>ORD-00308</t>
  </si>
  <si>
    <t>R314</t>
  </si>
  <si>
    <t>ORD-00309</t>
  </si>
  <si>
    <t>CUST-0132</t>
  </si>
  <si>
    <t>R315</t>
  </si>
  <si>
    <t>ORD-00310</t>
  </si>
  <si>
    <t>CUST-0153</t>
  </si>
  <si>
    <t>R316</t>
  </si>
  <si>
    <t>ORD-00311</t>
  </si>
  <si>
    <t>R317</t>
  </si>
  <si>
    <t>ORD-00312</t>
  </si>
  <si>
    <t>CUST-0256</t>
  </si>
  <si>
    <t>R318</t>
  </si>
  <si>
    <t>ORD-00313</t>
  </si>
  <si>
    <t>R319</t>
  </si>
  <si>
    <t>ORD-00314</t>
  </si>
  <si>
    <t>R320</t>
  </si>
  <si>
    <t>ORD-00315</t>
  </si>
  <si>
    <t>R321</t>
  </si>
  <si>
    <t>ORD-00316</t>
  </si>
  <si>
    <t>R322</t>
  </si>
  <si>
    <t>ORD-00317</t>
  </si>
  <si>
    <t>R323</t>
  </si>
  <si>
    <t>ORD-00318</t>
  </si>
  <si>
    <t>R324</t>
  </si>
  <si>
    <t>ORD-00319</t>
  </si>
  <si>
    <t>CUST-0245</t>
  </si>
  <si>
    <t>R325</t>
  </si>
  <si>
    <t>ORD-00320</t>
  </si>
  <si>
    <t>R326</t>
  </si>
  <si>
    <t>ORD-00321</t>
  </si>
  <si>
    <t>CUST-0212</t>
  </si>
  <si>
    <t>R327</t>
  </si>
  <si>
    <t>ORD-00322</t>
  </si>
  <si>
    <t>R328</t>
  </si>
  <si>
    <t>ORD-00323</t>
  </si>
  <si>
    <t>CUST-0157</t>
  </si>
  <si>
    <t>R329</t>
  </si>
  <si>
    <t>ORD-00324</t>
  </si>
  <si>
    <t>CUST-0004</t>
  </si>
  <si>
    <t>R330</t>
  </si>
  <si>
    <t>ORD-00325</t>
  </si>
  <si>
    <t>CUST-0003</t>
  </si>
  <si>
    <t>R331</t>
  </si>
  <si>
    <t>ORD-00326</t>
  </si>
  <si>
    <t>R332</t>
  </si>
  <si>
    <t>ORD-00327</t>
  </si>
  <si>
    <t>R333</t>
  </si>
  <si>
    <t>ORD-00328</t>
  </si>
  <si>
    <t>R334</t>
  </si>
  <si>
    <t>ORD-00329</t>
  </si>
  <si>
    <t>CUST-0299</t>
  </si>
  <si>
    <t>R335</t>
  </si>
  <si>
    <t>ORD-00330</t>
  </si>
  <si>
    <t>CUST-0066</t>
  </si>
  <si>
    <t>R336</t>
  </si>
  <si>
    <t>ORD-00331</t>
  </si>
  <si>
    <t>R337</t>
  </si>
  <si>
    <t>ORD-00332</t>
  </si>
  <si>
    <t>CUST-0138</t>
  </si>
  <si>
    <t>R338</t>
  </si>
  <si>
    <t>ORD-00333</t>
  </si>
  <si>
    <t>R339</t>
  </si>
  <si>
    <t>ORD-00334</t>
  </si>
  <si>
    <t>R340</t>
  </si>
  <si>
    <t>CUST-0269</t>
  </si>
  <si>
    <t>R341</t>
  </si>
  <si>
    <t>PUNE</t>
  </si>
  <si>
    <t>ORD-00336</t>
  </si>
  <si>
    <t>R342</t>
  </si>
  <si>
    <t>ORD-00337</t>
  </si>
  <si>
    <t>R343</t>
  </si>
  <si>
    <t>ORD-00338</t>
  </si>
  <si>
    <t>CUST-0016</t>
  </si>
  <si>
    <t>R344</t>
  </si>
  <si>
    <t>ORD-00339</t>
  </si>
  <si>
    <t>R345</t>
  </si>
  <si>
    <t>ORD-00340</t>
  </si>
  <si>
    <t>R346</t>
  </si>
  <si>
    <t>ORD-00341</t>
  </si>
  <si>
    <t>CUST-0279</t>
  </si>
  <si>
    <t>R347</t>
  </si>
  <si>
    <t>ORD-00342</t>
  </si>
  <si>
    <t>R348</t>
  </si>
  <si>
    <t>ORD-00343</t>
  </si>
  <si>
    <t>R349</t>
  </si>
  <si>
    <t>ORD-00344</t>
  </si>
  <si>
    <t>R350</t>
  </si>
  <si>
    <t>ORD-00593</t>
  </si>
  <si>
    <t>R351</t>
  </si>
  <si>
    <t>ORD-00346</t>
  </si>
  <si>
    <t>CUST-0062</t>
  </si>
  <si>
    <t>R352</t>
  </si>
  <si>
    <t>ORD-00347</t>
  </si>
  <si>
    <t>R353</t>
  </si>
  <si>
    <t>ORD-00348</t>
  </si>
  <si>
    <t>CUST-0001</t>
  </si>
  <si>
    <t>R354</t>
  </si>
  <si>
    <t>ORD-00349</t>
  </si>
  <si>
    <t>R355</t>
  </si>
  <si>
    <t>ORD-00350</t>
  </si>
  <si>
    <t>CUST-0044</t>
  </si>
  <si>
    <t>R356</t>
  </si>
  <si>
    <t>ORD-00351</t>
  </si>
  <si>
    <t>R357</t>
  </si>
  <si>
    <t>ORD-00352</t>
  </si>
  <si>
    <t>CUST-0061</t>
  </si>
  <si>
    <t>R358</t>
  </si>
  <si>
    <t>ORD-00353</t>
  </si>
  <si>
    <t>R359</t>
  </si>
  <si>
    <t>ORD-00354</t>
  </si>
  <si>
    <t>R360</t>
  </si>
  <si>
    <t>ORD-00355</t>
  </si>
  <si>
    <t>R361</t>
  </si>
  <si>
    <t>ORD-00356</t>
  </si>
  <si>
    <t>R362</t>
  </si>
  <si>
    <t>ORD-00357</t>
  </si>
  <si>
    <t>R363</t>
  </si>
  <si>
    <t>ORD-00358</t>
  </si>
  <si>
    <t>R364</t>
  </si>
  <si>
    <t>ORD-00359</t>
  </si>
  <si>
    <t>CUST-0292</t>
  </si>
  <si>
    <t>R365</t>
  </si>
  <si>
    <t>ORD-00360</t>
  </si>
  <si>
    <t>R366</t>
  </si>
  <si>
    <t>ORD-00361</t>
  </si>
  <si>
    <t>R367</t>
  </si>
  <si>
    <t>ORD-00362</t>
  </si>
  <si>
    <t>R368</t>
  </si>
  <si>
    <t>ORD-00363</t>
  </si>
  <si>
    <t>CUST-0030</t>
  </si>
  <si>
    <t>R369</t>
  </si>
  <si>
    <t>ORD-00364</t>
  </si>
  <si>
    <t>CUST-0270</t>
  </si>
  <si>
    <t>R370</t>
  </si>
  <si>
    <t>ORD-00365</t>
  </si>
  <si>
    <t>R371</t>
  </si>
  <si>
    <t>ORD-00366</t>
  </si>
  <si>
    <t>CUST-0215</t>
  </si>
  <si>
    <t>R372</t>
  </si>
  <si>
    <t>ORD-00367</t>
  </si>
  <si>
    <t>CUST-0225</t>
  </si>
  <si>
    <t>R373</t>
  </si>
  <si>
    <t>ORD-00368</t>
  </si>
  <si>
    <t>R374</t>
  </si>
  <si>
    <t>ORD-00369</t>
  </si>
  <si>
    <t>R375</t>
  </si>
  <si>
    <t>ORD-00370</t>
  </si>
  <si>
    <t>CUST-0002</t>
  </si>
  <si>
    <t>R376</t>
  </si>
  <si>
    <t>ORD-00371</t>
  </si>
  <si>
    <t>CUST-0057</t>
  </si>
  <si>
    <t>R377</t>
  </si>
  <si>
    <t>ORD-00372</t>
  </si>
  <si>
    <t>R378</t>
  </si>
  <si>
    <t>ORD-00373</t>
  </si>
  <si>
    <t>R379</t>
  </si>
  <si>
    <t>ORD-00374</t>
  </si>
  <si>
    <t>R380</t>
  </si>
  <si>
    <t>ORD-00375</t>
  </si>
  <si>
    <t>R381</t>
  </si>
  <si>
    <t>ORD-00376</t>
  </si>
  <si>
    <t>R382</t>
  </si>
  <si>
    <t>ORD-00377</t>
  </si>
  <si>
    <t>R383</t>
  </si>
  <si>
    <t>ORD-00378</t>
  </si>
  <si>
    <t>R384</t>
  </si>
  <si>
    <t>ORD-00379</t>
  </si>
  <si>
    <t>CUST-0074</t>
  </si>
  <si>
    <t>R385</t>
  </si>
  <si>
    <t>ORD-00380</t>
  </si>
  <si>
    <t>CUST-0221</t>
  </si>
  <si>
    <t>R386</t>
  </si>
  <si>
    <t>ORD-00381</t>
  </si>
  <si>
    <t>R387</t>
  </si>
  <si>
    <t>ORD-00382</t>
  </si>
  <si>
    <t>R388</t>
  </si>
  <si>
    <t>ORD-00383</t>
  </si>
  <si>
    <t>CUST-0209</t>
  </si>
  <si>
    <t>R389</t>
  </si>
  <si>
    <t>pune</t>
  </si>
  <si>
    <t>ORD-00384</t>
  </si>
  <si>
    <t>R390</t>
  </si>
  <si>
    <t>ORD-00385</t>
  </si>
  <si>
    <t>R391</t>
  </si>
  <si>
    <t>ORD-00386</t>
  </si>
  <si>
    <t>R392</t>
  </si>
  <si>
    <t>ORD-00387</t>
  </si>
  <si>
    <t>R393</t>
  </si>
  <si>
    <t>ORD-00388</t>
  </si>
  <si>
    <t>R394</t>
  </si>
  <si>
    <t>ORD-00389</t>
  </si>
  <si>
    <t>R395</t>
  </si>
  <si>
    <t>ORD-00390</t>
  </si>
  <si>
    <t>R396</t>
  </si>
  <si>
    <t>ORD-00391</t>
  </si>
  <si>
    <t>CUST-0019</t>
  </si>
  <si>
    <t>R397</t>
  </si>
  <si>
    <t>ORD-00392</t>
  </si>
  <si>
    <t>CUST-0290</t>
  </si>
  <si>
    <t>R398</t>
  </si>
  <si>
    <t>ORD-00393</t>
  </si>
  <si>
    <t>CUST-9557</t>
  </si>
  <si>
    <t>R399</t>
  </si>
  <si>
    <t>ORD-00394</t>
  </si>
  <si>
    <t>R400</t>
  </si>
  <si>
    <t>ORD-00395</t>
  </si>
  <si>
    <t>CUST-0045</t>
  </si>
  <si>
    <t>R401</t>
  </si>
  <si>
    <t>ORD-00396</t>
  </si>
  <si>
    <t>R402</t>
  </si>
  <si>
    <t>ORD-00397</t>
  </si>
  <si>
    <t>R403</t>
  </si>
  <si>
    <t>ORD-00398</t>
  </si>
  <si>
    <t>R404</t>
  </si>
  <si>
    <t>ORD-00399</t>
  </si>
  <si>
    <t>CUST-0154</t>
  </si>
  <si>
    <t>R405</t>
  </si>
  <si>
    <t>ORD-00400</t>
  </si>
  <si>
    <t>R406</t>
  </si>
  <si>
    <t>ORD-00401</t>
  </si>
  <si>
    <t>CUST-9654</t>
  </si>
  <si>
    <t>R407</t>
  </si>
  <si>
    <t>ORD-00402</t>
  </si>
  <si>
    <t>R408</t>
  </si>
  <si>
    <t>ORD-00403</t>
  </si>
  <si>
    <t>R409</t>
  </si>
  <si>
    <t>ORD-00404</t>
  </si>
  <si>
    <t>R410</t>
  </si>
  <si>
    <t>ORD-00405</t>
  </si>
  <si>
    <t>R411</t>
  </si>
  <si>
    <t>ORD-00406</t>
  </si>
  <si>
    <t>CUST-0093</t>
  </si>
  <si>
    <t>R412</t>
  </si>
  <si>
    <t>ORD-00407</t>
  </si>
  <si>
    <t>R413</t>
  </si>
  <si>
    <t>ORD-00408</t>
  </si>
  <si>
    <t>R414</t>
  </si>
  <si>
    <t>ORD-00409</t>
  </si>
  <si>
    <t>R415</t>
  </si>
  <si>
    <t>ORD-00410</t>
  </si>
  <si>
    <t>R416</t>
  </si>
  <si>
    <t>ORD-00411</t>
  </si>
  <si>
    <t>R417</t>
  </si>
  <si>
    <t>ORD-00412</t>
  </si>
  <si>
    <t>CUST-0148</t>
  </si>
  <si>
    <t>R418</t>
  </si>
  <si>
    <t>ORD-00413</t>
  </si>
  <si>
    <t>R419</t>
  </si>
  <si>
    <t>ORD-00414</t>
  </si>
  <si>
    <t>R420</t>
  </si>
  <si>
    <t>ORD-00415</t>
  </si>
  <si>
    <t>R421</t>
  </si>
  <si>
    <t>ORD-00416</t>
  </si>
  <si>
    <t>CUST-0190</t>
  </si>
  <si>
    <t>R422</t>
  </si>
  <si>
    <t>ORD-00417</t>
  </si>
  <si>
    <t>R423</t>
  </si>
  <si>
    <t>ORD-00418</t>
  </si>
  <si>
    <t>R424</t>
  </si>
  <si>
    <t>ORD-00419</t>
  </si>
  <si>
    <t>R425</t>
  </si>
  <si>
    <t>ORD-00420</t>
  </si>
  <si>
    <t>R426</t>
  </si>
  <si>
    <t>ORD-00421</t>
  </si>
  <si>
    <t>R427</t>
  </si>
  <si>
    <t>ORD-00422</t>
  </si>
  <si>
    <t>CUST-0037</t>
  </si>
  <si>
    <t>R428</t>
  </si>
  <si>
    <t>ORD-00423</t>
  </si>
  <si>
    <t>CUST-0039</t>
  </si>
  <si>
    <t>R429</t>
  </si>
  <si>
    <t>ORD-00424</t>
  </si>
  <si>
    <t>R430</t>
  </si>
  <si>
    <t>ORD-00425</t>
  </si>
  <si>
    <t>R431</t>
  </si>
  <si>
    <t>ORD-00426</t>
  </si>
  <si>
    <t>CUST-0130</t>
  </si>
  <si>
    <t>R432</t>
  </si>
  <si>
    <t>ORD-00427</t>
  </si>
  <si>
    <t>R433</t>
  </si>
  <si>
    <t>ORD-00428</t>
  </si>
  <si>
    <t>R434</t>
  </si>
  <si>
    <t>ORD-00429</t>
  </si>
  <si>
    <t>R435</t>
  </si>
  <si>
    <t>ORD-00430</t>
  </si>
  <si>
    <t>R436</t>
  </si>
  <si>
    <t>ORD-00431</t>
  </si>
  <si>
    <t>R437</t>
  </si>
  <si>
    <t>ORD-00432</t>
  </si>
  <si>
    <t>R438</t>
  </si>
  <si>
    <t>ORD-00433</t>
  </si>
  <si>
    <t>R439</t>
  </si>
  <si>
    <t>ORD-00434</t>
  </si>
  <si>
    <t>CUST-0136</t>
  </si>
  <si>
    <t>R440</t>
  </si>
  <si>
    <t>ORD-00435</t>
  </si>
  <si>
    <t>R441</t>
  </si>
  <si>
    <t>ORD-00436</t>
  </si>
  <si>
    <t>R442</t>
  </si>
  <si>
    <t>ORD-00437</t>
  </si>
  <si>
    <t>R443</t>
  </si>
  <si>
    <t>ORD-00438</t>
  </si>
  <si>
    <t>R444</t>
  </si>
  <si>
    <t>ORD-00439</t>
  </si>
  <si>
    <t>CUST-0217</t>
  </si>
  <si>
    <t>R445</t>
  </si>
  <si>
    <t>ORD-00440</t>
  </si>
  <si>
    <t>R446</t>
  </si>
  <si>
    <t>ORD-00441</t>
  </si>
  <si>
    <t>R447</t>
  </si>
  <si>
    <t>ORD-00442</t>
  </si>
  <si>
    <t>R448</t>
  </si>
  <si>
    <t>ORD-00443</t>
  </si>
  <si>
    <t>R449</t>
  </si>
  <si>
    <t>ORD-00444</t>
  </si>
  <si>
    <t>R450</t>
  </si>
  <si>
    <t>ORD-00445</t>
  </si>
  <si>
    <t>CUST-9626</t>
  </si>
  <si>
    <t>R451</t>
  </si>
  <si>
    <t>ORD-00446</t>
  </si>
  <si>
    <t>R452</t>
  </si>
  <si>
    <t>ORD-00447</t>
  </si>
  <si>
    <t>R453</t>
  </si>
  <si>
    <t>ORD-00448</t>
  </si>
  <si>
    <t>R454</t>
  </si>
  <si>
    <t>ORD-00449</t>
  </si>
  <si>
    <t>CUST-0017</t>
  </si>
  <si>
    <t>R455</t>
  </si>
  <si>
    <t>ORD-00450</t>
  </si>
  <si>
    <t>CUST-0007</t>
  </si>
  <si>
    <t>R456</t>
  </si>
  <si>
    <t>ORD-00451</t>
  </si>
  <si>
    <t>CUST-0054</t>
  </si>
  <si>
    <t>R457</t>
  </si>
  <si>
    <t>ORD-00452</t>
  </si>
  <si>
    <t>CUST-0038</t>
  </si>
  <si>
    <t>R458</t>
  </si>
  <si>
    <t>ORD-00453</t>
  </si>
  <si>
    <t>R459</t>
  </si>
  <si>
    <t>ORD-00454</t>
  </si>
  <si>
    <t>R460</t>
  </si>
  <si>
    <t>ORD-00455</t>
  </si>
  <si>
    <t>CUST-0072</t>
  </si>
  <si>
    <t>R461</t>
  </si>
  <si>
    <t>ORD-00456</t>
  </si>
  <si>
    <t>R462</t>
  </si>
  <si>
    <t>ORD-00457</t>
  </si>
  <si>
    <t>R463</t>
  </si>
  <si>
    <t>ORD-00458</t>
  </si>
  <si>
    <t>CUST-0214</t>
  </si>
  <si>
    <t>R464</t>
  </si>
  <si>
    <t>CUST-0236</t>
  </si>
  <si>
    <t>R465</t>
  </si>
  <si>
    <t>ORD-00460</t>
  </si>
  <si>
    <t>R466</t>
  </si>
  <si>
    <t>ORD-00461</t>
  </si>
  <si>
    <t>CUST-0123</t>
  </si>
  <si>
    <t>R467</t>
  </si>
  <si>
    <t>ORD-00462</t>
  </si>
  <si>
    <t>R468</t>
  </si>
  <si>
    <t>ORD-00463</t>
  </si>
  <si>
    <t>R469</t>
  </si>
  <si>
    <t>ORD-00464</t>
  </si>
  <si>
    <t>R470</t>
  </si>
  <si>
    <t>ORD-00465</t>
  </si>
  <si>
    <t>R471</t>
  </si>
  <si>
    <t>ORD-00466</t>
  </si>
  <si>
    <t>R472</t>
  </si>
  <si>
    <t>ORD-00467</t>
  </si>
  <si>
    <t>R473</t>
  </si>
  <si>
    <t>ORD-00468</t>
  </si>
  <si>
    <t>R474</t>
  </si>
  <si>
    <t>ORD-00469</t>
  </si>
  <si>
    <t>CUST-0223</t>
  </si>
  <si>
    <t>R475</t>
  </si>
  <si>
    <t>ORD-00470</t>
  </si>
  <si>
    <t>R476</t>
  </si>
  <si>
    <t>ORD-00471</t>
  </si>
  <si>
    <t>R477</t>
  </si>
  <si>
    <t>ORD-00472</t>
  </si>
  <si>
    <t>R478</t>
  </si>
  <si>
    <t>ORD-00473</t>
  </si>
  <si>
    <t>CUST-0254</t>
  </si>
  <si>
    <t>R479</t>
  </si>
  <si>
    <t>ORD-00474</t>
  </si>
  <si>
    <t>CUST-0126</t>
  </si>
  <si>
    <t>R480</t>
  </si>
  <si>
    <t>ORD-00475</t>
  </si>
  <si>
    <t>R481</t>
  </si>
  <si>
    <t>ORD-00476</t>
  </si>
  <si>
    <t>CUST-0089</t>
  </si>
  <si>
    <t>R482</t>
  </si>
  <si>
    <t>ORD-00477</t>
  </si>
  <si>
    <t>R483</t>
  </si>
  <si>
    <t>ORD-00478</t>
  </si>
  <si>
    <t>CUST-0201</t>
  </si>
  <si>
    <t>R484</t>
  </si>
  <si>
    <t>ORD-01195</t>
  </si>
  <si>
    <t>CUST-0091</t>
  </si>
  <si>
    <t>R485</t>
  </si>
  <si>
    <t>ORD-00480</t>
  </si>
  <si>
    <t>R486</t>
  </si>
  <si>
    <t>ORD-00481</t>
  </si>
  <si>
    <t>R487</t>
  </si>
  <si>
    <t>ORD-00482</t>
  </si>
  <si>
    <t>R488</t>
  </si>
  <si>
    <t>ORD-00483</t>
  </si>
  <si>
    <t>R489</t>
  </si>
  <si>
    <t>ORD-00484</t>
  </si>
  <si>
    <t>R490</t>
  </si>
  <si>
    <t>ORD-00485</t>
  </si>
  <si>
    <t>R491</t>
  </si>
  <si>
    <t>ORD-00486</t>
  </si>
  <si>
    <t>R492</t>
  </si>
  <si>
    <t>ORD-00487</t>
  </si>
  <si>
    <t>R493</t>
  </si>
  <si>
    <t>ORD-00488</t>
  </si>
  <si>
    <t>R494</t>
  </si>
  <si>
    <t>ORD-00489</t>
  </si>
  <si>
    <t>CUST-0195</t>
  </si>
  <si>
    <t>R495</t>
  </si>
  <si>
    <t>ORD-00490</t>
  </si>
  <si>
    <t>R496</t>
  </si>
  <si>
    <t>ORD-00491</t>
  </si>
  <si>
    <t>R497</t>
  </si>
  <si>
    <t>ORD-00492</t>
  </si>
  <si>
    <t>R498</t>
  </si>
  <si>
    <t>ORD-00493</t>
  </si>
  <si>
    <t>R499</t>
  </si>
  <si>
    <t>ORD-00494</t>
  </si>
  <si>
    <t>R500</t>
  </si>
  <si>
    <t>ORD-00495</t>
  </si>
  <si>
    <t>R501</t>
  </si>
  <si>
    <t>ORD-00496</t>
  </si>
  <si>
    <t>R502</t>
  </si>
  <si>
    <t>ORD-00497</t>
  </si>
  <si>
    <t>R503</t>
  </si>
  <si>
    <t>ORD-00498</t>
  </si>
  <si>
    <t>R504</t>
  </si>
  <si>
    <t>ORD-00499</t>
  </si>
  <si>
    <t>R505</t>
  </si>
  <si>
    <t>ORD-00500</t>
  </si>
  <si>
    <t>R506</t>
  </si>
  <si>
    <t>ORD-00501</t>
  </si>
  <si>
    <t>R507</t>
  </si>
  <si>
    <t>ORD-00502</t>
  </si>
  <si>
    <t>R508</t>
  </si>
  <si>
    <t>ORD-00503</t>
  </si>
  <si>
    <t>R509</t>
  </si>
  <si>
    <t>ORD-00504</t>
  </si>
  <si>
    <t>R510</t>
  </si>
  <si>
    <t>ORD-00505</t>
  </si>
  <si>
    <t>R511</t>
  </si>
  <si>
    <t>ORD-00506</t>
  </si>
  <si>
    <t>R512</t>
  </si>
  <si>
    <t>ORD-00507</t>
  </si>
  <si>
    <t>R513</t>
  </si>
  <si>
    <t>ORD-00508</t>
  </si>
  <si>
    <t>R514</t>
  </si>
  <si>
    <t>ORD-00509</t>
  </si>
  <si>
    <t>R515</t>
  </si>
  <si>
    <t>ORD-00510</t>
  </si>
  <si>
    <t>CUST-0103</t>
  </si>
  <si>
    <t>R516</t>
  </si>
  <si>
    <t>ORD-00511</t>
  </si>
  <si>
    <t>CUST-0174</t>
  </si>
  <si>
    <t>R517</t>
  </si>
  <si>
    <t>ORD-00512</t>
  </si>
  <si>
    <t>R518</t>
  </si>
  <si>
    <t>ORD-00513</t>
  </si>
  <si>
    <t>CUST-0266</t>
  </si>
  <si>
    <t>R519</t>
  </si>
  <si>
    <t>ORD-00514</t>
  </si>
  <si>
    <t>R520</t>
  </si>
  <si>
    <t>ORD-00515</t>
  </si>
  <si>
    <t>R521</t>
  </si>
  <si>
    <t>ORD-00516</t>
  </si>
  <si>
    <t>CUST-0128</t>
  </si>
  <si>
    <t>R522</t>
  </si>
  <si>
    <t>ORD-00517</t>
  </si>
  <si>
    <t>R523</t>
  </si>
  <si>
    <t>ORD-00518</t>
  </si>
  <si>
    <t>R524</t>
  </si>
  <si>
    <t>ORD-00519</t>
  </si>
  <si>
    <t>CUST-0237</t>
  </si>
  <si>
    <t>R525</t>
  </si>
  <si>
    <t>ORD-00520</t>
  </si>
  <si>
    <t>R526</t>
  </si>
  <si>
    <t>ORD-00521</t>
  </si>
  <si>
    <t>CUST-0233</t>
  </si>
  <si>
    <t>R527</t>
  </si>
  <si>
    <t>ORD-00522</t>
  </si>
  <si>
    <t>R528</t>
  </si>
  <si>
    <t>ORD-00523</t>
  </si>
  <si>
    <t>R529</t>
  </si>
  <si>
    <t>ORD-00524</t>
  </si>
  <si>
    <t>CUST-0235</t>
  </si>
  <si>
    <t>R530</t>
  </si>
  <si>
    <t>ORD-00525</t>
  </si>
  <si>
    <t>R531</t>
  </si>
  <si>
    <t>ORD-00526</t>
  </si>
  <si>
    <t>CUST-0199</t>
  </si>
  <si>
    <t>R532</t>
  </si>
  <si>
    <t>ORD-00527</t>
  </si>
  <si>
    <t>CUST-0034</t>
  </si>
  <si>
    <t>R533</t>
  </si>
  <si>
    <t>ORD-00528</t>
  </si>
  <si>
    <t>CUST-0206</t>
  </si>
  <si>
    <t>R534</t>
  </si>
  <si>
    <t>ORD-00529</t>
  </si>
  <si>
    <t>R535</t>
  </si>
  <si>
    <t>ORD-00530</t>
  </si>
  <si>
    <t>R536</t>
  </si>
  <si>
    <t>ORD-00531</t>
  </si>
  <si>
    <t>R537</t>
  </si>
  <si>
    <t>ORD-00532</t>
  </si>
  <si>
    <t>R538</t>
  </si>
  <si>
    <t>ORD-00533</t>
  </si>
  <si>
    <t>R539</t>
  </si>
  <si>
    <t>ORD-00534</t>
  </si>
  <si>
    <t>CUST-0205</t>
  </si>
  <si>
    <t>R540</t>
  </si>
  <si>
    <t>ORD-00535</t>
  </si>
  <si>
    <t>R541</t>
  </si>
  <si>
    <t>ORD-00536</t>
  </si>
  <si>
    <t>R542</t>
  </si>
  <si>
    <t>ORD-00537</t>
  </si>
  <si>
    <t>R543</t>
  </si>
  <si>
    <t>ORD-00538</t>
  </si>
  <si>
    <t>R544</t>
  </si>
  <si>
    <t>ORD-00539</t>
  </si>
  <si>
    <t>CUST-0127</t>
  </si>
  <si>
    <t>R545</t>
  </si>
  <si>
    <t>ORD-00540</t>
  </si>
  <si>
    <t>R546</t>
  </si>
  <si>
    <t>ORD-00541</t>
  </si>
  <si>
    <t>CUST-0005</t>
  </si>
  <si>
    <t>R547</t>
  </si>
  <si>
    <t>ORD-00542</t>
  </si>
  <si>
    <t>R548</t>
  </si>
  <si>
    <t>ORD-00543</t>
  </si>
  <si>
    <t>R549</t>
  </si>
  <si>
    <t>ORD-00544</t>
  </si>
  <si>
    <t>CUST-0244</t>
  </si>
  <si>
    <t>R550</t>
  </si>
  <si>
    <t>ORD-00545</t>
  </si>
  <si>
    <t>R551</t>
  </si>
  <si>
    <t>ORD-00546</t>
  </si>
  <si>
    <t>R552</t>
  </si>
  <si>
    <t>ORD-00547</t>
  </si>
  <si>
    <t>R553</t>
  </si>
  <si>
    <t>ORD-00548</t>
  </si>
  <si>
    <t>R554</t>
  </si>
  <si>
    <t>ORD-00549</t>
  </si>
  <si>
    <t>R555</t>
  </si>
  <si>
    <t>ORD-00550</t>
  </si>
  <si>
    <t>R556</t>
  </si>
  <si>
    <t>ORD-00551</t>
  </si>
  <si>
    <t>R557</t>
  </si>
  <si>
    <t>ORD-00552</t>
  </si>
  <si>
    <t>R558</t>
  </si>
  <si>
    <t>ORD-00553</t>
  </si>
  <si>
    <t>CUST-0252</t>
  </si>
  <si>
    <t>R559</t>
  </si>
  <si>
    <t>ORD-00554</t>
  </si>
  <si>
    <t>R560</t>
  </si>
  <si>
    <t>ORD-00555</t>
  </si>
  <si>
    <t>CUST-0046</t>
  </si>
  <si>
    <t>R561</t>
  </si>
  <si>
    <t>ORD-00556</t>
  </si>
  <si>
    <t>R562</t>
  </si>
  <si>
    <t>ORD-00557</t>
  </si>
  <si>
    <t>CUST-0227</t>
  </si>
  <si>
    <t>R563</t>
  </si>
  <si>
    <t>ORD-00558</t>
  </si>
  <si>
    <t>R564</t>
  </si>
  <si>
    <t>ORD-00559</t>
  </si>
  <si>
    <t>R565</t>
  </si>
  <si>
    <t>ORD-00560</t>
  </si>
  <si>
    <t>R566</t>
  </si>
  <si>
    <t>ORD-00561</t>
  </si>
  <si>
    <t>R567</t>
  </si>
  <si>
    <t>ORD-00562</t>
  </si>
  <si>
    <t>R568</t>
  </si>
  <si>
    <t>ORD-00563</t>
  </si>
  <si>
    <t>R569</t>
  </si>
  <si>
    <t>ORD-00564</t>
  </si>
  <si>
    <t>R570</t>
  </si>
  <si>
    <t>ORD-00565</t>
  </si>
  <si>
    <t>R571</t>
  </si>
  <si>
    <t>ORD-00566</t>
  </si>
  <si>
    <t>CUST-0058</t>
  </si>
  <si>
    <t>R572</t>
  </si>
  <si>
    <t>ORD-00567</t>
  </si>
  <si>
    <t>R573</t>
  </si>
  <si>
    <t>ORD-00568</t>
  </si>
  <si>
    <t>R574</t>
  </si>
  <si>
    <t>ORD-00569</t>
  </si>
  <si>
    <t>R575</t>
  </si>
  <si>
    <t>ORD-00570</t>
  </si>
  <si>
    <t>R576</t>
  </si>
  <si>
    <t>ORD-00571</t>
  </si>
  <si>
    <t>R577</t>
  </si>
  <si>
    <t>ORD-00572</t>
  </si>
  <si>
    <t>R578</t>
  </si>
  <si>
    <t>ORD-00573</t>
  </si>
  <si>
    <t>R579</t>
  </si>
  <si>
    <t>ORD-00574</t>
  </si>
  <si>
    <t>R580</t>
  </si>
  <si>
    <t>ORD-00575</t>
  </si>
  <si>
    <t>R581</t>
  </si>
  <si>
    <t>ORD-00576</t>
  </si>
  <si>
    <t>CUST-0272</t>
  </si>
  <si>
    <t>R582</t>
  </si>
  <si>
    <t>ORD-00577</t>
  </si>
  <si>
    <t>R583</t>
  </si>
  <si>
    <t>ORD-00578</t>
  </si>
  <si>
    <t>R584</t>
  </si>
  <si>
    <t>ORD-00579</t>
  </si>
  <si>
    <t>R585</t>
  </si>
  <si>
    <t>ORD-00580</t>
  </si>
  <si>
    <t>R586</t>
  </si>
  <si>
    <t>ORD-00581</t>
  </si>
  <si>
    <t>R587</t>
  </si>
  <si>
    <t>ORD-00582</t>
  </si>
  <si>
    <t>R588</t>
  </si>
  <si>
    <t>ORD-00583</t>
  </si>
  <si>
    <t>R589</t>
  </si>
  <si>
    <t>ORD-00584</t>
  </si>
  <si>
    <t>CUST-0156</t>
  </si>
  <si>
    <t>R590</t>
  </si>
  <si>
    <t>ORD-00585</t>
  </si>
  <si>
    <t>CUST-0022</t>
  </si>
  <si>
    <t>R591</t>
  </si>
  <si>
    <t>ORD-00586</t>
  </si>
  <si>
    <t>R592</t>
  </si>
  <si>
    <t>ORD-00587</t>
  </si>
  <si>
    <t>R593</t>
  </si>
  <si>
    <t>ORD-00588</t>
  </si>
  <si>
    <t>R594</t>
  </si>
  <si>
    <t>ORD-00589</t>
  </si>
  <si>
    <t>R595</t>
  </si>
  <si>
    <t>ORD-00590</t>
  </si>
  <si>
    <t>R596</t>
  </si>
  <si>
    <t>ORD-00591</t>
  </si>
  <si>
    <t>R597</t>
  </si>
  <si>
    <t>ORD-00592</t>
  </si>
  <si>
    <t>R598</t>
  </si>
  <si>
    <t>R599</t>
  </si>
  <si>
    <t>ORD-00594</t>
  </si>
  <si>
    <t>CUST-0278</t>
  </si>
  <si>
    <t>R600</t>
  </si>
  <si>
    <t>ORD-00595</t>
  </si>
  <si>
    <t>R601</t>
  </si>
  <si>
    <t>ORD-00596</t>
  </si>
  <si>
    <t>R602</t>
  </si>
  <si>
    <t>ORD-00597</t>
  </si>
  <si>
    <t>CUST-0289</t>
  </si>
  <si>
    <t>R603</t>
  </si>
  <si>
    <t>ORD-00598</t>
  </si>
  <si>
    <t>R604</t>
  </si>
  <si>
    <t>ORD-00599</t>
  </si>
  <si>
    <t>R605</t>
  </si>
  <si>
    <t>ORD-00600</t>
  </si>
  <si>
    <t>CUST-0213</t>
  </si>
  <si>
    <t>R606</t>
  </si>
  <si>
    <t>ORD-00601</t>
  </si>
  <si>
    <t>R607</t>
  </si>
  <si>
    <t>ORD-00602</t>
  </si>
  <si>
    <t>R608</t>
  </si>
  <si>
    <t>ORD-00603</t>
  </si>
  <si>
    <t>R609</t>
  </si>
  <si>
    <t>ORD-00604</t>
  </si>
  <si>
    <t>R610</t>
  </si>
  <si>
    <t>ORD-00605</t>
  </si>
  <si>
    <t>R611</t>
  </si>
  <si>
    <t>ORD-00606</t>
  </si>
  <si>
    <t>CUST-0179</t>
  </si>
  <si>
    <t>R612</t>
  </si>
  <si>
    <t>ORD-00607</t>
  </si>
  <si>
    <t>R613</t>
  </si>
  <si>
    <t>ORD-00608</t>
  </si>
  <si>
    <t>CUST-0144</t>
  </si>
  <si>
    <t>R614</t>
  </si>
  <si>
    <t>ORD-00609</t>
  </si>
  <si>
    <t>R615</t>
  </si>
  <si>
    <t>ORD-00610</t>
  </si>
  <si>
    <t>R616</t>
  </si>
  <si>
    <t>ORD-00611</t>
  </si>
  <si>
    <t>R617</t>
  </si>
  <si>
    <t>ORD-00612</t>
  </si>
  <si>
    <t>R618</t>
  </si>
  <si>
    <t>ORD-00613</t>
  </si>
  <si>
    <t>R619</t>
  </si>
  <si>
    <t>ORD-00614</t>
  </si>
  <si>
    <t>CUST-0063</t>
  </si>
  <si>
    <t>R620</t>
  </si>
  <si>
    <t>ORD-00615</t>
  </si>
  <si>
    <t>R621</t>
  </si>
  <si>
    <t>ORD-00616</t>
  </si>
  <si>
    <t>R622</t>
  </si>
  <si>
    <t>ORD-00617</t>
  </si>
  <si>
    <t>R623</t>
  </si>
  <si>
    <t>ORD-00618</t>
  </si>
  <si>
    <t>R624</t>
  </si>
  <si>
    <t>ORD-00619</t>
  </si>
  <si>
    <t>R625</t>
  </si>
  <si>
    <t>ORD-00620</t>
  </si>
  <si>
    <t>R626</t>
  </si>
  <si>
    <t>ORD-00621</t>
  </si>
  <si>
    <t>R627</t>
  </si>
  <si>
    <t>ORD-00622</t>
  </si>
  <si>
    <t>R628</t>
  </si>
  <si>
    <t>ORD-00623</t>
  </si>
  <si>
    <t>R629</t>
  </si>
  <si>
    <t>ORD-00624</t>
  </si>
  <si>
    <t>R630</t>
  </si>
  <si>
    <t>ORD-00625</t>
  </si>
  <si>
    <t>R631</t>
  </si>
  <si>
    <t>ORD-00626</t>
  </si>
  <si>
    <t>R632</t>
  </si>
  <si>
    <t>ORD-00627</t>
  </si>
  <si>
    <t>R633</t>
  </si>
  <si>
    <t>ORD-00628</t>
  </si>
  <si>
    <t>R634</t>
  </si>
  <si>
    <t>ORD-00629</t>
  </si>
  <si>
    <t>R635</t>
  </si>
  <si>
    <t>ORD-00630</t>
  </si>
  <si>
    <t>R636</t>
  </si>
  <si>
    <t>ORD-00631</t>
  </si>
  <si>
    <t>R637</t>
  </si>
  <si>
    <t>ORD-00632</t>
  </si>
  <si>
    <t>R638</t>
  </si>
  <si>
    <t>ORD-00633</t>
  </si>
  <si>
    <t>R639</t>
  </si>
  <si>
    <t>ORD-00634</t>
  </si>
  <si>
    <t>R640</t>
  </si>
  <si>
    <t>ORD-00635</t>
  </si>
  <si>
    <t>R641</t>
  </si>
  <si>
    <t>ORD-00636</t>
  </si>
  <si>
    <t>R642</t>
  </si>
  <si>
    <t>ORD-00637</t>
  </si>
  <si>
    <t>CUST-0158</t>
  </si>
  <si>
    <t>R643</t>
  </si>
  <si>
    <t>ORD-00638</t>
  </si>
  <si>
    <t>R644</t>
  </si>
  <si>
    <t>ORD-00639</t>
  </si>
  <si>
    <t>R645</t>
  </si>
  <si>
    <t>ORD-00640</t>
  </si>
  <si>
    <t>R646</t>
  </si>
  <si>
    <t>ORD-00641</t>
  </si>
  <si>
    <t>R647</t>
  </si>
  <si>
    <t>ORD-00642</t>
  </si>
  <si>
    <t>R648</t>
  </si>
  <si>
    <t>ORD-00643</t>
  </si>
  <si>
    <t>R649</t>
  </si>
  <si>
    <t>ORD-00644</t>
  </si>
  <si>
    <t>CUST-0083</t>
  </si>
  <si>
    <t>R650</t>
  </si>
  <si>
    <t>ORD-00645</t>
  </si>
  <si>
    <t>R651</t>
  </si>
  <si>
    <t>ORD-00646</t>
  </si>
  <si>
    <t>R652</t>
  </si>
  <si>
    <t>ORD-00647</t>
  </si>
  <si>
    <t>R653</t>
  </si>
  <si>
    <t>ORD-00648</t>
  </si>
  <si>
    <t>R654</t>
  </si>
  <si>
    <t>ORD-00649</t>
  </si>
  <si>
    <t>R655</t>
  </si>
  <si>
    <t>ORD-00650</t>
  </si>
  <si>
    <t>R656</t>
  </si>
  <si>
    <t>ORD-00651</t>
  </si>
  <si>
    <t>R657</t>
  </si>
  <si>
    <t>DELHI</t>
  </si>
  <si>
    <t>ORD-00652</t>
  </si>
  <si>
    <t>R658</t>
  </si>
  <si>
    <t>ORD-00653</t>
  </si>
  <si>
    <t>R659</t>
  </si>
  <si>
    <t>ORD-00654</t>
  </si>
  <si>
    <t>R660</t>
  </si>
  <si>
    <t>ORD-00655</t>
  </si>
  <si>
    <t>R661</t>
  </si>
  <si>
    <t>ORD-00656</t>
  </si>
  <si>
    <t>R662</t>
  </si>
  <si>
    <t>ORD-00657</t>
  </si>
  <si>
    <t>R663</t>
  </si>
  <si>
    <t>ORD-00658</t>
  </si>
  <si>
    <t>R664</t>
  </si>
  <si>
    <t>ORD-00659</t>
  </si>
  <si>
    <t>CUST-0257</t>
  </si>
  <si>
    <t>R665</t>
  </si>
  <si>
    <t>ORD-00660</t>
  </si>
  <si>
    <t>R666</t>
  </si>
  <si>
    <t>ORD-00661</t>
  </si>
  <si>
    <t>R667</t>
  </si>
  <si>
    <t>ORD-00662</t>
  </si>
  <si>
    <t>R668</t>
  </si>
  <si>
    <t>ORD-00663</t>
  </si>
  <si>
    <t>R669</t>
  </si>
  <si>
    <t>ORD-00664</t>
  </si>
  <si>
    <t>R670</t>
  </si>
  <si>
    <t>ORD-00665</t>
  </si>
  <si>
    <t>R671</t>
  </si>
  <si>
    <t>ORD-00666</t>
  </si>
  <si>
    <t>R672</t>
  </si>
  <si>
    <t>ORD-00667</t>
  </si>
  <si>
    <t>R673</t>
  </si>
  <si>
    <t>ORD-00668</t>
  </si>
  <si>
    <t>R674</t>
  </si>
  <si>
    <t>ORD-00669</t>
  </si>
  <si>
    <t>R675</t>
  </si>
  <si>
    <t>ORD-00670</t>
  </si>
  <si>
    <t>R676</t>
  </si>
  <si>
    <t>ORD-00671</t>
  </si>
  <si>
    <t>R677</t>
  </si>
  <si>
    <t>ORD-00672</t>
  </si>
  <si>
    <t>R678</t>
  </si>
  <si>
    <t>ORD-00673</t>
  </si>
  <si>
    <t>R679</t>
  </si>
  <si>
    <t>ORD-00674</t>
  </si>
  <si>
    <t>R680</t>
  </si>
  <si>
    <t>ORD-00675</t>
  </si>
  <si>
    <t>R681</t>
  </si>
  <si>
    <t>ORD-00676</t>
  </si>
  <si>
    <t>R682</t>
  </si>
  <si>
    <t>ORD-00677</t>
  </si>
  <si>
    <t>R683</t>
  </si>
  <si>
    <t>ORD-00678</t>
  </si>
  <si>
    <t>R684</t>
  </si>
  <si>
    <t>ORD-00679</t>
  </si>
  <si>
    <t>R685</t>
  </si>
  <si>
    <t>ORD-00680</t>
  </si>
  <si>
    <t>R686</t>
  </si>
  <si>
    <t>ORD-00681</t>
  </si>
  <si>
    <t>R687</t>
  </si>
  <si>
    <t>ORD-00682</t>
  </si>
  <si>
    <t>R688</t>
  </si>
  <si>
    <t>ORD-00683</t>
  </si>
  <si>
    <t>R689</t>
  </si>
  <si>
    <t>ORD-00684</t>
  </si>
  <si>
    <t>R690</t>
  </si>
  <si>
    <t>ORD-00685</t>
  </si>
  <si>
    <t>R691</t>
  </si>
  <si>
    <t>ORD-00686</t>
  </si>
  <si>
    <t>R692</t>
  </si>
  <si>
    <t>ORD-00687</t>
  </si>
  <si>
    <t>R693</t>
  </si>
  <si>
    <t>ORD-00688</t>
  </si>
  <si>
    <t>R694</t>
  </si>
  <si>
    <t>ORD-00689</t>
  </si>
  <si>
    <t>R695</t>
  </si>
  <si>
    <t>ORD-00690</t>
  </si>
  <si>
    <t>R696</t>
  </si>
  <si>
    <t>ORD-00691</t>
  </si>
  <si>
    <t>R697</t>
  </si>
  <si>
    <t>ORD-00692</t>
  </si>
  <si>
    <t>R698</t>
  </si>
  <si>
    <t>ORD-00693</t>
  </si>
  <si>
    <t>R699</t>
  </si>
  <si>
    <t>ORD-00694</t>
  </si>
  <si>
    <t>R700</t>
  </si>
  <si>
    <t>ORD-00695</t>
  </si>
  <si>
    <t>R701</t>
  </si>
  <si>
    <t>ORD-00696</t>
  </si>
  <si>
    <t>R702</t>
  </si>
  <si>
    <t>ORD-00697</t>
  </si>
  <si>
    <t>R703</t>
  </si>
  <si>
    <t>ORD-00698</t>
  </si>
  <si>
    <t>R704</t>
  </si>
  <si>
    <t>ORD-00699</t>
  </si>
  <si>
    <t>R705</t>
  </si>
  <si>
    <t>ORD-00700</t>
  </si>
  <si>
    <t>R706</t>
  </si>
  <si>
    <t>ORD-01185</t>
  </si>
  <si>
    <t>R707</t>
  </si>
  <si>
    <t>ORD-00702</t>
  </si>
  <si>
    <t>R708</t>
  </si>
  <si>
    <t>ORD-00703</t>
  </si>
  <si>
    <t>R709</t>
  </si>
  <si>
    <t>ORD-00704</t>
  </si>
  <si>
    <t>R710</t>
  </si>
  <si>
    <t>ORD-00705</t>
  </si>
  <si>
    <t>R711</t>
  </si>
  <si>
    <t>ORD-00706</t>
  </si>
  <si>
    <t>R712</t>
  </si>
  <si>
    <t>ORD-00707</t>
  </si>
  <si>
    <t>R713</t>
  </si>
  <si>
    <t>ORD-00708</t>
  </si>
  <si>
    <t>R714</t>
  </si>
  <si>
    <t>ORD-00709</t>
  </si>
  <si>
    <t>CUST-0060</t>
  </si>
  <si>
    <t>R715</t>
  </si>
  <si>
    <t>ORD-00710</t>
  </si>
  <si>
    <t>R716</t>
  </si>
  <si>
    <t>ORD-00711</t>
  </si>
  <si>
    <t>R717</t>
  </si>
  <si>
    <t>ORD-00712</t>
  </si>
  <si>
    <t>R718</t>
  </si>
  <si>
    <t>ORD-00713</t>
  </si>
  <si>
    <t>R719</t>
  </si>
  <si>
    <t>ORD-00714</t>
  </si>
  <si>
    <t>R720</t>
  </si>
  <si>
    <t>ORD-00715</t>
  </si>
  <si>
    <t>R721</t>
  </si>
  <si>
    <t>ORD-00716</t>
  </si>
  <si>
    <t>CUST-0065</t>
  </si>
  <si>
    <t>R722</t>
  </si>
  <si>
    <t>ORD-00717</t>
  </si>
  <si>
    <t>R723</t>
  </si>
  <si>
    <t>ORD-00718</t>
  </si>
  <si>
    <t>R724</t>
  </si>
  <si>
    <t>ORD-00719</t>
  </si>
  <si>
    <t>R725</t>
  </si>
  <si>
    <t>ORD-00720</t>
  </si>
  <si>
    <t>R726</t>
  </si>
  <si>
    <t>ORD-00721</t>
  </si>
  <si>
    <t>R727</t>
  </si>
  <si>
    <t>ORD-00722</t>
  </si>
  <si>
    <t>R728</t>
  </si>
  <si>
    <t>ORD-00723</t>
  </si>
  <si>
    <t>R729</t>
  </si>
  <si>
    <t>ORD-00724</t>
  </si>
  <si>
    <t>R730</t>
  </si>
  <si>
    <t>ORD-00725</t>
  </si>
  <si>
    <t>R731</t>
  </si>
  <si>
    <t>ORD-00726</t>
  </si>
  <si>
    <t>CUST-0211</t>
  </si>
  <si>
    <t>R732</t>
  </si>
  <si>
    <t>ORD-00727</t>
  </si>
  <si>
    <t>CUST-0229</t>
  </si>
  <si>
    <t>R733</t>
  </si>
  <si>
    <t>ORD-00728</t>
  </si>
  <si>
    <t>R734</t>
  </si>
  <si>
    <t>ORD-00729</t>
  </si>
  <si>
    <t>R735</t>
  </si>
  <si>
    <t>ORD-00730</t>
  </si>
  <si>
    <t>R736</t>
  </si>
  <si>
    <t>ORD-00731</t>
  </si>
  <si>
    <t>R737</t>
  </si>
  <si>
    <t>ORD-00732</t>
  </si>
  <si>
    <t>R738</t>
  </si>
  <si>
    <t>ORD-00733</t>
  </si>
  <si>
    <t>CUST-9846</t>
  </si>
  <si>
    <t>R739</t>
  </si>
  <si>
    <t>ORD-00734</t>
  </si>
  <si>
    <t>R740</t>
  </si>
  <si>
    <t>ORD-00735</t>
  </si>
  <si>
    <t>R741</t>
  </si>
  <si>
    <t>ORD-00736</t>
  </si>
  <si>
    <t>R742</t>
  </si>
  <si>
    <t>ORD-00737</t>
  </si>
  <si>
    <t>R743</t>
  </si>
  <si>
    <t>ORD-00738</t>
  </si>
  <si>
    <t>R744</t>
  </si>
  <si>
    <t>ORD-00739</t>
  </si>
  <si>
    <t>R745</t>
  </si>
  <si>
    <t>ORD-00740</t>
  </si>
  <si>
    <t>R746</t>
  </si>
  <si>
    <t>ORD-00741</t>
  </si>
  <si>
    <t>R747</t>
  </si>
  <si>
    <t>ORD-00742</t>
  </si>
  <si>
    <t>R748</t>
  </si>
  <si>
    <t>ORD-00743</t>
  </si>
  <si>
    <t>R749</t>
  </si>
  <si>
    <t>ORD-00744</t>
  </si>
  <si>
    <t>R750</t>
  </si>
  <si>
    <t>ORD-00745</t>
  </si>
  <si>
    <t>R751</t>
  </si>
  <si>
    <t>ORD-00746</t>
  </si>
  <si>
    <t>R752</t>
  </si>
  <si>
    <t>ORD-00747</t>
  </si>
  <si>
    <t>R753</t>
  </si>
  <si>
    <t>ORD-00748</t>
  </si>
  <si>
    <t>R754</t>
  </si>
  <si>
    <t>ORD-00749</t>
  </si>
  <si>
    <t>CUST-0122</t>
  </si>
  <si>
    <t>R755</t>
  </si>
  <si>
    <t>ORD-00750</t>
  </si>
  <si>
    <t>R756</t>
  </si>
  <si>
    <t>ORD-00751</t>
  </si>
  <si>
    <t>R757</t>
  </si>
  <si>
    <t>ORD-00752</t>
  </si>
  <si>
    <t>R758</t>
  </si>
  <si>
    <t>ORD-00753</t>
  </si>
  <si>
    <t>R759</t>
  </si>
  <si>
    <t>ORD-00754</t>
  </si>
  <si>
    <t>R760</t>
  </si>
  <si>
    <t>ORD-00755</t>
  </si>
  <si>
    <t>R761</t>
  </si>
  <si>
    <t>ORD-00756</t>
  </si>
  <si>
    <t>R762</t>
  </si>
  <si>
    <t>ORD-00757</t>
  </si>
  <si>
    <t>R763</t>
  </si>
  <si>
    <t>ORD-00758</t>
  </si>
  <si>
    <t>R764</t>
  </si>
  <si>
    <t>ORD-00759</t>
  </si>
  <si>
    <t>R765</t>
  </si>
  <si>
    <t>ORD-00760</t>
  </si>
  <si>
    <t>R766</t>
  </si>
  <si>
    <t>ORD-00761</t>
  </si>
  <si>
    <t>R767</t>
  </si>
  <si>
    <t>ORD-00762</t>
  </si>
  <si>
    <t>CUST-0109</t>
  </si>
  <si>
    <t>R768</t>
  </si>
  <si>
    <t>ORD-00763</t>
  </si>
  <si>
    <t>R769</t>
  </si>
  <si>
    <t>ORD-00764</t>
  </si>
  <si>
    <t>CUST-0120</t>
  </si>
  <si>
    <t>R770</t>
  </si>
  <si>
    <t>ORD-00765</t>
  </si>
  <si>
    <t>R771</t>
  </si>
  <si>
    <t>ORD-00766</t>
  </si>
  <si>
    <t>R772</t>
  </si>
  <si>
    <t>ORD-00767</t>
  </si>
  <si>
    <t>R773</t>
  </si>
  <si>
    <t>ORD-00768</t>
  </si>
  <si>
    <t>R774</t>
  </si>
  <si>
    <t>ORD-00769</t>
  </si>
  <si>
    <t>R775</t>
  </si>
  <si>
    <t>ORD-00770</t>
  </si>
  <si>
    <t>R776</t>
  </si>
  <si>
    <t>ORD-00771</t>
  </si>
  <si>
    <t>R777</t>
  </si>
  <si>
    <t>ORD-00772</t>
  </si>
  <si>
    <t>R778</t>
  </si>
  <si>
    <t>ORD-00773</t>
  </si>
  <si>
    <t>R779</t>
  </si>
  <si>
    <t>ORD-00774</t>
  </si>
  <si>
    <t>R780</t>
  </si>
  <si>
    <t>ORD-00775</t>
  </si>
  <si>
    <t>R781</t>
  </si>
  <si>
    <t>ORD-00776</t>
  </si>
  <si>
    <t>R782</t>
  </si>
  <si>
    <t>ORD-00777</t>
  </si>
  <si>
    <t>R783</t>
  </si>
  <si>
    <t>ORD-00778</t>
  </si>
  <si>
    <t>R784</t>
  </si>
  <si>
    <t>ORD-00779</t>
  </si>
  <si>
    <t>CUST-0021</t>
  </si>
  <si>
    <t>R785</t>
  </si>
  <si>
    <t>ORD-00780</t>
  </si>
  <si>
    <t>R786</t>
  </si>
  <si>
    <t>ORD-00781</t>
  </si>
  <si>
    <t>R787</t>
  </si>
  <si>
    <t>ORD-00782</t>
  </si>
  <si>
    <t>R788</t>
  </si>
  <si>
    <t>ORD-00783</t>
  </si>
  <si>
    <t>R789</t>
  </si>
  <si>
    <t>ORD-00784</t>
  </si>
  <si>
    <t>R790</t>
  </si>
  <si>
    <t>ORD-00785</t>
  </si>
  <si>
    <t>R791</t>
  </si>
  <si>
    <t>ORD-00786</t>
  </si>
  <si>
    <t>R792</t>
  </si>
  <si>
    <t>ORD-00787</t>
  </si>
  <si>
    <t>R793</t>
  </si>
  <si>
    <t>ORD-00788</t>
  </si>
  <si>
    <t>R794</t>
  </si>
  <si>
    <t>ORD-00789</t>
  </si>
  <si>
    <t>CUST-0188</t>
  </si>
  <si>
    <t>R795</t>
  </si>
  <si>
    <t>ORD-00790</t>
  </si>
  <si>
    <t>R796</t>
  </si>
  <si>
    <t>ORD-00791</t>
  </si>
  <si>
    <t>R797</t>
  </si>
  <si>
    <t>ORD-00792</t>
  </si>
  <si>
    <t>R798</t>
  </si>
  <si>
    <t>ORD-00793</t>
  </si>
  <si>
    <t>CUST-9568</t>
  </si>
  <si>
    <t>R799</t>
  </si>
  <si>
    <t>ORD-00794</t>
  </si>
  <si>
    <t>R800</t>
  </si>
  <si>
    <t>ORD-00795</t>
  </si>
  <si>
    <t>R801</t>
  </si>
  <si>
    <t>ORD-00796</t>
  </si>
  <si>
    <t>R802</t>
  </si>
  <si>
    <t>ORD-00797</t>
  </si>
  <si>
    <t>R803</t>
  </si>
  <si>
    <t>ORD-00798</t>
  </si>
  <si>
    <t>R804</t>
  </si>
  <si>
    <t>ORD-00799</t>
  </si>
  <si>
    <t>R805</t>
  </si>
  <si>
    <t>ORD-00800</t>
  </si>
  <si>
    <t>R806</t>
  </si>
  <si>
    <t>ORD-00801</t>
  </si>
  <si>
    <t>R807</t>
  </si>
  <si>
    <t>ORD-00802</t>
  </si>
  <si>
    <t>R808</t>
  </si>
  <si>
    <t>ORD-00803</t>
  </si>
  <si>
    <t>R809</t>
  </si>
  <si>
    <t>ORD-00804</t>
  </si>
  <si>
    <t>R810</t>
  </si>
  <si>
    <t>ORD-00805</t>
  </si>
  <si>
    <t>R811</t>
  </si>
  <si>
    <t>ORD-00806</t>
  </si>
  <si>
    <t>R812</t>
  </si>
  <si>
    <t>ORD-00807</t>
  </si>
  <si>
    <t>R813</t>
  </si>
  <si>
    <t>ORD-00808</t>
  </si>
  <si>
    <t>R814</t>
  </si>
  <si>
    <t>ORD-00809</t>
  </si>
  <si>
    <t>R815</t>
  </si>
  <si>
    <t>ORD-00810</t>
  </si>
  <si>
    <t>R816</t>
  </si>
  <si>
    <t>ORD-00811</t>
  </si>
  <si>
    <t>R817</t>
  </si>
  <si>
    <t>ORD-00812</t>
  </si>
  <si>
    <t>R818</t>
  </si>
  <si>
    <t>ORD-00813</t>
  </si>
  <si>
    <t>R819</t>
  </si>
  <si>
    <t>ORD-00814</t>
  </si>
  <si>
    <t>R820</t>
  </si>
  <si>
    <t>ORD-01052</t>
  </si>
  <si>
    <t>R821</t>
  </si>
  <si>
    <t>ORD-00816</t>
  </si>
  <si>
    <t>R822</t>
  </si>
  <si>
    <t>ORD-01136</t>
  </si>
  <si>
    <t>R823</t>
  </si>
  <si>
    <t>ORD-00818</t>
  </si>
  <si>
    <t>R824</t>
  </si>
  <si>
    <t>ORD-00819</t>
  </si>
  <si>
    <t>R825</t>
  </si>
  <si>
    <t>ORD-00820</t>
  </si>
  <si>
    <t>CUST-0023</t>
  </si>
  <si>
    <t>R826</t>
  </si>
  <si>
    <t>ORD-00821</t>
  </si>
  <si>
    <t>R827</t>
  </si>
  <si>
    <t>ORD-00822</t>
  </si>
  <si>
    <t>CUST-0300</t>
  </si>
  <si>
    <t>R828</t>
  </si>
  <si>
    <t>ORD-00823</t>
  </si>
  <si>
    <t>CUST-9578</t>
  </si>
  <si>
    <t>R829</t>
  </si>
  <si>
    <t>ORD-00824</t>
  </si>
  <si>
    <t>R830</t>
  </si>
  <si>
    <t>ORD-00825</t>
  </si>
  <si>
    <t>R831</t>
  </si>
  <si>
    <t>ORD-00826</t>
  </si>
  <si>
    <t>R832</t>
  </si>
  <si>
    <t>ORD-00827</t>
  </si>
  <si>
    <t>R833</t>
  </si>
  <si>
    <t>ORD-00828</t>
  </si>
  <si>
    <t>R834</t>
  </si>
  <si>
    <t>ORD-00829</t>
  </si>
  <si>
    <t>R835</t>
  </si>
  <si>
    <t>ORD-00830</t>
  </si>
  <si>
    <t>R836</t>
  </si>
  <si>
    <t>ORD-00831</t>
  </si>
  <si>
    <t>CUST-0105</t>
  </si>
  <si>
    <t>R837</t>
  </si>
  <si>
    <t>ORD-00832</t>
  </si>
  <si>
    <t>R838</t>
  </si>
  <si>
    <t>ORD-00833</t>
  </si>
  <si>
    <t>R839</t>
  </si>
  <si>
    <t>ORD-00834</t>
  </si>
  <si>
    <t>R840</t>
  </si>
  <si>
    <t>ORD-00835</t>
  </si>
  <si>
    <t>R841</t>
  </si>
  <si>
    <t>ORD-00836</t>
  </si>
  <si>
    <t>R842</t>
  </si>
  <si>
    <t>ORD-00837</t>
  </si>
  <si>
    <t>R843</t>
  </si>
  <si>
    <t>ORD-00838</t>
  </si>
  <si>
    <t>R844</t>
  </si>
  <si>
    <t>ORD-00839</t>
  </si>
  <si>
    <t>R845</t>
  </si>
  <si>
    <t>ORD-00840</t>
  </si>
  <si>
    <t>R846</t>
  </si>
  <si>
    <t>ORD-00841</t>
  </si>
  <si>
    <t>R847</t>
  </si>
  <si>
    <t>ORD-00842</t>
  </si>
  <si>
    <t>R848</t>
  </si>
  <si>
    <t>ORD-00843</t>
  </si>
  <si>
    <t>R849</t>
  </si>
  <si>
    <t>ORD-00844</t>
  </si>
  <si>
    <t>R850</t>
  </si>
  <si>
    <t>ORD-00845</t>
  </si>
  <si>
    <t>R851</t>
  </si>
  <si>
    <t>ORD-00846</t>
  </si>
  <si>
    <t>R852</t>
  </si>
  <si>
    <t>ORD-00847</t>
  </si>
  <si>
    <t>R853</t>
  </si>
  <si>
    <t>ORD-00848</t>
  </si>
  <si>
    <t>R854</t>
  </si>
  <si>
    <t>ORD-00849</t>
  </si>
  <si>
    <t>R855</t>
  </si>
  <si>
    <t>ORD-00850</t>
  </si>
  <si>
    <t>R856</t>
  </si>
  <si>
    <t>ORD-00851</t>
  </si>
  <si>
    <t>R857</t>
  </si>
  <si>
    <t>ORD-00852</t>
  </si>
  <si>
    <t>R858</t>
  </si>
  <si>
    <t>ORD-00853</t>
  </si>
  <si>
    <t>R859</t>
  </si>
  <si>
    <t>ORD-00854</t>
  </si>
  <si>
    <t>R860</t>
  </si>
  <si>
    <t>ORD-00855</t>
  </si>
  <si>
    <t>R861</t>
  </si>
  <si>
    <t>ORD-00856</t>
  </si>
  <si>
    <t>R862</t>
  </si>
  <si>
    <t>ORD-00857</t>
  </si>
  <si>
    <t>R863</t>
  </si>
  <si>
    <t>ORD-00858</t>
  </si>
  <si>
    <t>R864</t>
  </si>
  <si>
    <t>ORD-00859</t>
  </si>
  <si>
    <t>R865</t>
  </si>
  <si>
    <t>ORD-00860</t>
  </si>
  <si>
    <t>R866</t>
  </si>
  <si>
    <t>ORD-00861</t>
  </si>
  <si>
    <t>R867</t>
  </si>
  <si>
    <t>ORD-00862</t>
  </si>
  <si>
    <t>R868</t>
  </si>
  <si>
    <t>ORD-00863</t>
  </si>
  <si>
    <t>R869</t>
  </si>
  <si>
    <t>ORD-00864</t>
  </si>
  <si>
    <t>R870</t>
  </si>
  <si>
    <t>ORD-00865</t>
  </si>
  <si>
    <t>R871</t>
  </si>
  <si>
    <t>ORD-00866</t>
  </si>
  <si>
    <t>R872</t>
  </si>
  <si>
    <t>ORD-00867</t>
  </si>
  <si>
    <t>R873</t>
  </si>
  <si>
    <t>ORD-00868</t>
  </si>
  <si>
    <t>R874</t>
  </si>
  <si>
    <t>ORD-00869</t>
  </si>
  <si>
    <t>R875</t>
  </si>
  <si>
    <t>ORD-00870</t>
  </si>
  <si>
    <t>CUST-9833</t>
  </si>
  <si>
    <t>R876</t>
  </si>
  <si>
    <t>ORD-00871</t>
  </si>
  <si>
    <t>CUST-0076</t>
  </si>
  <si>
    <t>R877</t>
  </si>
  <si>
    <t>ORD-00872</t>
  </si>
  <si>
    <t>R878</t>
  </si>
  <si>
    <t>ORD-00873</t>
  </si>
  <si>
    <t>R879</t>
  </si>
  <si>
    <t>ORD-00874</t>
  </si>
  <si>
    <t>R880</t>
  </si>
  <si>
    <t>ORD-00875</t>
  </si>
  <si>
    <t>R881</t>
  </si>
  <si>
    <t>ORD-00876</t>
  </si>
  <si>
    <t>R882</t>
  </si>
  <si>
    <t>ORD-00877</t>
  </si>
  <si>
    <t>R883</t>
  </si>
  <si>
    <t>ORD-00878</t>
  </si>
  <si>
    <t>CUST-0049</t>
  </si>
  <si>
    <t>R884</t>
  </si>
  <si>
    <t>ORD-00879</t>
  </si>
  <si>
    <t>R885</t>
  </si>
  <si>
    <t>ORD-00880</t>
  </si>
  <si>
    <t>CUST-0220</t>
  </si>
  <si>
    <t>R886</t>
  </si>
  <si>
    <t>R887</t>
  </si>
  <si>
    <t>ORD-00882</t>
  </si>
  <si>
    <t>R888</t>
  </si>
  <si>
    <t>ORD-00883</t>
  </si>
  <si>
    <t>R889</t>
  </si>
  <si>
    <t>ORD-00884</t>
  </si>
  <si>
    <t>R890</t>
  </si>
  <si>
    <t>ORD-00885</t>
  </si>
  <si>
    <t>R891</t>
  </si>
  <si>
    <t>ORD-00886</t>
  </si>
  <si>
    <t>R892</t>
  </si>
  <si>
    <t>ORD-00887</t>
  </si>
  <si>
    <t>R893</t>
  </si>
  <si>
    <t>ORD-00888</t>
  </si>
  <si>
    <t>R894</t>
  </si>
  <si>
    <t>ORD-00889</t>
  </si>
  <si>
    <t>R895</t>
  </si>
  <si>
    <t>ORD-00890</t>
  </si>
  <si>
    <t>R896</t>
  </si>
  <si>
    <t>ORD-00891</t>
  </si>
  <si>
    <t>R897</t>
  </si>
  <si>
    <t>ORD-00892</t>
  </si>
  <si>
    <t>R898</t>
  </si>
  <si>
    <t>ORD-00893</t>
  </si>
  <si>
    <t>R899</t>
  </si>
  <si>
    <t>ORD-00894</t>
  </si>
  <si>
    <t>R900</t>
  </si>
  <si>
    <t>ORD-00895</t>
  </si>
  <si>
    <t>R901</t>
  </si>
  <si>
    <t>ORD-00896</t>
  </si>
  <si>
    <t>R902</t>
  </si>
  <si>
    <t>R903</t>
  </si>
  <si>
    <t>ORD-00898</t>
  </si>
  <si>
    <t>CUST-9607</t>
  </si>
  <si>
    <t>R904</t>
  </si>
  <si>
    <t>ORD-00899</t>
  </si>
  <si>
    <t>R905</t>
  </si>
  <si>
    <t>ORD-00900</t>
  </si>
  <si>
    <t>R906</t>
  </si>
  <si>
    <t>ORD-00901</t>
  </si>
  <si>
    <t>R907</t>
  </si>
  <si>
    <t>ORD-00902</t>
  </si>
  <si>
    <t>R908</t>
  </si>
  <si>
    <t>ORD-00903</t>
  </si>
  <si>
    <t>R909</t>
  </si>
  <si>
    <t>ORD-00904</t>
  </si>
  <si>
    <t>R910</t>
  </si>
  <si>
    <t>ORD-00905</t>
  </si>
  <si>
    <t>R911</t>
  </si>
  <si>
    <t>ORD-00906</t>
  </si>
  <si>
    <t>R912</t>
  </si>
  <si>
    <t>ORD-00907</t>
  </si>
  <si>
    <t>R913</t>
  </si>
  <si>
    <t>ORD-00908</t>
  </si>
  <si>
    <t>R914</t>
  </si>
  <si>
    <t>ORD-00909</t>
  </si>
  <si>
    <t>R915</t>
  </si>
  <si>
    <t>ORD-00910</t>
  </si>
  <si>
    <t>R916</t>
  </si>
  <si>
    <t>ORD-00911</t>
  </si>
  <si>
    <t>R917</t>
  </si>
  <si>
    <t>ORD-00912</t>
  </si>
  <si>
    <t>R918</t>
  </si>
  <si>
    <t>ORD-00913</t>
  </si>
  <si>
    <t>R919</t>
  </si>
  <si>
    <t>ORD-00914</t>
  </si>
  <si>
    <t>R920</t>
  </si>
  <si>
    <t>ORD-00915</t>
  </si>
  <si>
    <t>R921</t>
  </si>
  <si>
    <t>ORD-00916</t>
  </si>
  <si>
    <t>R922</t>
  </si>
  <si>
    <t>ORD-00917</t>
  </si>
  <si>
    <t>R923</t>
  </si>
  <si>
    <t>ORD-00918</t>
  </si>
  <si>
    <t>R924</t>
  </si>
  <si>
    <t>ORD-00919</t>
  </si>
  <si>
    <t>R925</t>
  </si>
  <si>
    <t>ORD-00920</t>
  </si>
  <si>
    <t>R926</t>
  </si>
  <si>
    <t>ORD-00921</t>
  </si>
  <si>
    <t>R927</t>
  </si>
  <si>
    <t>ORD-00922</t>
  </si>
  <si>
    <t>R928</t>
  </si>
  <si>
    <t>ORD-00923</t>
  </si>
  <si>
    <t>R929</t>
  </si>
  <si>
    <t>ORD-00924</t>
  </si>
  <si>
    <t>R930</t>
  </si>
  <si>
    <t>ORD-00925</t>
  </si>
  <si>
    <t>R931</t>
  </si>
  <si>
    <t>ORD-00926</t>
  </si>
  <si>
    <t>R932</t>
  </si>
  <si>
    <t>ORD-00927</t>
  </si>
  <si>
    <t>R933</t>
  </si>
  <si>
    <t>ORD-00928</t>
  </si>
  <si>
    <t>R934</t>
  </si>
  <si>
    <t>ORD-00929</t>
  </si>
  <si>
    <t>R935</t>
  </si>
  <si>
    <t>ORD-00930</t>
  </si>
  <si>
    <t>R936</t>
  </si>
  <si>
    <t>ORD-00931</t>
  </si>
  <si>
    <t>R937</t>
  </si>
  <si>
    <t>ORD-00932</t>
  </si>
  <si>
    <t>R938</t>
  </si>
  <si>
    <t>ORD-00933</t>
  </si>
  <si>
    <t>R939</t>
  </si>
  <si>
    <t>ORD-00934</t>
  </si>
  <si>
    <t>R940</t>
  </si>
  <si>
    <t>ORD-00935</t>
  </si>
  <si>
    <t>R941</t>
  </si>
  <si>
    <t>ORD-00936</t>
  </si>
  <si>
    <t>R942</t>
  </si>
  <si>
    <t>ORD-00937</t>
  </si>
  <si>
    <t>R943</t>
  </si>
  <si>
    <t>ORD-00938</t>
  </si>
  <si>
    <t>R944</t>
  </si>
  <si>
    <t>ORD-00939</t>
  </si>
  <si>
    <t>R945</t>
  </si>
  <si>
    <t>ORD-00940</t>
  </si>
  <si>
    <t>R946</t>
  </si>
  <si>
    <t>ORD-00941</t>
  </si>
  <si>
    <t>R947</t>
  </si>
  <si>
    <t>ORD-00942</t>
  </si>
  <si>
    <t>R948</t>
  </si>
  <si>
    <t>ORD-00943</t>
  </si>
  <si>
    <t>R949</t>
  </si>
  <si>
    <t>ORD-00944</t>
  </si>
  <si>
    <t>R950</t>
  </si>
  <si>
    <t>ORD-00945</t>
  </si>
  <si>
    <t>R951</t>
  </si>
  <si>
    <t>ORD-00946</t>
  </si>
  <si>
    <t>R952</t>
  </si>
  <si>
    <t>ORD-00947</t>
  </si>
  <si>
    <t>R953</t>
  </si>
  <si>
    <t>ORD-00948</t>
  </si>
  <si>
    <t>R954</t>
  </si>
  <si>
    <t>ORD-00949</t>
  </si>
  <si>
    <t>R955</t>
  </si>
  <si>
    <t>ORD-00950</t>
  </si>
  <si>
    <t>R956</t>
  </si>
  <si>
    <t xml:space="preserve"> Delhi </t>
  </si>
  <si>
    <t>ORD-00951</t>
  </si>
  <si>
    <t>R957</t>
  </si>
  <si>
    <t>ORD-00952</t>
  </si>
  <si>
    <t>R958</t>
  </si>
  <si>
    <t>ORD-00953</t>
  </si>
  <si>
    <t>R959</t>
  </si>
  <si>
    <t>ORD-00954</t>
  </si>
  <si>
    <t>R960</t>
  </si>
  <si>
    <t>ORD-00955</t>
  </si>
  <si>
    <t>R961</t>
  </si>
  <si>
    <t>ORD-00956</t>
  </si>
  <si>
    <t>R962</t>
  </si>
  <si>
    <t>ORD-00957</t>
  </si>
  <si>
    <t>R963</t>
  </si>
  <si>
    <t>ORD-00958</t>
  </si>
  <si>
    <t>R964</t>
  </si>
  <si>
    <t>ORD-00959</t>
  </si>
  <si>
    <t>R965</t>
  </si>
  <si>
    <t>ORD-00960</t>
  </si>
  <si>
    <t>R966</t>
  </si>
  <si>
    <t>ORD-00961</t>
  </si>
  <si>
    <t>R967</t>
  </si>
  <si>
    <t>ORD-00962</t>
  </si>
  <si>
    <t>R968</t>
  </si>
  <si>
    <t>ORD-00963</t>
  </si>
  <si>
    <t>R969</t>
  </si>
  <si>
    <t>ORD-00964</t>
  </si>
  <si>
    <t>R970</t>
  </si>
  <si>
    <t>ORD-00965</t>
  </si>
  <si>
    <t>R971</t>
  </si>
  <si>
    <t>ORD-00966</t>
  </si>
  <si>
    <t>R972</t>
  </si>
  <si>
    <t>ORD-00967</t>
  </si>
  <si>
    <t>R973</t>
  </si>
  <si>
    <t>ORD-00968</t>
  </si>
  <si>
    <t>R974</t>
  </si>
  <si>
    <t>ORD-00969</t>
  </si>
  <si>
    <t>CUST-9555</t>
  </si>
  <si>
    <t>R975</t>
  </si>
  <si>
    <t>ORD-00970</t>
  </si>
  <si>
    <t>R976</t>
  </si>
  <si>
    <t>ORD-00971</t>
  </si>
  <si>
    <t>R977</t>
  </si>
  <si>
    <t>ORD-00972</t>
  </si>
  <si>
    <t>R978</t>
  </si>
  <si>
    <t>ORD-00973</t>
  </si>
  <si>
    <t>R979</t>
  </si>
  <si>
    <t>ORD-00974</t>
  </si>
  <si>
    <t>R980</t>
  </si>
  <si>
    <t>ORD-00975</t>
  </si>
  <si>
    <t>R981</t>
  </si>
  <si>
    <t>ORD-01662</t>
  </si>
  <si>
    <t>R982</t>
  </si>
  <si>
    <t>ORD-00977</t>
  </si>
  <si>
    <t>R983</t>
  </si>
  <si>
    <t>ORD-00978</t>
  </si>
  <si>
    <t>R984</t>
  </si>
  <si>
    <t>ORD-00979</t>
  </si>
  <si>
    <t>CUST-9927</t>
  </si>
  <si>
    <t>R985</t>
  </si>
  <si>
    <t>ORD-00980</t>
  </si>
  <si>
    <t>R986</t>
  </si>
  <si>
    <t>ORD-00981</t>
  </si>
  <si>
    <t>R987</t>
  </si>
  <si>
    <t>R988</t>
  </si>
  <si>
    <t>ORD-00983</t>
  </si>
  <si>
    <t>R989</t>
  </si>
  <si>
    <t>ORD-00984</t>
  </si>
  <si>
    <t>R990</t>
  </si>
  <si>
    <t>ORD-00985</t>
  </si>
  <si>
    <t>R991</t>
  </si>
  <si>
    <t>ORD-00986</t>
  </si>
  <si>
    <t>R992</t>
  </si>
  <si>
    <t>ORD-00987</t>
  </si>
  <si>
    <t>R993</t>
  </si>
  <si>
    <t>ORD-00988</t>
  </si>
  <si>
    <t>R994</t>
  </si>
  <si>
    <t>ORD-00989</t>
  </si>
  <si>
    <t>R995</t>
  </si>
  <si>
    <t>ORD-00990</t>
  </si>
  <si>
    <t>R996</t>
  </si>
  <si>
    <t>ORD-00991</t>
  </si>
  <si>
    <t>R997</t>
  </si>
  <si>
    <t>ORD-00992</t>
  </si>
  <si>
    <t>R998</t>
  </si>
  <si>
    <t>ORD-00993</t>
  </si>
  <si>
    <t>R999</t>
  </si>
  <si>
    <t>ORD-00994</t>
  </si>
  <si>
    <t>R1000</t>
  </si>
  <si>
    <t>ORD-00995</t>
  </si>
  <si>
    <t>R1001</t>
  </si>
  <si>
    <t>ORD-00996</t>
  </si>
  <si>
    <t>R1002</t>
  </si>
  <si>
    <t>ORD-00997</t>
  </si>
  <si>
    <t>R1003</t>
  </si>
  <si>
    <t>ORD-00998</t>
  </si>
  <si>
    <t>R1004</t>
  </si>
  <si>
    <t>ORD-00999</t>
  </si>
  <si>
    <t>R1005</t>
  </si>
  <si>
    <t>ORD-01000</t>
  </si>
  <si>
    <t>R1006</t>
  </si>
  <si>
    <t>ORD-01001</t>
  </si>
  <si>
    <t>R1007</t>
  </si>
  <si>
    <t>ORD-01002</t>
  </si>
  <si>
    <t>R1008</t>
  </si>
  <si>
    <t>ORD-01003</t>
  </si>
  <si>
    <t>R1009</t>
  </si>
  <si>
    <t>ORD-01004</t>
  </si>
  <si>
    <t>R1010</t>
  </si>
  <si>
    <t>ORD-01005</t>
  </si>
  <si>
    <t>R1011</t>
  </si>
  <si>
    <t>ORD-01006</t>
  </si>
  <si>
    <t>R1012</t>
  </si>
  <si>
    <t>ORD-01007</t>
  </si>
  <si>
    <t>R1013</t>
  </si>
  <si>
    <t>ORD-01008</t>
  </si>
  <si>
    <t>R1014</t>
  </si>
  <si>
    <t>ORD-01009</t>
  </si>
  <si>
    <t>R1015</t>
  </si>
  <si>
    <t>ORD-01010</t>
  </si>
  <si>
    <t>R1016</t>
  </si>
  <si>
    <t>ORD-01011</t>
  </si>
  <si>
    <t>R1017</t>
  </si>
  <si>
    <t>ORD-01012</t>
  </si>
  <si>
    <t>R1018</t>
  </si>
  <si>
    <t>ORD-01013</t>
  </si>
  <si>
    <t>R1019</t>
  </si>
  <si>
    <t>ORD-01014</t>
  </si>
  <si>
    <t>R1020</t>
  </si>
  <si>
    <t>ORD-01015</t>
  </si>
  <si>
    <t>R1021</t>
  </si>
  <si>
    <t>ORD-01016</t>
  </si>
  <si>
    <t>CUST-0276</t>
  </si>
  <si>
    <t>R1022</t>
  </si>
  <si>
    <t>ORD-01017</t>
  </si>
  <si>
    <t>R1023</t>
  </si>
  <si>
    <t>ORD-01018</t>
  </si>
  <si>
    <t>R1024</t>
  </si>
  <si>
    <t>ORD-01019</t>
  </si>
  <si>
    <t>R1025</t>
  </si>
  <si>
    <t>ORD-01020</t>
  </si>
  <si>
    <t>R1026</t>
  </si>
  <si>
    <t>ORD-01021</t>
  </si>
  <si>
    <t>R1027</t>
  </si>
  <si>
    <t>ORD-01022</t>
  </si>
  <si>
    <t>R1028</t>
  </si>
  <si>
    <t>ORD-01023</t>
  </si>
  <si>
    <t>R1029</t>
  </si>
  <si>
    <t>ORD-01024</t>
  </si>
  <si>
    <t>R1030</t>
  </si>
  <si>
    <t>ORD-01025</t>
  </si>
  <si>
    <t>R1031</t>
  </si>
  <si>
    <t>ORD-01026</t>
  </si>
  <si>
    <t>R1032</t>
  </si>
  <si>
    <t>ORD-01027</t>
  </si>
  <si>
    <t>R1033</t>
  </si>
  <si>
    <t>ORD-01028</t>
  </si>
  <si>
    <t>R1034</t>
  </si>
  <si>
    <t>ORD-01029</t>
  </si>
  <si>
    <t>R1035</t>
  </si>
  <si>
    <t>ORD-01030</t>
  </si>
  <si>
    <t>R1036</t>
  </si>
  <si>
    <t>ORD-01031</t>
  </si>
  <si>
    <t>R1037</t>
  </si>
  <si>
    <t>ORD-01032</t>
  </si>
  <si>
    <t>R1038</t>
  </si>
  <si>
    <t>ORD-01033</t>
  </si>
  <si>
    <t>R1039</t>
  </si>
  <si>
    <t>ORD-01034</t>
  </si>
  <si>
    <t>R1040</t>
  </si>
  <si>
    <t>ORD-01035</t>
  </si>
  <si>
    <t>R1041</t>
  </si>
  <si>
    <t>ORD-01036</t>
  </si>
  <si>
    <t>R1042</t>
  </si>
  <si>
    <t>ORD-01037</t>
  </si>
  <si>
    <t>R1043</t>
  </si>
  <si>
    <t>ORD-01038</t>
  </si>
  <si>
    <t>R1044</t>
  </si>
  <si>
    <t>ORD-01039</t>
  </si>
  <si>
    <t>R1045</t>
  </si>
  <si>
    <t>ORD-01040</t>
  </si>
  <si>
    <t>R1046</t>
  </si>
  <si>
    <t>ORD-01041</t>
  </si>
  <si>
    <t>R1047</t>
  </si>
  <si>
    <t>ORD-01042</t>
  </si>
  <si>
    <t>R1048</t>
  </si>
  <si>
    <t>ORD-01043</t>
  </si>
  <si>
    <t>R1049</t>
  </si>
  <si>
    <t>ORD-01044</t>
  </si>
  <si>
    <t>R1050</t>
  </si>
  <si>
    <t>ORD-01045</t>
  </si>
  <si>
    <t>CUST-0015</t>
  </si>
  <si>
    <t>R1051</t>
  </si>
  <si>
    <t>ORD-01046</t>
  </si>
  <si>
    <t>R1052</t>
  </si>
  <si>
    <t>ORD-01047</t>
  </si>
  <si>
    <t>R1053</t>
  </si>
  <si>
    <t>ORD-01048</t>
  </si>
  <si>
    <t>R1054</t>
  </si>
  <si>
    <t>ORD-01049</t>
  </si>
  <si>
    <t>CUST-0288</t>
  </si>
  <si>
    <t>R1055</t>
  </si>
  <si>
    <t>ORD-01050</t>
  </si>
  <si>
    <t>R1056</t>
  </si>
  <si>
    <t>ORD-01051</t>
  </si>
  <si>
    <t>R1057</t>
  </si>
  <si>
    <t>R1058</t>
  </si>
  <si>
    <t>ORD-01053</t>
  </si>
  <si>
    <t>R1059</t>
  </si>
  <si>
    <t>ORD-01054</t>
  </si>
  <si>
    <t>R1060</t>
  </si>
  <si>
    <t>ORD-01055</t>
  </si>
  <si>
    <t>R1061</t>
  </si>
  <si>
    <t>ORD-01056</t>
  </si>
  <si>
    <t>R1062</t>
  </si>
  <si>
    <t>ORD-01057</t>
  </si>
  <si>
    <t>R1063</t>
  </si>
  <si>
    <t>ORD-01058</t>
  </si>
  <si>
    <t>R1064</t>
  </si>
  <si>
    <t>ORD-01059</t>
  </si>
  <si>
    <t>R1065</t>
  </si>
  <si>
    <t>ORD-01060</t>
  </si>
  <si>
    <t>R1066</t>
  </si>
  <si>
    <t>ORD-01061</t>
  </si>
  <si>
    <t>R1067</t>
  </si>
  <si>
    <t>ORD-01062</t>
  </si>
  <si>
    <t>R1068</t>
  </si>
  <si>
    <t>ORD-01063</t>
  </si>
  <si>
    <t>R1069</t>
  </si>
  <si>
    <t>ORD-01064</t>
  </si>
  <si>
    <t>R1070</t>
  </si>
  <si>
    <t>ORD-01065</t>
  </si>
  <si>
    <t>R1071</t>
  </si>
  <si>
    <t>ORD-01066</t>
  </si>
  <si>
    <t>R1072</t>
  </si>
  <si>
    <t>ORD-01067</t>
  </si>
  <si>
    <t>R1073</t>
  </si>
  <si>
    <t>ORD-01068</t>
  </si>
  <si>
    <t>R1074</t>
  </si>
  <si>
    <t>ORD-01069</t>
  </si>
  <si>
    <t>R1075</t>
  </si>
  <si>
    <t>ORD-01070</t>
  </si>
  <si>
    <t>R1076</t>
  </si>
  <si>
    <t>ORD-01071</t>
  </si>
  <si>
    <t>R1077</t>
  </si>
  <si>
    <t>ORD-01072</t>
  </si>
  <si>
    <t>R1078</t>
  </si>
  <si>
    <t>ORD-01073</t>
  </si>
  <si>
    <t>R1079</t>
  </si>
  <si>
    <t>ORD-01074</t>
  </si>
  <si>
    <t>R1080</t>
  </si>
  <si>
    <t>ORD-01075</t>
  </si>
  <si>
    <t>CUST-9754</t>
  </si>
  <si>
    <t>R1081</t>
  </si>
  <si>
    <t>ORD-01076</t>
  </si>
  <si>
    <t>R1082</t>
  </si>
  <si>
    <t>ORD-01077</t>
  </si>
  <si>
    <t>R1083</t>
  </si>
  <si>
    <t>ORD-01078</t>
  </si>
  <si>
    <t>R1084</t>
  </si>
  <si>
    <t>ORD-01079</t>
  </si>
  <si>
    <t>R1085</t>
  </si>
  <si>
    <t>ORD-01080</t>
  </si>
  <si>
    <t>R1086</t>
  </si>
  <si>
    <t>ORD-01081</t>
  </si>
  <si>
    <t>R1087</t>
  </si>
  <si>
    <t>ORD-01082</t>
  </si>
  <si>
    <t>R1088</t>
  </si>
  <si>
    <t>ORD-01083</t>
  </si>
  <si>
    <t>R1089</t>
  </si>
  <si>
    <t>ORD-01084</t>
  </si>
  <si>
    <t>R1090</t>
  </si>
  <si>
    <t>ORD-01085</t>
  </si>
  <si>
    <t>R1091</t>
  </si>
  <si>
    <t>ORD-01086</t>
  </si>
  <si>
    <t>R1092</t>
  </si>
  <si>
    <t>ORD-01087</t>
  </si>
  <si>
    <t>R1093</t>
  </si>
  <si>
    <t>ORD-01088</t>
  </si>
  <si>
    <t>R1094</t>
  </si>
  <si>
    <t>ORD-01089</t>
  </si>
  <si>
    <t>CUST-0100</t>
  </si>
  <si>
    <t>R1095</t>
  </si>
  <si>
    <t>ORD-01090</t>
  </si>
  <si>
    <t>R1096</t>
  </si>
  <si>
    <t>ORD-01091</t>
  </si>
  <si>
    <t>R1097</t>
  </si>
  <si>
    <t>ORD-01092</t>
  </si>
  <si>
    <t>R1098</t>
  </si>
  <si>
    <t>ORD-01093</t>
  </si>
  <si>
    <t>R1099</t>
  </si>
  <si>
    <t>ORD-01094</t>
  </si>
  <si>
    <t>R1100</t>
  </si>
  <si>
    <t>ORD-01095</t>
  </si>
  <si>
    <t>R1101</t>
  </si>
  <si>
    <t>ORD-01096</t>
  </si>
  <si>
    <t>R1102</t>
  </si>
  <si>
    <t>ORD-01097</t>
  </si>
  <si>
    <t>R1103</t>
  </si>
  <si>
    <t>ORD-01098</t>
  </si>
  <si>
    <t>R1104</t>
  </si>
  <si>
    <t>ORD-01099</t>
  </si>
  <si>
    <t>R1105</t>
  </si>
  <si>
    <t>ORD-01100</t>
  </si>
  <si>
    <t>R1106</t>
  </si>
  <si>
    <t>ORD-01101</t>
  </si>
  <si>
    <t>R1107</t>
  </si>
  <si>
    <t>ORD-01102</t>
  </si>
  <si>
    <t>R1108</t>
  </si>
  <si>
    <t>ORD-01103</t>
  </si>
  <si>
    <t>R1109</t>
  </si>
  <si>
    <t>ORD-01104</t>
  </si>
  <si>
    <t>R1110</t>
  </si>
  <si>
    <t>ORD-01105</t>
  </si>
  <si>
    <t>R1111</t>
  </si>
  <si>
    <t>ORD-01106</t>
  </si>
  <si>
    <t>R1112</t>
  </si>
  <si>
    <t>ORD-01107</t>
  </si>
  <si>
    <t>R1113</t>
  </si>
  <si>
    <t>ORD-01108</t>
  </si>
  <si>
    <t>R1114</t>
  </si>
  <si>
    <t>ORD-01109</t>
  </si>
  <si>
    <t>R1115</t>
  </si>
  <si>
    <t>ORD-01110</t>
  </si>
  <si>
    <t>R1116</t>
  </si>
  <si>
    <t>ORD-01111</t>
  </si>
  <si>
    <t>R1117</t>
  </si>
  <si>
    <t>ORD-01112</t>
  </si>
  <si>
    <t>R1118</t>
  </si>
  <si>
    <t>ORD-01113</t>
  </si>
  <si>
    <t>R1119</t>
  </si>
  <si>
    <t>ORD-01114</t>
  </si>
  <si>
    <t>R1120</t>
  </si>
  <si>
    <t>ORD-01115</t>
  </si>
  <si>
    <t>R1121</t>
  </si>
  <si>
    <t>ORD-01116</t>
  </si>
  <si>
    <t>R1122</t>
  </si>
  <si>
    <t>ORD-01117</t>
  </si>
  <si>
    <t>R1123</t>
  </si>
  <si>
    <t>ORD-01118</t>
  </si>
  <si>
    <t>R1124</t>
  </si>
  <si>
    <t>ORD-01119</t>
  </si>
  <si>
    <t>R1125</t>
  </si>
  <si>
    <t>ORD-01120</t>
  </si>
  <si>
    <t>R1126</t>
  </si>
  <si>
    <t>ORD-01121</t>
  </si>
  <si>
    <t>R1127</t>
  </si>
  <si>
    <t>ORD-01122</t>
  </si>
  <si>
    <t>R1128</t>
  </si>
  <si>
    <t>ORD-01123</t>
  </si>
  <si>
    <t>R1129</t>
  </si>
  <si>
    <t>ORD-01124</t>
  </si>
  <si>
    <t>R1130</t>
  </si>
  <si>
    <t>ORD-01125</t>
  </si>
  <si>
    <t>R1131</t>
  </si>
  <si>
    <t>ORD-01126</t>
  </si>
  <si>
    <t>R1132</t>
  </si>
  <si>
    <t>ORD-01127</t>
  </si>
  <si>
    <t>R1133</t>
  </si>
  <si>
    <t>ORD-01128</t>
  </si>
  <si>
    <t>R1134</t>
  </si>
  <si>
    <t>ORD-01129</t>
  </si>
  <si>
    <t>R1135</t>
  </si>
  <si>
    <t>ORD-01130</t>
  </si>
  <si>
    <t>R1136</t>
  </si>
  <si>
    <t>ORD-01131</t>
  </si>
  <si>
    <t>R1137</t>
  </si>
  <si>
    <t>ORD-01132</t>
  </si>
  <si>
    <t>R1138</t>
  </si>
  <si>
    <t>ORD-01133</t>
  </si>
  <si>
    <t>R1139</t>
  </si>
  <si>
    <t>ORD-01134</t>
  </si>
  <si>
    <t>R1140</t>
  </si>
  <si>
    <t>ORD-01135</t>
  </si>
  <si>
    <t>R1141</t>
  </si>
  <si>
    <t>R1142</t>
  </si>
  <si>
    <t>ORD-01137</t>
  </si>
  <si>
    <t>CUST-0116</t>
  </si>
  <si>
    <t>R1143</t>
  </si>
  <si>
    <t>ORD-01138</t>
  </si>
  <si>
    <t>R1144</t>
  </si>
  <si>
    <t>ORD-01139</t>
  </si>
  <si>
    <t>R1145</t>
  </si>
  <si>
    <t>ORD-01140</t>
  </si>
  <si>
    <t>R1146</t>
  </si>
  <si>
    <t>ORD-01141</t>
  </si>
  <si>
    <t>CUST-0268</t>
  </si>
  <si>
    <t>R1147</t>
  </si>
  <si>
    <t>ORD-01142</t>
  </si>
  <si>
    <t>R1148</t>
  </si>
  <si>
    <t>ORD-01143</t>
  </si>
  <si>
    <t>R1149</t>
  </si>
  <si>
    <t>ORD-01144</t>
  </si>
  <si>
    <t>R1150</t>
  </si>
  <si>
    <t>ORD-01145</t>
  </si>
  <si>
    <t>R1151</t>
  </si>
  <si>
    <t>ORD-01146</t>
  </si>
  <si>
    <t>R1152</t>
  </si>
  <si>
    <t>ORD-01147</t>
  </si>
  <si>
    <t>R1153</t>
  </si>
  <si>
    <t>ORD-01148</t>
  </si>
  <si>
    <t>R1154</t>
  </si>
  <si>
    <t>ORD-01149</t>
  </si>
  <si>
    <t>R1155</t>
  </si>
  <si>
    <t>ORD-01150</t>
  </si>
  <si>
    <t>R1156</t>
  </si>
  <si>
    <t>ORD-01151</t>
  </si>
  <si>
    <t>R1157</t>
  </si>
  <si>
    <t>ORD-01152</t>
  </si>
  <si>
    <t>R1158</t>
  </si>
  <si>
    <t>ORD-01153</t>
  </si>
  <si>
    <t>R1159</t>
  </si>
  <si>
    <t>ORD-01154</t>
  </si>
  <si>
    <t>R1160</t>
  </si>
  <si>
    <t>ORD-01155</t>
  </si>
  <si>
    <t>R1161</t>
  </si>
  <si>
    <t>ORD-01156</t>
  </si>
  <si>
    <t>R1162</t>
  </si>
  <si>
    <t>ORD-01157</t>
  </si>
  <si>
    <t>R1163</t>
  </si>
  <si>
    <t>ORD-01158</t>
  </si>
  <si>
    <t>R1164</t>
  </si>
  <si>
    <t>ORD-01159</t>
  </si>
  <si>
    <t>R1165</t>
  </si>
  <si>
    <t>ORD-01160</t>
  </si>
  <si>
    <t>R1166</t>
  </si>
  <si>
    <t>ORD-01161</t>
  </si>
  <si>
    <t>R1167</t>
  </si>
  <si>
    <t>ORD-01162</t>
  </si>
  <si>
    <t>R1168</t>
  </si>
  <si>
    <t>ORD-01163</t>
  </si>
  <si>
    <t>R1169</t>
  </si>
  <si>
    <t>ORD-01164</t>
  </si>
  <si>
    <t>R1170</t>
  </si>
  <si>
    <t>ORD-01165</t>
  </si>
  <si>
    <t>R1171</t>
  </si>
  <si>
    <t>ORD-01166</t>
  </si>
  <si>
    <t>R1172</t>
  </si>
  <si>
    <t>ORD-01167</t>
  </si>
  <si>
    <t>R1173</t>
  </si>
  <si>
    <t>ORD-01168</t>
  </si>
  <si>
    <t>R1174</t>
  </si>
  <si>
    <t>ORD-01169</t>
  </si>
  <si>
    <t>R1175</t>
  </si>
  <si>
    <t>ORD-01170</t>
  </si>
  <si>
    <t>R1176</t>
  </si>
  <si>
    <t>ORD-01171</t>
  </si>
  <si>
    <t>R1177</t>
  </si>
  <si>
    <t>ORD-01172</t>
  </si>
  <si>
    <t>R1178</t>
  </si>
  <si>
    <t>ORD-01173</t>
  </si>
  <si>
    <t>R1179</t>
  </si>
  <si>
    <t>ORD-01174</t>
  </si>
  <si>
    <t>R1180</t>
  </si>
  <si>
    <t>ORD-01175</t>
  </si>
  <si>
    <t>R1181</t>
  </si>
  <si>
    <t>ORD-01176</t>
  </si>
  <si>
    <t>CUST-0014</t>
  </si>
  <si>
    <t>R1182</t>
  </si>
  <si>
    <t>ORD-01177</t>
  </si>
  <si>
    <t>R1183</t>
  </si>
  <si>
    <t>ORD-01178</t>
  </si>
  <si>
    <t>R1184</t>
  </si>
  <si>
    <t>ORD-01179</t>
  </si>
  <si>
    <t>R1185</t>
  </si>
  <si>
    <t>ORD-01180</t>
  </si>
  <si>
    <t>R1186</t>
  </si>
  <si>
    <t>ORD-01181</t>
  </si>
  <si>
    <t>R1187</t>
  </si>
  <si>
    <t>ORD-01182</t>
  </si>
  <si>
    <t>R1188</t>
  </si>
  <si>
    <t>ORD-01183</t>
  </si>
  <si>
    <t>R1189</t>
  </si>
  <si>
    <t>ORD-01184</t>
  </si>
  <si>
    <t>R1190</t>
  </si>
  <si>
    <t>R1191</t>
  </si>
  <si>
    <t>ORD-01186</t>
  </si>
  <si>
    <t>R1192</t>
  </si>
  <si>
    <t>ORD-01187</t>
  </si>
  <si>
    <t>R1193</t>
  </si>
  <si>
    <t>ORD-01188</t>
  </si>
  <si>
    <t>R1194</t>
  </si>
  <si>
    <t>ORD-01189</t>
  </si>
  <si>
    <t>R1195</t>
  </si>
  <si>
    <t>ORD-01190</t>
  </si>
  <si>
    <t>R1196</t>
  </si>
  <si>
    <t>ORD-01191</t>
  </si>
  <si>
    <t>R1197</t>
  </si>
  <si>
    <t>ORD-01192</t>
  </si>
  <si>
    <t>R1198</t>
  </si>
  <si>
    <t>ORD-01193</t>
  </si>
  <si>
    <t>R1199</t>
  </si>
  <si>
    <t>ORD-01194</t>
  </si>
  <si>
    <t>R1200</t>
  </si>
  <si>
    <t>R1201</t>
  </si>
  <si>
    <t>ORD-01196</t>
  </si>
  <si>
    <t>R1202</t>
  </si>
  <si>
    <t>ORD-01197</t>
  </si>
  <si>
    <t>R1203</t>
  </si>
  <si>
    <t>ORD-01198</t>
  </si>
  <si>
    <t>R1204</t>
  </si>
  <si>
    <t>ORD-01199</t>
  </si>
  <si>
    <t>R1205</t>
  </si>
  <si>
    <t>ORD-01200</t>
  </si>
  <si>
    <t>R1206</t>
  </si>
  <si>
    <t>ORD-01201</t>
  </si>
  <si>
    <t>R1207</t>
  </si>
  <si>
    <t>ORD-01202</t>
  </si>
  <si>
    <t>R1208</t>
  </si>
  <si>
    <t>ORD-01203</t>
  </si>
  <si>
    <t>R1209</t>
  </si>
  <si>
    <t>ORD-01204</t>
  </si>
  <si>
    <t>R1210</t>
  </si>
  <si>
    <t>ORD-01205</t>
  </si>
  <si>
    <t>R1211</t>
  </si>
  <si>
    <t>ORD-01206</t>
  </si>
  <si>
    <t>R1212</t>
  </si>
  <si>
    <t>ORD-01207</t>
  </si>
  <si>
    <t>R1213</t>
  </si>
  <si>
    <t>ORD-01208</t>
  </si>
  <si>
    <t>R1214</t>
  </si>
  <si>
    <t>ORD-01209</t>
  </si>
  <si>
    <t>R1215</t>
  </si>
  <si>
    <t>ORD-01210</t>
  </si>
  <si>
    <t>R1216</t>
  </si>
  <si>
    <t>ORD-01211</t>
  </si>
  <si>
    <t>R1217</t>
  </si>
  <si>
    <t>ORD-01212</t>
  </si>
  <si>
    <t>R1218</t>
  </si>
  <si>
    <t>ORD-01213</t>
  </si>
  <si>
    <t>R1219</t>
  </si>
  <si>
    <t>ORD-01214</t>
  </si>
  <si>
    <t>R1220</t>
  </si>
  <si>
    <t>ORD-01215</t>
  </si>
  <si>
    <t>R1221</t>
  </si>
  <si>
    <t>ORD-01216</t>
  </si>
  <si>
    <t>R1222</t>
  </si>
  <si>
    <t>ORD-01217</t>
  </si>
  <si>
    <t>R1223</t>
  </si>
  <si>
    <t>ORD-01218</t>
  </si>
  <si>
    <t>R1224</t>
  </si>
  <si>
    <t>ORD-01219</t>
  </si>
  <si>
    <t>R1225</t>
  </si>
  <si>
    <t>ORD-01220</t>
  </si>
  <si>
    <t>R1226</t>
  </si>
  <si>
    <t>ORD-01221</t>
  </si>
  <si>
    <t>R1227</t>
  </si>
  <si>
    <t>ORD-01222</t>
  </si>
  <si>
    <t>R1228</t>
  </si>
  <si>
    <t>ORD-01223</t>
  </si>
  <si>
    <t>R1229</t>
  </si>
  <si>
    <t>ORD-01224</t>
  </si>
  <si>
    <t>R1230</t>
  </si>
  <si>
    <t>ORD-01225</t>
  </si>
  <si>
    <t>R1231</t>
  </si>
  <si>
    <t>ORD-01226</t>
  </si>
  <si>
    <t>R1232</t>
  </si>
  <si>
    <t>ORD-01227</t>
  </si>
  <si>
    <t>R1233</t>
  </si>
  <si>
    <t>ORD-01228</t>
  </si>
  <si>
    <t>R1234</t>
  </si>
  <si>
    <t>ORD-01229</t>
  </si>
  <si>
    <t>R1235</t>
  </si>
  <si>
    <t>ORD-01230</t>
  </si>
  <si>
    <t>R1236</t>
  </si>
  <si>
    <t>ORD-01231</t>
  </si>
  <si>
    <t>R1237</t>
  </si>
  <si>
    <t>ORD-01232</t>
  </si>
  <si>
    <t>R1238</t>
  </si>
  <si>
    <t>ORD-01233</t>
  </si>
  <si>
    <t>R1239</t>
  </si>
  <si>
    <t>ORD-01234</t>
  </si>
  <si>
    <t>R1240</t>
  </si>
  <si>
    <t>ORD-01235</t>
  </si>
  <si>
    <t>R1241</t>
  </si>
  <si>
    <t>ORD-01236</t>
  </si>
  <si>
    <t>R1242</t>
  </si>
  <si>
    <t>ORD-01237</t>
  </si>
  <si>
    <t>CUST-0099</t>
  </si>
  <si>
    <t>R1243</t>
  </si>
  <si>
    <t>R1244</t>
  </si>
  <si>
    <t>ORD-01239</t>
  </si>
  <si>
    <t>R1245</t>
  </si>
  <si>
    <t>ORD-01240</t>
  </si>
  <si>
    <t>R1246</t>
  </si>
  <si>
    <t>ORD-01241</t>
  </si>
  <si>
    <t>R1247</t>
  </si>
  <si>
    <t>ORD-01365</t>
  </si>
  <si>
    <t>R1248</t>
  </si>
  <si>
    <t>ORD-01243</t>
  </si>
  <si>
    <t>R1249</t>
  </si>
  <si>
    <t>ORD-01244</t>
  </si>
  <si>
    <t>R1250</t>
  </si>
  <si>
    <t>ORD-01245</t>
  </si>
  <si>
    <t>R1251</t>
  </si>
  <si>
    <t>ORD-01246</t>
  </si>
  <si>
    <t>R1252</t>
  </si>
  <si>
    <t>ORD-01247</t>
  </si>
  <si>
    <t>R1253</t>
  </si>
  <si>
    <t>ORD-01248</t>
  </si>
  <si>
    <t>R1254</t>
  </si>
  <si>
    <t>ORD-01249</t>
  </si>
  <si>
    <t>R1255</t>
  </si>
  <si>
    <t>ORD-01250</t>
  </si>
  <si>
    <t>R1256</t>
  </si>
  <si>
    <t>ORD-01251</t>
  </si>
  <si>
    <t>R1257</t>
  </si>
  <si>
    <t>ORD-01252</t>
  </si>
  <si>
    <t>R1258</t>
  </si>
  <si>
    <t>ORD-01253</t>
  </si>
  <si>
    <t>R1259</t>
  </si>
  <si>
    <t>ORD-01254</t>
  </si>
  <si>
    <t>R1260</t>
  </si>
  <si>
    <t>ORD-01255</t>
  </si>
  <si>
    <t>R1261</t>
  </si>
  <si>
    <t>ORD-01256</t>
  </si>
  <si>
    <t>R1262</t>
  </si>
  <si>
    <t>ORD-01257</t>
  </si>
  <si>
    <t>R1263</t>
  </si>
  <si>
    <t>ORD-01258</t>
  </si>
  <si>
    <t>R1264</t>
  </si>
  <si>
    <t>ORD-01259</t>
  </si>
  <si>
    <t>R1265</t>
  </si>
  <si>
    <t>ORD-01260</t>
  </si>
  <si>
    <t>R1266</t>
  </si>
  <si>
    <t>ORD-01261</t>
  </si>
  <si>
    <t>R1267</t>
  </si>
  <si>
    <t>ORD-01262</t>
  </si>
  <si>
    <t>R1268</t>
  </si>
  <si>
    <t>ORD-01263</t>
  </si>
  <si>
    <t>R1269</t>
  </si>
  <si>
    <t>ORD-01264</t>
  </si>
  <si>
    <t>R1270</t>
  </si>
  <si>
    <t>ORD-01265</t>
  </si>
  <si>
    <t>R1271</t>
  </si>
  <si>
    <t>ORD-01266</t>
  </si>
  <si>
    <t>R1272</t>
  </si>
  <si>
    <t>ORD-01267</t>
  </si>
  <si>
    <t>CUST-9684</t>
  </si>
  <si>
    <t>R1273</t>
  </si>
  <si>
    <t>ORD-01268</t>
  </si>
  <si>
    <t>R1274</t>
  </si>
  <si>
    <t>ORD-01269</t>
  </si>
  <si>
    <t>R1275</t>
  </si>
  <si>
    <t>ORD-01270</t>
  </si>
  <si>
    <t>R1276</t>
  </si>
  <si>
    <t>ORD-01271</t>
  </si>
  <si>
    <t>R1277</t>
  </si>
  <si>
    <t>ORD-01272</t>
  </si>
  <si>
    <t>R1278</t>
  </si>
  <si>
    <t>ORD-01273</t>
  </si>
  <si>
    <t>R1279</t>
  </si>
  <si>
    <t>ORD-01274</t>
  </si>
  <si>
    <t>R1280</t>
  </si>
  <si>
    <t>ORD-01275</t>
  </si>
  <si>
    <t>R1281</t>
  </si>
  <si>
    <t>ORD-01276</t>
  </si>
  <si>
    <t>R1282</t>
  </si>
  <si>
    <t>ORD-01277</t>
  </si>
  <si>
    <t>R1283</t>
  </si>
  <si>
    <t>ORD-01278</t>
  </si>
  <si>
    <t>R1284</t>
  </si>
  <si>
    <t>ORD-01279</t>
  </si>
  <si>
    <t>R1285</t>
  </si>
  <si>
    <t>ORD-01280</t>
  </si>
  <si>
    <t>R1286</t>
  </si>
  <si>
    <t>ORD-01281</t>
  </si>
  <si>
    <t>R1287</t>
  </si>
  <si>
    <t>ORD-01282</t>
  </si>
  <si>
    <t>R1288</t>
  </si>
  <si>
    <t>ORD-01283</t>
  </si>
  <si>
    <t>R1289</t>
  </si>
  <si>
    <t>ORD-01284</t>
  </si>
  <si>
    <t>R1290</t>
  </si>
  <si>
    <t>ORD-01285</t>
  </si>
  <si>
    <t>R1291</t>
  </si>
  <si>
    <t>ORD-01286</t>
  </si>
  <si>
    <t>R1292</t>
  </si>
  <si>
    <t>ORD-01287</t>
  </si>
  <si>
    <t>R1293</t>
  </si>
  <si>
    <t>ORD-01288</t>
  </si>
  <si>
    <t>R1294</t>
  </si>
  <si>
    <t>ORD-01289</t>
  </si>
  <si>
    <t>R1295</t>
  </si>
  <si>
    <t>ORD-01290</t>
  </si>
  <si>
    <t>R1296</t>
  </si>
  <si>
    <t>ORD-01291</t>
  </si>
  <si>
    <t>R1297</t>
  </si>
  <si>
    <t>ORD-01292</t>
  </si>
  <si>
    <t>R1298</t>
  </si>
  <si>
    <t>ORD-01293</t>
  </si>
  <si>
    <t>R1299</t>
  </si>
  <si>
    <t>ORD-01294</t>
  </si>
  <si>
    <t>R1300</t>
  </si>
  <si>
    <t>ORD-01295</t>
  </si>
  <si>
    <t>R1301</t>
  </si>
  <si>
    <t>ORD-01296</t>
  </si>
  <si>
    <t>R1302</t>
  </si>
  <si>
    <t>ORD-01297</t>
  </si>
  <si>
    <t>R1303</t>
  </si>
  <si>
    <t>ORD-01298</t>
  </si>
  <si>
    <t>R1304</t>
  </si>
  <si>
    <t>ORD-01299</t>
  </si>
  <si>
    <t>R1305</t>
  </si>
  <si>
    <t>ORD-01300</t>
  </si>
  <si>
    <t>R1306</t>
  </si>
  <si>
    <t>ORD-01301</t>
  </si>
  <si>
    <t>R1307</t>
  </si>
  <si>
    <t>ORD-01302</t>
  </si>
  <si>
    <t>R1308</t>
  </si>
  <si>
    <t>ORD-01303</t>
  </si>
  <si>
    <t>R1309</t>
  </si>
  <si>
    <t>ORD-01304</t>
  </si>
  <si>
    <t>R1310</t>
  </si>
  <si>
    <t>ORD-01305</t>
  </si>
  <si>
    <t>R1311</t>
  </si>
  <si>
    <t>ORD-01306</t>
  </si>
  <si>
    <t>R1312</t>
  </si>
  <si>
    <t>ORD-01307</t>
  </si>
  <si>
    <t>R1313</t>
  </si>
  <si>
    <t>ORD-01308</t>
  </si>
  <si>
    <t>R1314</t>
  </si>
  <si>
    <t>ORD-01309</t>
  </si>
  <si>
    <t>R1315</t>
  </si>
  <si>
    <t>ORD-01310</t>
  </si>
  <si>
    <t>R1316</t>
  </si>
  <si>
    <t>ORD-01311</t>
  </si>
  <si>
    <t>R1317</t>
  </si>
  <si>
    <t>ORD-01312</t>
  </si>
  <si>
    <t>R1318</t>
  </si>
  <si>
    <t>ORD-01313</t>
  </si>
  <si>
    <t>R1319</t>
  </si>
  <si>
    <t>ORD-01314</t>
  </si>
  <si>
    <t>R1320</t>
  </si>
  <si>
    <t>ORD-01315</t>
  </si>
  <si>
    <t>R1321</t>
  </si>
  <si>
    <t>ORD-01316</t>
  </si>
  <si>
    <t>R1322</t>
  </si>
  <si>
    <t>ORD-01317</t>
  </si>
  <si>
    <t>R1323</t>
  </si>
  <si>
    <t>ORD-01318</t>
  </si>
  <si>
    <t>R1324</t>
  </si>
  <si>
    <t>ORD-01319</t>
  </si>
  <si>
    <t>R1325</t>
  </si>
  <si>
    <t>ORD-01320</t>
  </si>
  <si>
    <t>R1326</t>
  </si>
  <si>
    <t>ORD-01321</t>
  </si>
  <si>
    <t>R1327</t>
  </si>
  <si>
    <t>ORD-01322</t>
  </si>
  <si>
    <t>R1328</t>
  </si>
  <si>
    <t>ORD-01323</t>
  </si>
  <si>
    <t>R1329</t>
  </si>
  <si>
    <t>ORD-01324</t>
  </si>
  <si>
    <t>R1330</t>
  </si>
  <si>
    <t>ORD-01325</t>
  </si>
  <si>
    <t>R1331</t>
  </si>
  <si>
    <t>ORD-01326</t>
  </si>
  <si>
    <t>R1332</t>
  </si>
  <si>
    <t>ORD-01327</t>
  </si>
  <si>
    <t>R1333</t>
  </si>
  <si>
    <t>ORD-01328</t>
  </si>
  <si>
    <t>CUST-0286</t>
  </si>
  <si>
    <t>R1334</t>
  </si>
  <si>
    <t>ORD-01329</t>
  </si>
  <si>
    <t>R1335</t>
  </si>
  <si>
    <t>ORD-01330</t>
  </si>
  <si>
    <t>R1336</t>
  </si>
  <si>
    <t>ORD-01331</t>
  </si>
  <si>
    <t>R1337</t>
  </si>
  <si>
    <t>ORD-01332</t>
  </si>
  <si>
    <t>R1338</t>
  </si>
  <si>
    <t>HYDERABAD</t>
  </si>
  <si>
    <t>ORD-01333</t>
  </si>
  <si>
    <t>R1339</t>
  </si>
  <si>
    <t>ORD-01334</t>
  </si>
  <si>
    <t>R1340</t>
  </si>
  <si>
    <t>ORD-01335</t>
  </si>
  <si>
    <t>R1341</t>
  </si>
  <si>
    <t>ORD-01336</t>
  </si>
  <si>
    <t>R1342</t>
  </si>
  <si>
    <t>ORD-01337</t>
  </si>
  <si>
    <t>R1343</t>
  </si>
  <si>
    <t>ORD-01338</t>
  </si>
  <si>
    <t>CUST-9595</t>
  </si>
  <si>
    <t>R1344</t>
  </si>
  <si>
    <t>ORD-01339</t>
  </si>
  <si>
    <t>R1345</t>
  </si>
  <si>
    <t>ORD-01340</t>
  </si>
  <si>
    <t>R1346</t>
  </si>
  <si>
    <t>ORD-01341</t>
  </si>
  <si>
    <t>R1347</t>
  </si>
  <si>
    <t>ORD-01342</t>
  </si>
  <si>
    <t>R1348</t>
  </si>
  <si>
    <t>ORD-01343</t>
  </si>
  <si>
    <t>R1349</t>
  </si>
  <si>
    <t>ORD-01344</t>
  </si>
  <si>
    <t>R1350</t>
  </si>
  <si>
    <t>ORD-01345</t>
  </si>
  <si>
    <t>R1351</t>
  </si>
  <si>
    <t>ORD-01346</t>
  </si>
  <si>
    <t>R1352</t>
  </si>
  <si>
    <t>ORD-01347</t>
  </si>
  <si>
    <t>R1353</t>
  </si>
  <si>
    <t>ORD-01348</t>
  </si>
  <si>
    <t>R1354</t>
  </si>
  <si>
    <t>ORD-01349</t>
  </si>
  <si>
    <t>R1355</t>
  </si>
  <si>
    <t>ORD-01350</t>
  </si>
  <si>
    <t>R1356</t>
  </si>
  <si>
    <t>ORD-01351</t>
  </si>
  <si>
    <t>R1357</t>
  </si>
  <si>
    <t>ORD-01352</t>
  </si>
  <si>
    <t>R1358</t>
  </si>
  <si>
    <t>ORD-01353</t>
  </si>
  <si>
    <t>R1359</t>
  </si>
  <si>
    <t>ORD-01354</t>
  </si>
  <si>
    <t>R1360</t>
  </si>
  <si>
    <t>ORD-01355</t>
  </si>
  <si>
    <t>R1361</t>
  </si>
  <si>
    <t>ORD-01356</t>
  </si>
  <si>
    <t>R1362</t>
  </si>
  <si>
    <t>ORD-01357</t>
  </si>
  <si>
    <t>R1363</t>
  </si>
  <si>
    <t>ORD-01358</t>
  </si>
  <si>
    <t>R1364</t>
  </si>
  <si>
    <t>ORD-01359</t>
  </si>
  <si>
    <t>R1365</t>
  </si>
  <si>
    <t>ORD-01360</t>
  </si>
  <si>
    <t>R1366</t>
  </si>
  <si>
    <t>ORD-01361</t>
  </si>
  <si>
    <t>R1367</t>
  </si>
  <si>
    <t>ORD-01362</t>
  </si>
  <si>
    <t>R1368</t>
  </si>
  <si>
    <t>ORD-01363</t>
  </si>
  <si>
    <t>R1369</t>
  </si>
  <si>
    <t>ORD-01364</t>
  </si>
  <si>
    <t>R1370</t>
  </si>
  <si>
    <t>R1371</t>
  </si>
  <si>
    <t>ORD-01366</t>
  </si>
  <si>
    <t>R1372</t>
  </si>
  <si>
    <t>ORD-01367</t>
  </si>
  <si>
    <t>R1373</t>
  </si>
  <si>
    <t>ORD-01368</t>
  </si>
  <si>
    <t>R1374</t>
  </si>
  <si>
    <t>ORD-01369</t>
  </si>
  <si>
    <t>R1375</t>
  </si>
  <si>
    <t>ORD-01370</t>
  </si>
  <si>
    <t>R1376</t>
  </si>
  <si>
    <t>ORD-01371</t>
  </si>
  <si>
    <t>R1377</t>
  </si>
  <si>
    <t>ORD-01372</t>
  </si>
  <si>
    <t>R1378</t>
  </si>
  <si>
    <t>ORD-01373</t>
  </si>
  <si>
    <t>R1379</t>
  </si>
  <si>
    <t>ORD-01374</t>
  </si>
  <si>
    <t>R1380</t>
  </si>
  <si>
    <t>ORD-01375</t>
  </si>
  <si>
    <t>R1381</t>
  </si>
  <si>
    <t>ORD-01376</t>
  </si>
  <si>
    <t>R1382</t>
  </si>
  <si>
    <t>ORD-01377</t>
  </si>
  <si>
    <t>R1383</t>
  </si>
  <si>
    <t>ORD-01378</t>
  </si>
  <si>
    <t>R1384</t>
  </si>
  <si>
    <t>ORD-01379</t>
  </si>
  <si>
    <t>R1385</t>
  </si>
  <si>
    <t>ORD-01380</t>
  </si>
  <si>
    <t>R1386</t>
  </si>
  <si>
    <t>ORD-01381</t>
  </si>
  <si>
    <t>R1387</t>
  </si>
  <si>
    <t>ORD-01382</t>
  </si>
  <si>
    <t>R1388</t>
  </si>
  <si>
    <t>ORD-01383</t>
  </si>
  <si>
    <t>R1389</t>
  </si>
  <si>
    <t>ORD-01384</t>
  </si>
  <si>
    <t>R1390</t>
  </si>
  <si>
    <t>ORD-01385</t>
  </si>
  <si>
    <t>CUST-0029</t>
  </si>
  <si>
    <t>R1391</t>
  </si>
  <si>
    <t>ORD-01386</t>
  </si>
  <si>
    <t>R1392</t>
  </si>
  <si>
    <t>R1393</t>
  </si>
  <si>
    <t>ORD-01388</t>
  </si>
  <si>
    <t>R1394</t>
  </si>
  <si>
    <t>ORD-01389</t>
  </si>
  <si>
    <t>R1395</t>
  </si>
  <si>
    <t>ORD-01390</t>
  </si>
  <si>
    <t>R1396</t>
  </si>
  <si>
    <t>ORD-01391</t>
  </si>
  <si>
    <t>R1397</t>
  </si>
  <si>
    <t>ORD-01392</t>
  </si>
  <si>
    <t>R1398</t>
  </si>
  <si>
    <t>ORD-01393</t>
  </si>
  <si>
    <t>R1399</t>
  </si>
  <si>
    <t>ORD-01394</t>
  </si>
  <si>
    <t>R1400</t>
  </si>
  <si>
    <t>ORD-01395</t>
  </si>
  <si>
    <t>R1401</t>
  </si>
  <si>
    <t>ORD-01396</t>
  </si>
  <si>
    <t>R1402</t>
  </si>
  <si>
    <t>ORD-01397</t>
  </si>
  <si>
    <t>R1403</t>
  </si>
  <si>
    <t>ORD-01398</t>
  </si>
  <si>
    <t>R1404</t>
  </si>
  <si>
    <t>ORD-01399</t>
  </si>
  <si>
    <t>R1405</t>
  </si>
  <si>
    <t>ORD-01400</t>
  </si>
  <si>
    <t>CUST-0207</t>
  </si>
  <si>
    <t>R1406</t>
  </si>
  <si>
    <t>ORD-01401</t>
  </si>
  <si>
    <t>R1407</t>
  </si>
  <si>
    <t>ORD-01402</t>
  </si>
  <si>
    <t>R1408</t>
  </si>
  <si>
    <t>ORD-01403</t>
  </si>
  <si>
    <t>R1409</t>
  </si>
  <si>
    <t>ORD-01404</t>
  </si>
  <si>
    <t>R1410</t>
  </si>
  <si>
    <t>ORD-01405</t>
  </si>
  <si>
    <t>R1411</t>
  </si>
  <si>
    <t>ORD-01406</t>
  </si>
  <si>
    <t>R1412</t>
  </si>
  <si>
    <t>ORD-01407</t>
  </si>
  <si>
    <t>R1413</t>
  </si>
  <si>
    <t>ORD-01408</t>
  </si>
  <si>
    <t>R1414</t>
  </si>
  <si>
    <t>ORD-01409</t>
  </si>
  <si>
    <t>R1415</t>
  </si>
  <si>
    <t>ORD-01410</t>
  </si>
  <si>
    <t>R1416</t>
  </si>
  <si>
    <t>ORD-01411</t>
  </si>
  <si>
    <t>R1417</t>
  </si>
  <si>
    <t>ORD-01412</t>
  </si>
  <si>
    <t>R1418</t>
  </si>
  <si>
    <t>ORD-01413</t>
  </si>
  <si>
    <t>R1419</t>
  </si>
  <si>
    <t>ORD-01414</t>
  </si>
  <si>
    <t>R1420</t>
  </si>
  <si>
    <t>ORD-01415</t>
  </si>
  <si>
    <t>R1421</t>
  </si>
  <si>
    <t>ORD-01416</t>
  </si>
  <si>
    <t>R1422</t>
  </si>
  <si>
    <t>ORD-01417</t>
  </si>
  <si>
    <t>R1423</t>
  </si>
  <si>
    <t>ORD-01418</t>
  </si>
  <si>
    <t>R1424</t>
  </si>
  <si>
    <t>ORD-01419</t>
  </si>
  <si>
    <t>R1425</t>
  </si>
  <si>
    <t>ORD-01420</t>
  </si>
  <si>
    <t>R1426</t>
  </si>
  <si>
    <t>ORD-01421</t>
  </si>
  <si>
    <t>R1427</t>
  </si>
  <si>
    <t>ORD-01422</t>
  </si>
  <si>
    <t>R1428</t>
  </si>
  <si>
    <t>ORD-01423</t>
  </si>
  <si>
    <t>R1429</t>
  </si>
  <si>
    <t>ORD-01424</t>
  </si>
  <si>
    <t>R1430</t>
  </si>
  <si>
    <t>ORD-01425</t>
  </si>
  <si>
    <t>R1431</t>
  </si>
  <si>
    <t>ORD-01426</t>
  </si>
  <si>
    <t>R1432</t>
  </si>
  <si>
    <t>ORD-01427</t>
  </si>
  <si>
    <t>R1433</t>
  </si>
  <si>
    <t>ORD-01428</t>
  </si>
  <si>
    <t>R1434</t>
  </si>
  <si>
    <t>ORD-01429</t>
  </si>
  <si>
    <t>R1435</t>
  </si>
  <si>
    <t>ORD-01430</t>
  </si>
  <si>
    <t>R1436</t>
  </si>
  <si>
    <t>ORD-01431</t>
  </si>
  <si>
    <t>R1437</t>
  </si>
  <si>
    <t>ORD-01432</t>
  </si>
  <si>
    <t>R1438</t>
  </si>
  <si>
    <t>ORD-01433</t>
  </si>
  <si>
    <t>R1439</t>
  </si>
  <si>
    <t>ORD-01434</t>
  </si>
  <si>
    <t>CUST-9889</t>
  </si>
  <si>
    <t>R1440</t>
  </si>
  <si>
    <t>ORD-01435</t>
  </si>
  <si>
    <t>R1441</t>
  </si>
  <si>
    <t>ORD-01436</t>
  </si>
  <si>
    <t>R1442</t>
  </si>
  <si>
    <t>ORD-01437</t>
  </si>
  <si>
    <t>R1443</t>
  </si>
  <si>
    <t>ORD-01438</t>
  </si>
  <si>
    <t>R1444</t>
  </si>
  <si>
    <t>ORD-01439</t>
  </si>
  <si>
    <t>R1445</t>
  </si>
  <si>
    <t>ORD-01440</t>
  </si>
  <si>
    <t>R1446</t>
  </si>
  <si>
    <t>ORD-01441</t>
  </si>
  <si>
    <t>R1447</t>
  </si>
  <si>
    <t>ORD-01442</t>
  </si>
  <si>
    <t>R1448</t>
  </si>
  <si>
    <t>ORD-01443</t>
  </si>
  <si>
    <t>R1449</t>
  </si>
  <si>
    <t>ORD-01444</t>
  </si>
  <si>
    <t>R1450</t>
  </si>
  <si>
    <t>R1451</t>
  </si>
  <si>
    <t>ORD-01446</t>
  </si>
  <si>
    <t>R1452</t>
  </si>
  <si>
    <t>ORD-01447</t>
  </si>
  <si>
    <t>R1453</t>
  </si>
  <si>
    <t>ORD-01448</t>
  </si>
  <si>
    <t>R1454</t>
  </si>
  <si>
    <t>ORD-01449</t>
  </si>
  <si>
    <t>R1455</t>
  </si>
  <si>
    <t>ORD-01450</t>
  </si>
  <si>
    <t>R1456</t>
  </si>
  <si>
    <t>ORD-01451</t>
  </si>
  <si>
    <t>R1457</t>
  </si>
  <si>
    <t>ORD-01452</t>
  </si>
  <si>
    <t>R1458</t>
  </si>
  <si>
    <t>ORD-01453</t>
  </si>
  <si>
    <t>R1459</t>
  </si>
  <si>
    <t>ORD-01454</t>
  </si>
  <si>
    <t>R1460</t>
  </si>
  <si>
    <t>ORD-01455</t>
  </si>
  <si>
    <t>R1461</t>
  </si>
  <si>
    <t>ORD-01456</t>
  </si>
  <si>
    <t>R1462</t>
  </si>
  <si>
    <t>ORD-01457</t>
  </si>
  <si>
    <t>R1463</t>
  </si>
  <si>
    <t>ORD-01458</t>
  </si>
  <si>
    <t>R1464</t>
  </si>
  <si>
    <t>ORD-01459</t>
  </si>
  <si>
    <t>R1465</t>
  </si>
  <si>
    <t>ORD-01460</t>
  </si>
  <si>
    <t>R1466</t>
  </si>
  <si>
    <t>ORD-01461</t>
  </si>
  <si>
    <t>R1467</t>
  </si>
  <si>
    <t>ORD-01462</t>
  </si>
  <si>
    <t>R1468</t>
  </si>
  <si>
    <t>ORD-01463</t>
  </si>
  <si>
    <t>R1469</t>
  </si>
  <si>
    <t>ORD-01464</t>
  </si>
  <si>
    <t>R1470</t>
  </si>
  <si>
    <t>ORD-01465</t>
  </si>
  <si>
    <t>CUST-9851</t>
  </si>
  <si>
    <t>R1471</t>
  </si>
  <si>
    <t>ORD-01466</t>
  </si>
  <si>
    <t>R1472</t>
  </si>
  <si>
    <t>ORD-01467</t>
  </si>
  <si>
    <t>R1473</t>
  </si>
  <si>
    <t>ORD-01468</t>
  </si>
  <si>
    <t>R1474</t>
  </si>
  <si>
    <t>ORD-01469</t>
  </si>
  <si>
    <t>R1475</t>
  </si>
  <si>
    <t>ORD-01470</t>
  </si>
  <si>
    <t>R1476</t>
  </si>
  <si>
    <t>ORD-01471</t>
  </si>
  <si>
    <t>R1477</t>
  </si>
  <si>
    <t>ORD-01472</t>
  </si>
  <si>
    <t>R1478</t>
  </si>
  <si>
    <t>ORD-01473</t>
  </si>
  <si>
    <t>R1479</t>
  </si>
  <si>
    <t>ORD-01474</t>
  </si>
  <si>
    <t>R1480</t>
  </si>
  <si>
    <t>ORD-01475</t>
  </si>
  <si>
    <t>R1481</t>
  </si>
  <si>
    <t>ORD-01476</t>
  </si>
  <si>
    <t>R1482</t>
  </si>
  <si>
    <t>ORD-01477</t>
  </si>
  <si>
    <t>R1483</t>
  </si>
  <si>
    <t>ORD-01478</t>
  </si>
  <si>
    <t>R1484</t>
  </si>
  <si>
    <t>ORD-01479</t>
  </si>
  <si>
    <t>R1485</t>
  </si>
  <si>
    <t>ORD-01480</t>
  </si>
  <si>
    <t>R1486</t>
  </si>
  <si>
    <t>ORD-01481</t>
  </si>
  <si>
    <t>R1487</t>
  </si>
  <si>
    <t>ORD-01482</t>
  </si>
  <si>
    <t>R1488</t>
  </si>
  <si>
    <t>ORD-01483</t>
  </si>
  <si>
    <t>R1489</t>
  </si>
  <si>
    <t>ORD-01484</t>
  </si>
  <si>
    <t>CUST-9844</t>
  </si>
  <si>
    <t>R1490</t>
  </si>
  <si>
    <t>ORD-01485</t>
  </si>
  <si>
    <t>R1491</t>
  </si>
  <si>
    <t>ORD-01486</t>
  </si>
  <si>
    <t>R1492</t>
  </si>
  <si>
    <t>ORD-01487</t>
  </si>
  <si>
    <t>R1493</t>
  </si>
  <si>
    <t>ORD-01488</t>
  </si>
  <si>
    <t>R1494</t>
  </si>
  <si>
    <t>ORD-01489</t>
  </si>
  <si>
    <t>R1495</t>
  </si>
  <si>
    <t>ORD-01490</t>
  </si>
  <si>
    <t>R1496</t>
  </si>
  <si>
    <t>ORD-01491</t>
  </si>
  <si>
    <t>R1497</t>
  </si>
  <si>
    <t>ORD-01492</t>
  </si>
  <si>
    <t>R1498</t>
  </si>
  <si>
    <t>ORD-01493</t>
  </si>
  <si>
    <t>R1499</t>
  </si>
  <si>
    <t>ORD-01494</t>
  </si>
  <si>
    <t>R1500</t>
  </si>
  <si>
    <t>ORD-01495</t>
  </si>
  <si>
    <t>R1501</t>
  </si>
  <si>
    <t>ORD-01496</t>
  </si>
  <si>
    <t>R1502</t>
  </si>
  <si>
    <t>ORD-01497</t>
  </si>
  <si>
    <t>R1503</t>
  </si>
  <si>
    <t>ORD-01498</t>
  </si>
  <si>
    <t>R1504</t>
  </si>
  <si>
    <t>ORD-01499</t>
  </si>
  <si>
    <t>R1505</t>
  </si>
  <si>
    <t>ORD-01500</t>
  </si>
  <si>
    <t>R1506</t>
  </si>
  <si>
    <t>ORD-01501</t>
  </si>
  <si>
    <t>R1507</t>
  </si>
  <si>
    <t>ORD-01502</t>
  </si>
  <si>
    <t>R1508</t>
  </si>
  <si>
    <t>ORD-01503</t>
  </si>
  <si>
    <t>R1509</t>
  </si>
  <si>
    <t>ORD-01504</t>
  </si>
  <si>
    <t>R1510</t>
  </si>
  <si>
    <t>ORD-01505</t>
  </si>
  <si>
    <t>R1511</t>
  </si>
  <si>
    <t>ORD-01506</t>
  </si>
  <si>
    <t>R1512</t>
  </si>
  <si>
    <t>ORD-01507</t>
  </si>
  <si>
    <t>R1513</t>
  </si>
  <si>
    <t>ORD-01508</t>
  </si>
  <si>
    <t>R1514</t>
  </si>
  <si>
    <t>ORD-01509</t>
  </si>
  <si>
    <t>R1515</t>
  </si>
  <si>
    <t>ORD-01510</t>
  </si>
  <si>
    <t>R1516</t>
  </si>
  <si>
    <t>ORD-01511</t>
  </si>
  <si>
    <t>CUST-9582</t>
  </si>
  <si>
    <t>R1517</t>
  </si>
  <si>
    <t>ORD-01512</t>
  </si>
  <si>
    <t>R1518</t>
  </si>
  <si>
    <t>ORD-01513</t>
  </si>
  <si>
    <t>CUST-9565</t>
  </si>
  <si>
    <t>R1519</t>
  </si>
  <si>
    <t>ORD-01514</t>
  </si>
  <si>
    <t>R1520</t>
  </si>
  <si>
    <t>ORD-01515</t>
  </si>
  <si>
    <t>R1521</t>
  </si>
  <si>
    <t>ORD-01516</t>
  </si>
  <si>
    <t>R1522</t>
  </si>
  <si>
    <t>ORD-01517</t>
  </si>
  <si>
    <t>R1523</t>
  </si>
  <si>
    <t>ORD-01518</t>
  </si>
  <si>
    <t>R1524</t>
  </si>
  <si>
    <t>ORD-01519</t>
  </si>
  <si>
    <t>R1525</t>
  </si>
  <si>
    <t>ORD-01520</t>
  </si>
  <si>
    <t>R1526</t>
  </si>
  <si>
    <t>ORD-01521</t>
  </si>
  <si>
    <t>R1527</t>
  </si>
  <si>
    <t>ORD-01522</t>
  </si>
  <si>
    <t>R1528</t>
  </si>
  <si>
    <t>ORD-01523</t>
  </si>
  <si>
    <t>R1529</t>
  </si>
  <si>
    <t>ORD-01524</t>
  </si>
  <si>
    <t>R1530</t>
  </si>
  <si>
    <t>ORD-01525</t>
  </si>
  <si>
    <t>R1531</t>
  </si>
  <si>
    <t>ORD-01526</t>
  </si>
  <si>
    <t>R1532</t>
  </si>
  <si>
    <t>ORD-01527</t>
  </si>
  <si>
    <t>R1533</t>
  </si>
  <si>
    <t>ORD-01528</t>
  </si>
  <si>
    <t>R1534</t>
  </si>
  <si>
    <t>ORD-01529</t>
  </si>
  <si>
    <t>R1535</t>
  </si>
  <si>
    <t>ORD-01530</t>
  </si>
  <si>
    <t>R1536</t>
  </si>
  <si>
    <t>ORD-01821</t>
  </si>
  <si>
    <t>R1537</t>
  </si>
  <si>
    <t>ORD-01532</t>
  </si>
  <si>
    <t>R1538</t>
  </si>
  <si>
    <t>ORD-01533</t>
  </si>
  <si>
    <t>R1539</t>
  </si>
  <si>
    <t>ORD-01534</t>
  </si>
  <si>
    <t>R1540</t>
  </si>
  <si>
    <t>ORD-01535</t>
  </si>
  <si>
    <t>R1541</t>
  </si>
  <si>
    <t>ORD-01536</t>
  </si>
  <si>
    <t>R1542</t>
  </si>
  <si>
    <t>ORD-01537</t>
  </si>
  <si>
    <t>R1543</t>
  </si>
  <si>
    <t>ORD-01538</t>
  </si>
  <si>
    <t>R1544</t>
  </si>
  <si>
    <t>ORD-01539</t>
  </si>
  <si>
    <t>R1545</t>
  </si>
  <si>
    <t>ORD-01540</t>
  </si>
  <si>
    <t>R1546</t>
  </si>
  <si>
    <t>ORD-01541</t>
  </si>
  <si>
    <t>R1547</t>
  </si>
  <si>
    <t>ORD-01542</t>
  </si>
  <si>
    <t>R1548</t>
  </si>
  <si>
    <t>ORD-01543</t>
  </si>
  <si>
    <t>R1549</t>
  </si>
  <si>
    <t>ORD-01544</t>
  </si>
  <si>
    <t>R1550</t>
  </si>
  <si>
    <t>ORD-01545</t>
  </si>
  <si>
    <t>R1551</t>
  </si>
  <si>
    <t>ORD-01546</t>
  </si>
  <si>
    <t>R1552</t>
  </si>
  <si>
    <t>ORD-01547</t>
  </si>
  <si>
    <t>R1553</t>
  </si>
  <si>
    <t>ORD-01548</t>
  </si>
  <si>
    <t>R1554</t>
  </si>
  <si>
    <t>ORD-01549</t>
  </si>
  <si>
    <t>R1555</t>
  </si>
  <si>
    <t>ORD-01550</t>
  </si>
  <si>
    <t>R1556</t>
  </si>
  <si>
    <t>ORD-01551</t>
  </si>
  <si>
    <t>R1557</t>
  </si>
  <si>
    <t>ORD-01552</t>
  </si>
  <si>
    <t>R1558</t>
  </si>
  <si>
    <t>ORD-01553</t>
  </si>
  <si>
    <t>R1559</t>
  </si>
  <si>
    <t>ORD-01554</t>
  </si>
  <si>
    <t>R1560</t>
  </si>
  <si>
    <t>ORD-01555</t>
  </si>
  <si>
    <t>CUST-9841</t>
  </si>
  <si>
    <t>R1561</t>
  </si>
  <si>
    <t>ORD-01556</t>
  </si>
  <si>
    <t>R1562</t>
  </si>
  <si>
    <t>ORD-01557</t>
  </si>
  <si>
    <t>CUST-0140</t>
  </si>
  <si>
    <t>R1563</t>
  </si>
  <si>
    <t>ORD-01558</t>
  </si>
  <si>
    <t>R1564</t>
  </si>
  <si>
    <t>ORD-01559</t>
  </si>
  <si>
    <t>R1565</t>
  </si>
  <si>
    <t>ORD-01560</t>
  </si>
  <si>
    <t>R1566</t>
  </si>
  <si>
    <t>ORD-01561</t>
  </si>
  <si>
    <t>R1567</t>
  </si>
  <si>
    <t>ORD-01562</t>
  </si>
  <si>
    <t>R1568</t>
  </si>
  <si>
    <t>ORD-01563</t>
  </si>
  <si>
    <t>R1569</t>
  </si>
  <si>
    <t>ORD-01564</t>
  </si>
  <si>
    <t>R1570</t>
  </si>
  <si>
    <t>ORD-01565</t>
  </si>
  <si>
    <t>R1571</t>
  </si>
  <si>
    <t>ORD-01566</t>
  </si>
  <si>
    <t>R1572</t>
  </si>
  <si>
    <t>ORD-01567</t>
  </si>
  <si>
    <t>R1573</t>
  </si>
  <si>
    <t>ORD-01568</t>
  </si>
  <si>
    <t>R1574</t>
  </si>
  <si>
    <t>ORD-01569</t>
  </si>
  <si>
    <t>R1575</t>
  </si>
  <si>
    <t>ORD-01570</t>
  </si>
  <si>
    <t>R1576</t>
  </si>
  <si>
    <t>ORD-01571</t>
  </si>
  <si>
    <t>R1577</t>
  </si>
  <si>
    <t>ORD-01572</t>
  </si>
  <si>
    <t>R1578</t>
  </si>
  <si>
    <t>ORD-01573</t>
  </si>
  <si>
    <t>R1579</t>
  </si>
  <si>
    <t>ORD-01574</t>
  </si>
  <si>
    <t>R1580</t>
  </si>
  <si>
    <t>ORD-01575</t>
  </si>
  <si>
    <t>R1581</t>
  </si>
  <si>
    <t>ORD-01576</t>
  </si>
  <si>
    <t>R1582</t>
  </si>
  <si>
    <t>ORD-01577</t>
  </si>
  <si>
    <t>R1583</t>
  </si>
  <si>
    <t>ORD-01578</t>
  </si>
  <si>
    <t>R1584</t>
  </si>
  <si>
    <t>ORD-01579</t>
  </si>
  <si>
    <t>R1585</t>
  </si>
  <si>
    <t>ORD-01580</t>
  </si>
  <si>
    <t>R1586</t>
  </si>
  <si>
    <t>ORD-01581</t>
  </si>
  <si>
    <t>R1587</t>
  </si>
  <si>
    <t>ORD-01582</t>
  </si>
  <si>
    <t>R1588</t>
  </si>
  <si>
    <t>ORD-01583</t>
  </si>
  <si>
    <t>R1589</t>
  </si>
  <si>
    <t>ORD-01584</t>
  </si>
  <si>
    <t>R1590</t>
  </si>
  <si>
    <t>ORD-01585</t>
  </si>
  <si>
    <t>R1591</t>
  </si>
  <si>
    <t>ORD-01586</t>
  </si>
  <si>
    <t>R1592</t>
  </si>
  <si>
    <t>ORD-01587</t>
  </si>
  <si>
    <t>R1593</t>
  </si>
  <si>
    <t>ORD-01588</t>
  </si>
  <si>
    <t>R1594</t>
  </si>
  <si>
    <t>ORD-01589</t>
  </si>
  <si>
    <t>R1595</t>
  </si>
  <si>
    <t>ORD-01590</t>
  </si>
  <si>
    <t>R1596</t>
  </si>
  <si>
    <t>ORD-01591</t>
  </si>
  <si>
    <t>R1597</t>
  </si>
  <si>
    <t>ORD-01592</t>
  </si>
  <si>
    <t>R1598</t>
  </si>
  <si>
    <t>ORD-01593</t>
  </si>
  <si>
    <t>R1599</t>
  </si>
  <si>
    <t>ORD-01594</t>
  </si>
  <si>
    <t>R1600</t>
  </si>
  <si>
    <t>ORD-01595</t>
  </si>
  <si>
    <t>R1601</t>
  </si>
  <si>
    <t>CHENNAI</t>
  </si>
  <si>
    <t>ORD-01596</t>
  </si>
  <si>
    <t>R1602</t>
  </si>
  <si>
    <t>ORD-01597</t>
  </si>
  <si>
    <t>R1603</t>
  </si>
  <si>
    <t>ORD-01598</t>
  </si>
  <si>
    <t>R1604</t>
  </si>
  <si>
    <t>ORD-01599</t>
  </si>
  <si>
    <t>R1605</t>
  </si>
  <si>
    <t>ORD-01600</t>
  </si>
  <si>
    <t>R1606</t>
  </si>
  <si>
    <t>ORD-01601</t>
  </si>
  <si>
    <t>R1607</t>
  </si>
  <si>
    <t>ORD-01602</t>
  </si>
  <si>
    <t>R1608</t>
  </si>
  <si>
    <t>ORD-01603</t>
  </si>
  <si>
    <t>R1609</t>
  </si>
  <si>
    <t>ORD-01604</t>
  </si>
  <si>
    <t>R1610</t>
  </si>
  <si>
    <t>ORD-01605</t>
  </si>
  <si>
    <t>R1611</t>
  </si>
  <si>
    <t>ORD-01606</t>
  </si>
  <si>
    <t>R1612</t>
  </si>
  <si>
    <t>ORD-01607</t>
  </si>
  <si>
    <t>R1613</t>
  </si>
  <si>
    <t>ORD-01608</t>
  </si>
  <si>
    <t>R1614</t>
  </si>
  <si>
    <t>ORD-01609</t>
  </si>
  <si>
    <t>R1615</t>
  </si>
  <si>
    <t>ORD-01610</t>
  </si>
  <si>
    <t>R1616</t>
  </si>
  <si>
    <t>ORD-01611</t>
  </si>
  <si>
    <t>R1617</t>
  </si>
  <si>
    <t>ORD-01612</t>
  </si>
  <si>
    <t>R1618</t>
  </si>
  <si>
    <t>ORD-01613</t>
  </si>
  <si>
    <t>R1619</t>
  </si>
  <si>
    <t>ORD-01614</t>
  </si>
  <si>
    <t>R1620</t>
  </si>
  <si>
    <t>ORD-01615</t>
  </si>
  <si>
    <t>R1621</t>
  </si>
  <si>
    <t>ORD-01616</t>
  </si>
  <si>
    <t>R1622</t>
  </si>
  <si>
    <t>ORD-01617</t>
  </si>
  <si>
    <t>R1623</t>
  </si>
  <si>
    <t>ORD-01618</t>
  </si>
  <si>
    <t>R1624</t>
  </si>
  <si>
    <t>ORD-01619</t>
  </si>
  <si>
    <t>R1625</t>
  </si>
  <si>
    <t>ORD-01620</t>
  </si>
  <si>
    <t>R1626</t>
  </si>
  <si>
    <t>ORD-01621</t>
  </si>
  <si>
    <t>R1627</t>
  </si>
  <si>
    <t>ORD-01622</t>
  </si>
  <si>
    <t>R1628</t>
  </si>
  <si>
    <t>R1629</t>
  </si>
  <si>
    <t>ORD-01624</t>
  </si>
  <si>
    <t>R1630</t>
  </si>
  <si>
    <t>ORD-01625</t>
  </si>
  <si>
    <t>R1631</t>
  </si>
  <si>
    <t>ORD-01626</t>
  </si>
  <si>
    <t>R1632</t>
  </si>
  <si>
    <t>ORD-01627</t>
  </si>
  <si>
    <t>R1633</t>
  </si>
  <si>
    <t>ORD-01628</t>
  </si>
  <si>
    <t>R1634</t>
  </si>
  <si>
    <t>ORD-01629</t>
  </si>
  <si>
    <t>R1635</t>
  </si>
  <si>
    <t>ORD-01630</t>
  </si>
  <si>
    <t>R1636</t>
  </si>
  <si>
    <t>ORD-01631</t>
  </si>
  <si>
    <t>R1637</t>
  </si>
  <si>
    <t>ORD-01632</t>
  </si>
  <si>
    <t>R1638</t>
  </si>
  <si>
    <t>ORD-01633</t>
  </si>
  <si>
    <t>R1639</t>
  </si>
  <si>
    <t>ORD-01634</t>
  </si>
  <si>
    <t>R1640</t>
  </si>
  <si>
    <t>ORD-01635</t>
  </si>
  <si>
    <t>R1641</t>
  </si>
  <si>
    <t>ORD-01636</t>
  </si>
  <si>
    <t>R1642</t>
  </si>
  <si>
    <t>ORD-01637</t>
  </si>
  <si>
    <t>R1643</t>
  </si>
  <si>
    <t>ORD-01638</t>
  </si>
  <si>
    <t>R1644</t>
  </si>
  <si>
    <t>ORD-01639</t>
  </si>
  <si>
    <t>R1645</t>
  </si>
  <si>
    <t>ORD-01640</t>
  </si>
  <si>
    <t>R1646</t>
  </si>
  <si>
    <t>ORD-01641</t>
  </si>
  <si>
    <t>R1647</t>
  </si>
  <si>
    <t>ORD-01642</t>
  </si>
  <si>
    <t>R1648</t>
  </si>
  <si>
    <t>ORD-01643</t>
  </si>
  <si>
    <t>R1649</t>
  </si>
  <si>
    <t>ORD-01644</t>
  </si>
  <si>
    <t>R1650</t>
  </si>
  <si>
    <t>ORD-01645</t>
  </si>
  <si>
    <t>R1651</t>
  </si>
  <si>
    <t>ORD-01646</t>
  </si>
  <si>
    <t>R1652</t>
  </si>
  <si>
    <t>ORD-01647</t>
  </si>
  <si>
    <t>R1653</t>
  </si>
  <si>
    <t>ORD-01648</t>
  </si>
  <si>
    <t>R1654</t>
  </si>
  <si>
    <t>ORD-01649</t>
  </si>
  <si>
    <t>R1655</t>
  </si>
  <si>
    <t>ORD-01650</t>
  </si>
  <si>
    <t>R1656</t>
  </si>
  <si>
    <t>ORD-01651</t>
  </si>
  <si>
    <t>R1657</t>
  </si>
  <si>
    <t>ORD-01652</t>
  </si>
  <si>
    <t>R1658</t>
  </si>
  <si>
    <t>ORD-01653</t>
  </si>
  <si>
    <t>R1659</t>
  </si>
  <si>
    <t>ORD-01654</t>
  </si>
  <si>
    <t>CUST-9719</t>
  </si>
  <si>
    <t>R1660</t>
  </si>
  <si>
    <t>ORD-01655</t>
  </si>
  <si>
    <t>R1661</t>
  </si>
  <si>
    <t>ORD-01656</t>
  </si>
  <si>
    <t>R1662</t>
  </si>
  <si>
    <t>ORD-01657</t>
  </si>
  <si>
    <t>R1663</t>
  </si>
  <si>
    <t>ORD-01658</t>
  </si>
  <si>
    <t>R1664</t>
  </si>
  <si>
    <t>ORD-01659</t>
  </si>
  <si>
    <t>R1665</t>
  </si>
  <si>
    <t>ORD-01660</t>
  </si>
  <si>
    <t>R1666</t>
  </si>
  <si>
    <t>ORD-01661</t>
  </si>
  <si>
    <t>R1667</t>
  </si>
  <si>
    <t>R1668</t>
  </si>
  <si>
    <t>ORD-01663</t>
  </si>
  <si>
    <t>R1669</t>
  </si>
  <si>
    <t>ORD-01664</t>
  </si>
  <si>
    <t>R1670</t>
  </si>
  <si>
    <t>ORD-01665</t>
  </si>
  <si>
    <t>R1671</t>
  </si>
  <si>
    <t>ORD-01666</t>
  </si>
  <si>
    <t>R1672</t>
  </si>
  <si>
    <t>ORD-01667</t>
  </si>
  <si>
    <t>R1673</t>
  </si>
  <si>
    <t>ORD-01668</t>
  </si>
  <si>
    <t>R1674</t>
  </si>
  <si>
    <t>ORD-01669</t>
  </si>
  <si>
    <t>CUST-9765</t>
  </si>
  <si>
    <t>R1675</t>
  </si>
  <si>
    <t>ORD-01670</t>
  </si>
  <si>
    <t>R1676</t>
  </si>
  <si>
    <t>ORD-01671</t>
  </si>
  <si>
    <t>R1677</t>
  </si>
  <si>
    <t>ORD-01672</t>
  </si>
  <si>
    <t>CUST-9552</t>
  </si>
  <si>
    <t>R1678</t>
  </si>
  <si>
    <t>ORD-01673</t>
  </si>
  <si>
    <t>R1679</t>
  </si>
  <si>
    <t>ORD-01674</t>
  </si>
  <si>
    <t>R1680</t>
  </si>
  <si>
    <t>ORD-01675</t>
  </si>
  <si>
    <t>R1681</t>
  </si>
  <si>
    <t>ORD-01676</t>
  </si>
  <si>
    <t>R1682</t>
  </si>
  <si>
    <t>ORD-01677</t>
  </si>
  <si>
    <t>R1683</t>
  </si>
  <si>
    <t>ORD-01678</t>
  </si>
  <si>
    <t>R1684</t>
  </si>
  <si>
    <t>ORD-01679</t>
  </si>
  <si>
    <t>R1685</t>
  </si>
  <si>
    <t>ORD-01680</t>
  </si>
  <si>
    <t>R1686</t>
  </si>
  <si>
    <t>ORD-01681</t>
  </si>
  <si>
    <t>R1687</t>
  </si>
  <si>
    <t>ORD-01682</t>
  </si>
  <si>
    <t>R1688</t>
  </si>
  <si>
    <t>ORD-01683</t>
  </si>
  <si>
    <t>R1689</t>
  </si>
  <si>
    <t>ORD-01684</t>
  </si>
  <si>
    <t>R1690</t>
  </si>
  <si>
    <t>ORD-01685</t>
  </si>
  <si>
    <t>CUST-9740</t>
  </si>
  <si>
    <t>R1691</t>
  </si>
  <si>
    <t>ORD-01686</t>
  </si>
  <si>
    <t>R1692</t>
  </si>
  <si>
    <t>ORD-01687</t>
  </si>
  <si>
    <t>R1693</t>
  </si>
  <si>
    <t>ORD-01688</t>
  </si>
  <si>
    <t>R1694</t>
  </si>
  <si>
    <t>ORD-01689</t>
  </si>
  <si>
    <t>R1695</t>
  </si>
  <si>
    <t>ORD-01690</t>
  </si>
  <si>
    <t>R1696</t>
  </si>
  <si>
    <t>ORD-01691</t>
  </si>
  <si>
    <t>R1697</t>
  </si>
  <si>
    <t>ORD-01692</t>
  </si>
  <si>
    <t>R1698</t>
  </si>
  <si>
    <t>ORD-01693</t>
  </si>
  <si>
    <t>R1699</t>
  </si>
  <si>
    <t>ORD-01694</t>
  </si>
  <si>
    <t>R1700</t>
  </si>
  <si>
    <t>ORD-01695</t>
  </si>
  <si>
    <t>R1701</t>
  </si>
  <si>
    <t>ORD-01696</t>
  </si>
  <si>
    <t>R1702</t>
  </si>
  <si>
    <t>ORD-01697</t>
  </si>
  <si>
    <t>R1703</t>
  </si>
  <si>
    <t>ORD-01698</t>
  </si>
  <si>
    <t>R1704</t>
  </si>
  <si>
    <t>ORD-01699</t>
  </si>
  <si>
    <t>R1705</t>
  </si>
  <si>
    <t>ORD-01700</t>
  </si>
  <si>
    <t>R1706</t>
  </si>
  <si>
    <t>ORD-01701</t>
  </si>
  <si>
    <t>R1707</t>
  </si>
  <si>
    <t>ORD-01702</t>
  </si>
  <si>
    <t>R1708</t>
  </si>
  <si>
    <t>ORD-01703</t>
  </si>
  <si>
    <t>R1709</t>
  </si>
  <si>
    <t>ORD-01704</t>
  </si>
  <si>
    <t>R1710</t>
  </si>
  <si>
    <t>ORD-01705</t>
  </si>
  <si>
    <t>R1711</t>
  </si>
  <si>
    <t>ORD-01706</t>
  </si>
  <si>
    <t>R1712</t>
  </si>
  <si>
    <t>ORD-01707</t>
  </si>
  <si>
    <t>R1713</t>
  </si>
  <si>
    <t>ORD-01708</t>
  </si>
  <si>
    <t>R1714</t>
  </si>
  <si>
    <t>ORD-01709</t>
  </si>
  <si>
    <t>R1715</t>
  </si>
  <si>
    <t>ORD-01710</t>
  </si>
  <si>
    <t>R1716</t>
  </si>
  <si>
    <t>ORD-01711</t>
  </si>
  <si>
    <t>R1717</t>
  </si>
  <si>
    <t>ORD-01712</t>
  </si>
  <si>
    <t>R1718</t>
  </si>
  <si>
    <t>ORD-01713</t>
  </si>
  <si>
    <t>R1719</t>
  </si>
  <si>
    <t>ORD-01714</t>
  </si>
  <si>
    <t>R1720</t>
  </si>
  <si>
    <t>ORD-01715</t>
  </si>
  <si>
    <t>R1721</t>
  </si>
  <si>
    <t>ORD-01716</t>
  </si>
  <si>
    <t>R1722</t>
  </si>
  <si>
    <t>ORD-01717</t>
  </si>
  <si>
    <t>R1723</t>
  </si>
  <si>
    <t>ORD-01718</t>
  </si>
  <si>
    <t>R1724</t>
  </si>
  <si>
    <t>ORD-01719</t>
  </si>
  <si>
    <t>R1725</t>
  </si>
  <si>
    <t>ORD-01720</t>
  </si>
  <si>
    <t>R1726</t>
  </si>
  <si>
    <t>ORD-01721</t>
  </si>
  <si>
    <t>R1727</t>
  </si>
  <si>
    <t>ORD-01722</t>
  </si>
  <si>
    <t>R1728</t>
  </si>
  <si>
    <t>ORD-01723</t>
  </si>
  <si>
    <t>R1729</t>
  </si>
  <si>
    <t>ORD-01724</t>
  </si>
  <si>
    <t>R1730</t>
  </si>
  <si>
    <t>ORD-01725</t>
  </si>
  <si>
    <t>R1731</t>
  </si>
  <si>
    <t>ORD-01726</t>
  </si>
  <si>
    <t>R1732</t>
  </si>
  <si>
    <t>ORD-01727</t>
  </si>
  <si>
    <t>R1733</t>
  </si>
  <si>
    <t>ORD-01728</t>
  </si>
  <si>
    <t>R1734</t>
  </si>
  <si>
    <t>ORD-01729</t>
  </si>
  <si>
    <t>R1735</t>
  </si>
  <si>
    <t>ORD-01730</t>
  </si>
  <si>
    <t>R1736</t>
  </si>
  <si>
    <t>ORD-01731</t>
  </si>
  <si>
    <t>R1737</t>
  </si>
  <si>
    <t>ORD-01732</t>
  </si>
  <si>
    <t>R1738</t>
  </si>
  <si>
    <t>ORD-01733</t>
  </si>
  <si>
    <t>R1739</t>
  </si>
  <si>
    <t>ORD-01734</t>
  </si>
  <si>
    <t>R1740</t>
  </si>
  <si>
    <t>ORD-01735</t>
  </si>
  <si>
    <t>R1741</t>
  </si>
  <si>
    <t>ORD-01736</t>
  </si>
  <si>
    <t>R1742</t>
  </si>
  <si>
    <t>ORD-01737</t>
  </si>
  <si>
    <t>R1743</t>
  </si>
  <si>
    <t>ORD-01738</t>
  </si>
  <si>
    <t>R1744</t>
  </si>
  <si>
    <t>ORD-01739</t>
  </si>
  <si>
    <t>R1745</t>
  </si>
  <si>
    <t>ORD-01740</t>
  </si>
  <si>
    <t>R1746</t>
  </si>
  <si>
    <t>ORD-01741</t>
  </si>
  <si>
    <t>R1747</t>
  </si>
  <si>
    <t>ORD-01742</t>
  </si>
  <si>
    <t>R1748</t>
  </si>
  <si>
    <t>ORD-01743</t>
  </si>
  <si>
    <t>R1749</t>
  </si>
  <si>
    <t>ORD-01744</t>
  </si>
  <si>
    <t>R1750</t>
  </si>
  <si>
    <t>ORD-01745</t>
  </si>
  <si>
    <t>R1751</t>
  </si>
  <si>
    <t>ORD-01746</t>
  </si>
  <si>
    <t>R1752</t>
  </si>
  <si>
    <t>ORD-01747</t>
  </si>
  <si>
    <t>R1753</t>
  </si>
  <si>
    <t>ORD-01748</t>
  </si>
  <si>
    <t>R1754</t>
  </si>
  <si>
    <t>ORD-01749</t>
  </si>
  <si>
    <t>R1755</t>
  </si>
  <si>
    <t>ORD-01750</t>
  </si>
  <si>
    <t>R1756</t>
  </si>
  <si>
    <t>ORD-01751</t>
  </si>
  <si>
    <t>R1757</t>
  </si>
  <si>
    <t>ORD-01752</t>
  </si>
  <si>
    <t>R1758</t>
  </si>
  <si>
    <t>ORD-01753</t>
  </si>
  <si>
    <t>R1759</t>
  </si>
  <si>
    <t>ORD-01754</t>
  </si>
  <si>
    <t>R1760</t>
  </si>
  <si>
    <t>ORD-01755</t>
  </si>
  <si>
    <t>R1761</t>
  </si>
  <si>
    <t>ORD-01756</t>
  </si>
  <si>
    <t>R1762</t>
  </si>
  <si>
    <t>ORD-01757</t>
  </si>
  <si>
    <t>R1763</t>
  </si>
  <si>
    <t>ORD-01758</t>
  </si>
  <si>
    <t>R1764</t>
  </si>
  <si>
    <t>ORD-01759</t>
  </si>
  <si>
    <t>R1765</t>
  </si>
  <si>
    <t>ORD-01760</t>
  </si>
  <si>
    <t>R1766</t>
  </si>
  <si>
    <t>ORD-01761</t>
  </si>
  <si>
    <t>R1767</t>
  </si>
  <si>
    <t>ORD-01762</t>
  </si>
  <si>
    <t>R1768</t>
  </si>
  <si>
    <t>ORD-01763</t>
  </si>
  <si>
    <t>R1769</t>
  </si>
  <si>
    <t>ORD-01764</t>
  </si>
  <si>
    <t>R1770</t>
  </si>
  <si>
    <t>ORD-01765</t>
  </si>
  <si>
    <t>R1771</t>
  </si>
  <si>
    <t>ORD-01766</t>
  </si>
  <si>
    <t>R1772</t>
  </si>
  <si>
    <t>ORD-01767</t>
  </si>
  <si>
    <t>R1773</t>
  </si>
  <si>
    <t>ORD-01768</t>
  </si>
  <si>
    <t>R1774</t>
  </si>
  <si>
    <t>ORD-01769</t>
  </si>
  <si>
    <t>R1775</t>
  </si>
  <si>
    <t>R1776</t>
  </si>
  <si>
    <t>ORD-01771</t>
  </si>
  <si>
    <t>R1777</t>
  </si>
  <si>
    <t>ORD-01772</t>
  </si>
  <si>
    <t>R1778</t>
  </si>
  <si>
    <t>ORD-01773</t>
  </si>
  <si>
    <t>R1779</t>
  </si>
  <si>
    <t>ORD-01774</t>
  </si>
  <si>
    <t>R1780</t>
  </si>
  <si>
    <t>ORD-01775</t>
  </si>
  <si>
    <t>R1781</t>
  </si>
  <si>
    <t>ORD-01776</t>
  </si>
  <si>
    <t>R1782</t>
  </si>
  <si>
    <t>ORD-01777</t>
  </si>
  <si>
    <t>R1783</t>
  </si>
  <si>
    <t>ORD-01778</t>
  </si>
  <si>
    <t>R1784</t>
  </si>
  <si>
    <t>ORD-01779</t>
  </si>
  <si>
    <t>R1785</t>
  </si>
  <si>
    <t>ORD-01780</t>
  </si>
  <si>
    <t>R1786</t>
  </si>
  <si>
    <t>ORD-01781</t>
  </si>
  <si>
    <t>R1787</t>
  </si>
  <si>
    <t>ORD-01782</t>
  </si>
  <si>
    <t>R1788</t>
  </si>
  <si>
    <t>ORD-01783</t>
  </si>
  <si>
    <t>R1789</t>
  </si>
  <si>
    <t>ORD-01784</t>
  </si>
  <si>
    <t>R1790</t>
  </si>
  <si>
    <t>ORD-01785</t>
  </si>
  <si>
    <t>R1791</t>
  </si>
  <si>
    <t>ORD-01786</t>
  </si>
  <si>
    <t>R1792</t>
  </si>
  <si>
    <t>ORD-01787</t>
  </si>
  <si>
    <t>R1793</t>
  </si>
  <si>
    <t>ORD-01788</t>
  </si>
  <si>
    <t>R1794</t>
  </si>
  <si>
    <t>ORD-01789</t>
  </si>
  <si>
    <t>R1795</t>
  </si>
  <si>
    <t>ORD-01790</t>
  </si>
  <si>
    <t>R1796</t>
  </si>
  <si>
    <t>R1797</t>
  </si>
  <si>
    <t>ORD-01792</t>
  </si>
  <si>
    <t>R1798</t>
  </si>
  <si>
    <t>ORD-01793</t>
  </si>
  <si>
    <t>R1799</t>
  </si>
  <si>
    <t>ORD-01794</t>
  </si>
  <si>
    <t>R1800</t>
  </si>
  <si>
    <t>ORD-01795</t>
  </si>
  <si>
    <t>R1801</t>
  </si>
  <si>
    <t>ORD-01796</t>
  </si>
  <si>
    <t>R1802</t>
  </si>
  <si>
    <t>ORD-01797</t>
  </si>
  <si>
    <t>R1803</t>
  </si>
  <si>
    <t>ORD-01798</t>
  </si>
  <si>
    <t>R1804</t>
  </si>
  <si>
    <t>ORD-01799</t>
  </si>
  <si>
    <t>R1805</t>
  </si>
  <si>
    <t>ORD-01800</t>
  </si>
  <si>
    <t>R1806</t>
  </si>
  <si>
    <t>ORD-01801</t>
  </si>
  <si>
    <t>R1807</t>
  </si>
  <si>
    <t>ORD-01802</t>
  </si>
  <si>
    <t>R1808</t>
  </si>
  <si>
    <t>ORD-01803</t>
  </si>
  <si>
    <t>R1809</t>
  </si>
  <si>
    <t>ORD-01804</t>
  </si>
  <si>
    <t>R1810</t>
  </si>
  <si>
    <t>ORD-01805</t>
  </si>
  <si>
    <t>CUST-9725</t>
  </si>
  <si>
    <t>R1811</t>
  </si>
  <si>
    <t>ORD-01806</t>
  </si>
  <si>
    <t>R1812</t>
  </si>
  <si>
    <t>ORD-01807</t>
  </si>
  <si>
    <t>R1813</t>
  </si>
  <si>
    <t>ORD-01808</t>
  </si>
  <si>
    <t>R1814</t>
  </si>
  <si>
    <t>ORD-01809</t>
  </si>
  <si>
    <t>R1815</t>
  </si>
  <si>
    <t>ORD-01810</t>
  </si>
  <si>
    <t>R1816</t>
  </si>
  <si>
    <t>ORD-01811</t>
  </si>
  <si>
    <t>R1817</t>
  </si>
  <si>
    <t>ORD-01812</t>
  </si>
  <si>
    <t>R1818</t>
  </si>
  <si>
    <t>ORD-01813</t>
  </si>
  <si>
    <t>R1819</t>
  </si>
  <si>
    <t>ORD-01814</t>
  </si>
  <si>
    <t>R1820</t>
  </si>
  <si>
    <t>ORD-01815</t>
  </si>
  <si>
    <t>CUST-9630</t>
  </si>
  <si>
    <t>R1821</t>
  </si>
  <si>
    <t>ORD-01816</t>
  </si>
  <si>
    <t>R1822</t>
  </si>
  <si>
    <t>ORD-01817</t>
  </si>
  <si>
    <t>R1823</t>
  </si>
  <si>
    <t>ORD-01818</t>
  </si>
  <si>
    <t>R1824</t>
  </si>
  <si>
    <t>ORD-01819</t>
  </si>
  <si>
    <t>R1825</t>
  </si>
  <si>
    <t>ORD-01820</t>
  </si>
  <si>
    <t>R1826</t>
  </si>
  <si>
    <t>R1827</t>
  </si>
  <si>
    <t>ORD-01822</t>
  </si>
  <si>
    <t>R1828</t>
  </si>
  <si>
    <t>ORD-01823</t>
  </si>
  <si>
    <t>R1829</t>
  </si>
  <si>
    <t>ORD-01824</t>
  </si>
  <si>
    <t>R1830</t>
  </si>
  <si>
    <t>ORD-01825</t>
  </si>
  <si>
    <t>R1831</t>
  </si>
  <si>
    <t>ORD-01826</t>
  </si>
  <si>
    <t>R1832</t>
  </si>
  <si>
    <t>ORD-01827</t>
  </si>
  <si>
    <t>R1833</t>
  </si>
  <si>
    <t>ORD-01828</t>
  </si>
  <si>
    <t>R1834</t>
  </si>
  <si>
    <t>ORD-01829</t>
  </si>
  <si>
    <t>R1835</t>
  </si>
  <si>
    <t>ORD-01830</t>
  </si>
  <si>
    <t>R1836</t>
  </si>
  <si>
    <t>ORD-01831</t>
  </si>
  <si>
    <t>R1837</t>
  </si>
  <si>
    <t>ORD-01832</t>
  </si>
  <si>
    <t>R1838</t>
  </si>
  <si>
    <t>ORD-01833</t>
  </si>
  <si>
    <t>R1839</t>
  </si>
  <si>
    <t>ORD-01834</t>
  </si>
  <si>
    <t>R1840</t>
  </si>
  <si>
    <t>ORD-01835</t>
  </si>
  <si>
    <t>R1841</t>
  </si>
  <si>
    <t>ORD-01836</t>
  </si>
  <si>
    <t>R1842</t>
  </si>
  <si>
    <t>ORD-01837</t>
  </si>
  <si>
    <t>R1843</t>
  </si>
  <si>
    <t>ORD-01838</t>
  </si>
  <si>
    <t>R1844</t>
  </si>
  <si>
    <t>ORD-01839</t>
  </si>
  <si>
    <t>R1845</t>
  </si>
  <si>
    <t>ORD-01840</t>
  </si>
  <si>
    <t>R1846</t>
  </si>
  <si>
    <t>ORD-01841</t>
  </si>
  <si>
    <t>R1847</t>
  </si>
  <si>
    <t>ORD-01842</t>
  </si>
  <si>
    <t>R1848</t>
  </si>
  <si>
    <t>ORD-01843</t>
  </si>
  <si>
    <t>R1849</t>
  </si>
  <si>
    <t>ORD-01844</t>
  </si>
  <si>
    <t>R1850</t>
  </si>
  <si>
    <t>ORD-01845</t>
  </si>
  <si>
    <t>R1851</t>
  </si>
  <si>
    <t>ORD-01846</t>
  </si>
  <si>
    <t>R1852</t>
  </si>
  <si>
    <t>ORD-01847</t>
  </si>
  <si>
    <t>R1853</t>
  </si>
  <si>
    <t>ORD-01848</t>
  </si>
  <si>
    <t>R1854</t>
  </si>
  <si>
    <t>ORD-01849</t>
  </si>
  <si>
    <t>R1855</t>
  </si>
  <si>
    <t>ORD-01850</t>
  </si>
  <si>
    <t>R1856</t>
  </si>
  <si>
    <t>ORD-01851</t>
  </si>
  <si>
    <t>R1857</t>
  </si>
  <si>
    <t>ORD-01852</t>
  </si>
  <si>
    <t>R1858</t>
  </si>
  <si>
    <t>ORD-01853</t>
  </si>
  <si>
    <t>R1859</t>
  </si>
  <si>
    <t>ORD-01854</t>
  </si>
  <si>
    <t>R1860</t>
  </si>
  <si>
    <t>ORD-01855</t>
  </si>
  <si>
    <t>R1861</t>
  </si>
  <si>
    <t>ORD-01856</t>
  </si>
  <si>
    <t>R1862</t>
  </si>
  <si>
    <t>ORD-01857</t>
  </si>
  <si>
    <t>R1863</t>
  </si>
  <si>
    <t>ORD-01858</t>
  </si>
  <si>
    <t>R1864</t>
  </si>
  <si>
    <t>ORD-01859</t>
  </si>
  <si>
    <t>R1865</t>
  </si>
  <si>
    <t>ORD-01860</t>
  </si>
  <si>
    <t>R1866</t>
  </si>
  <si>
    <t>ORD-01861</t>
  </si>
  <si>
    <t>R1867</t>
  </si>
  <si>
    <t>ORD-01862</t>
  </si>
  <si>
    <t>R1868</t>
  </si>
  <si>
    <t>ORD-01863</t>
  </si>
  <si>
    <t>R1869</t>
  </si>
  <si>
    <t>ORD-01864</t>
  </si>
  <si>
    <t>R1870</t>
  </si>
  <si>
    <t>ORD-01865</t>
  </si>
  <si>
    <t>R1871</t>
  </si>
  <si>
    <t>ORD-01866</t>
  </si>
  <si>
    <t>R1872</t>
  </si>
  <si>
    <t>ORD-01867</t>
  </si>
  <si>
    <t>R1873</t>
  </si>
  <si>
    <t>ORD-01868</t>
  </si>
  <si>
    <t>R1874</t>
  </si>
  <si>
    <t>ORD-01869</t>
  </si>
  <si>
    <t>R1875</t>
  </si>
  <si>
    <t>ORD-01870</t>
  </si>
  <si>
    <t>R1876</t>
  </si>
  <si>
    <t>ORD-01871</t>
  </si>
  <si>
    <t>R1877</t>
  </si>
  <si>
    <t>ORD-01872</t>
  </si>
  <si>
    <t>R1878</t>
  </si>
  <si>
    <t>R1879</t>
  </si>
  <si>
    <t>ORD-01874</t>
  </si>
  <si>
    <t>R1880</t>
  </si>
  <si>
    <t>ORD-01875</t>
  </si>
  <si>
    <t>R1881</t>
  </si>
  <si>
    <t>ORD-01876</t>
  </si>
  <si>
    <t>R1882</t>
  </si>
  <si>
    <t>ORD-01877</t>
  </si>
  <si>
    <t>R1883</t>
  </si>
  <si>
    <t>ORD-01878</t>
  </si>
  <si>
    <t>R1884</t>
  </si>
  <si>
    <t>ORD-01879</t>
  </si>
  <si>
    <t>R1885</t>
  </si>
  <si>
    <t>ORD-01880</t>
  </si>
  <si>
    <t>R1886</t>
  </si>
  <si>
    <t>ORD-01881</t>
  </si>
  <si>
    <t>R1887</t>
  </si>
  <si>
    <t>ORD-01882</t>
  </si>
  <si>
    <t>R1888</t>
  </si>
  <si>
    <t>ORD-01883</t>
  </si>
  <si>
    <t>R1889</t>
  </si>
  <si>
    <t>ORD-01884</t>
  </si>
  <si>
    <t>CUST-9967</t>
  </si>
  <si>
    <t>R1890</t>
  </si>
  <si>
    <t>ORD-01885</t>
  </si>
  <si>
    <t>R1891</t>
  </si>
  <si>
    <t>ORD-01886</t>
  </si>
  <si>
    <t>R1892</t>
  </si>
  <si>
    <t>ORD-01887</t>
  </si>
  <si>
    <t>R1893</t>
  </si>
  <si>
    <t>ORD-01888</t>
  </si>
  <si>
    <t>R1894</t>
  </si>
  <si>
    <t>ORD-01889</t>
  </si>
  <si>
    <t>R1895</t>
  </si>
  <si>
    <t>ORD-01890</t>
  </si>
  <si>
    <t>R1896</t>
  </si>
  <si>
    <t>ORD-01891</t>
  </si>
  <si>
    <t>R1897</t>
  </si>
  <si>
    <t>ORD-01892</t>
  </si>
  <si>
    <t>R1898</t>
  </si>
  <si>
    <t>ORD-01893</t>
  </si>
  <si>
    <t>R1899</t>
  </si>
  <si>
    <t>ORD-01894</t>
  </si>
  <si>
    <t>R1900</t>
  </si>
  <si>
    <t>ORD-01895</t>
  </si>
  <si>
    <t>R1901</t>
  </si>
  <si>
    <t>ORD-01896</t>
  </si>
  <si>
    <t>R1902</t>
  </si>
  <si>
    <t>ORD-01897</t>
  </si>
  <si>
    <t>R1903</t>
  </si>
  <si>
    <t>ORD-01898</t>
  </si>
  <si>
    <t>R1904</t>
  </si>
  <si>
    <t>ORD-01899</t>
  </si>
  <si>
    <t>R1905</t>
  </si>
  <si>
    <t>ORD-01900</t>
  </si>
  <si>
    <t>R1906</t>
  </si>
  <si>
    <t>ORD-01901</t>
  </si>
  <si>
    <t>R1907</t>
  </si>
  <si>
    <t>ORD-01902</t>
  </si>
  <si>
    <t>R1908</t>
  </si>
  <si>
    <t>ORD-01903</t>
  </si>
  <si>
    <t>R1909</t>
  </si>
  <si>
    <t>ORD-01904</t>
  </si>
  <si>
    <t>R1910</t>
  </si>
  <si>
    <t>ORD-01905</t>
  </si>
  <si>
    <t>R1911</t>
  </si>
  <si>
    <t>ORD-01906</t>
  </si>
  <si>
    <t>R1912</t>
  </si>
  <si>
    <t>ORD-01907</t>
  </si>
  <si>
    <t>R1913</t>
  </si>
  <si>
    <t>ORD-01908</t>
  </si>
  <si>
    <t>R1914</t>
  </si>
  <si>
    <t>ORD-01909</t>
  </si>
  <si>
    <t>R1915</t>
  </si>
  <si>
    <t>ORD-01910</t>
  </si>
  <si>
    <t>R1916</t>
  </si>
  <si>
    <t>ORD-01911</t>
  </si>
  <si>
    <t>R1917</t>
  </si>
  <si>
    <t>ORD-01912</t>
  </si>
  <si>
    <t>R1918</t>
  </si>
  <si>
    <t>ORD-01913</t>
  </si>
  <si>
    <t>R1919</t>
  </si>
  <si>
    <t>ORD-01914</t>
  </si>
  <si>
    <t>R1920</t>
  </si>
  <si>
    <t>ORD-01915</t>
  </si>
  <si>
    <t>R1921</t>
  </si>
  <si>
    <t>ORD-01916</t>
  </si>
  <si>
    <t>R1922</t>
  </si>
  <si>
    <t>ORD-01917</t>
  </si>
  <si>
    <t>R1923</t>
  </si>
  <si>
    <t>ORD-01918</t>
  </si>
  <si>
    <t>R1924</t>
  </si>
  <si>
    <t>ORD-01919</t>
  </si>
  <si>
    <t>R1925</t>
  </si>
  <si>
    <t xml:space="preserve"> Chennai </t>
  </si>
  <si>
    <t>ORD-01920</t>
  </si>
  <si>
    <t>R1926</t>
  </si>
  <si>
    <t>ORD-01921</t>
  </si>
  <si>
    <t>R1927</t>
  </si>
  <si>
    <t>ORD-01922</t>
  </si>
  <si>
    <t>R1928</t>
  </si>
  <si>
    <t>ORD-01923</t>
  </si>
  <si>
    <t>R1929</t>
  </si>
  <si>
    <t>ORD-01924</t>
  </si>
  <si>
    <t>R1930</t>
  </si>
  <si>
    <t>ORD-01925</t>
  </si>
  <si>
    <t>R1931</t>
  </si>
  <si>
    <t>ORD-01926</t>
  </si>
  <si>
    <t>R1932</t>
  </si>
  <si>
    <t>ORD-01927</t>
  </si>
  <si>
    <t>R1933</t>
  </si>
  <si>
    <t>ORD-01928</t>
  </si>
  <si>
    <t>R1934</t>
  </si>
  <si>
    <t>ORD-01929</t>
  </si>
  <si>
    <t>R1935</t>
  </si>
  <si>
    <t>ORD-01930</t>
  </si>
  <si>
    <t>CUST-9905</t>
  </si>
  <si>
    <t>R1936</t>
  </si>
  <si>
    <t>ORD-01931</t>
  </si>
  <si>
    <t>R1937</t>
  </si>
  <si>
    <t>ORD-01932</t>
  </si>
  <si>
    <t>R1938</t>
  </si>
  <si>
    <t>ORD-01933</t>
  </si>
  <si>
    <t>R1939</t>
  </si>
  <si>
    <t>ORD-01934</t>
  </si>
  <si>
    <t>R1940</t>
  </si>
  <si>
    <t>ORD-01935</t>
  </si>
  <si>
    <t>R1941</t>
  </si>
  <si>
    <t>ORD-01936</t>
  </si>
  <si>
    <t>R1942</t>
  </si>
  <si>
    <t>ORD-01937</t>
  </si>
  <si>
    <t>R1943</t>
  </si>
  <si>
    <t>ORD-01938</t>
  </si>
  <si>
    <t>R1944</t>
  </si>
  <si>
    <t>ORD-01939</t>
  </si>
  <si>
    <t>R1945</t>
  </si>
  <si>
    <t>ORD-01940</t>
  </si>
  <si>
    <t>R1946</t>
  </si>
  <si>
    <t>ORD-01941</t>
  </si>
  <si>
    <t>R1947</t>
  </si>
  <si>
    <t>ORD-01942</t>
  </si>
  <si>
    <t>R1948</t>
  </si>
  <si>
    <t>ORD-01943</t>
  </si>
  <si>
    <t>R1949</t>
  </si>
  <si>
    <t>ORD-01944</t>
  </si>
  <si>
    <t>R1950</t>
  </si>
  <si>
    <t>ORD-01945</t>
  </si>
  <si>
    <t>R1951</t>
  </si>
  <si>
    <t>ORD-01946</t>
  </si>
  <si>
    <t>R1952</t>
  </si>
  <si>
    <t>ORD-01947</t>
  </si>
  <si>
    <t>R1953</t>
  </si>
  <si>
    <t>ORD-01948</t>
  </si>
  <si>
    <t>R1954</t>
  </si>
  <si>
    <t>ORD-01949</t>
  </si>
  <si>
    <t>R1955</t>
  </si>
  <si>
    <t>ORD-01950</t>
  </si>
  <si>
    <t>R1956</t>
  </si>
  <si>
    <t>ORD-01951</t>
  </si>
  <si>
    <t>R1957</t>
  </si>
  <si>
    <t>ORD-01952</t>
  </si>
  <si>
    <t>R1958</t>
  </si>
  <si>
    <t>ORD-01953</t>
  </si>
  <si>
    <t>R1959</t>
  </si>
  <si>
    <t>ORD-01954</t>
  </si>
  <si>
    <t>R1960</t>
  </si>
  <si>
    <t>ORD-01955</t>
  </si>
  <si>
    <t>R1961</t>
  </si>
  <si>
    <t>ORD-01956</t>
  </si>
  <si>
    <t>R1962</t>
  </si>
  <si>
    <t>ORD-01957</t>
  </si>
  <si>
    <t>R1963</t>
  </si>
  <si>
    <t>ORD-01958</t>
  </si>
  <si>
    <t>R1964</t>
  </si>
  <si>
    <t>ORD-01959</t>
  </si>
  <si>
    <t>R1965</t>
  </si>
  <si>
    <t>ORD-01960</t>
  </si>
  <si>
    <t>R1966</t>
  </si>
  <si>
    <t>ORD-01961</t>
  </si>
  <si>
    <t>R1967</t>
  </si>
  <si>
    <t>ORD-01962</t>
  </si>
  <si>
    <t>R1968</t>
  </si>
  <si>
    <t>ORD-01963</t>
  </si>
  <si>
    <t>R1969</t>
  </si>
  <si>
    <t>ORD-01964</t>
  </si>
  <si>
    <t>R1970</t>
  </si>
  <si>
    <t>ORD-01965</t>
  </si>
  <si>
    <t>R1971</t>
  </si>
  <si>
    <t>ORD-01966</t>
  </si>
  <si>
    <t>R1972</t>
  </si>
  <si>
    <t>ORD-01967</t>
  </si>
  <si>
    <t>R1973</t>
  </si>
  <si>
    <t>ORD-01968</t>
  </si>
  <si>
    <t>R1974</t>
  </si>
  <si>
    <t>ORD-01969</t>
  </si>
  <si>
    <t>R1975</t>
  </si>
  <si>
    <t>ORD-01970</t>
  </si>
  <si>
    <t>R1976</t>
  </si>
  <si>
    <t>ORD-01971</t>
  </si>
  <si>
    <t>R1977</t>
  </si>
  <si>
    <t>ORD-01972</t>
  </si>
  <si>
    <t>R1978</t>
  </si>
  <si>
    <t>ORD-01973</t>
  </si>
  <si>
    <t>R1979</t>
  </si>
  <si>
    <t>ORD-01974</t>
  </si>
  <si>
    <t>R1980</t>
  </si>
  <si>
    <t>ORD-01975</t>
  </si>
  <si>
    <t>R1981</t>
  </si>
  <si>
    <t>ORD-01976</t>
  </si>
  <si>
    <t>R1982</t>
  </si>
  <si>
    <t>ORD-01977</t>
  </si>
  <si>
    <t>R1983</t>
  </si>
  <si>
    <t>ORD-01978</t>
  </si>
  <si>
    <t>R1984</t>
  </si>
  <si>
    <t>ORD-01979</t>
  </si>
  <si>
    <t>R1985</t>
  </si>
  <si>
    <t>ORD-01980</t>
  </si>
  <si>
    <t>R1986</t>
  </si>
  <si>
    <t>ORD-01981</t>
  </si>
  <si>
    <t>R1987</t>
  </si>
  <si>
    <t>ORD-01982</t>
  </si>
  <si>
    <t>R1988</t>
  </si>
  <si>
    <t>ORD-01983</t>
  </si>
  <si>
    <t>R1989</t>
  </si>
  <si>
    <t>ORD-01984</t>
  </si>
  <si>
    <t>R1990</t>
  </si>
  <si>
    <t>ORD-01985</t>
  </si>
  <si>
    <t>R1991</t>
  </si>
  <si>
    <t>ORD-01986</t>
  </si>
  <si>
    <t>R1992</t>
  </si>
  <si>
    <t>ORD-01987</t>
  </si>
  <si>
    <t>R1993</t>
  </si>
  <si>
    <t>ORD-01988</t>
  </si>
  <si>
    <t>R1994</t>
  </si>
  <si>
    <t>ORD-01989</t>
  </si>
  <si>
    <t>R1995</t>
  </si>
  <si>
    <t>ORD-01990</t>
  </si>
  <si>
    <t>R1996</t>
  </si>
  <si>
    <t>ORD-01991</t>
  </si>
  <si>
    <t>R1997</t>
  </si>
  <si>
    <t>ORD-01992</t>
  </si>
  <si>
    <t>R1998</t>
  </si>
  <si>
    <t>ORD-01993</t>
  </si>
  <si>
    <t>R1999</t>
  </si>
  <si>
    <t>ORD-01994</t>
  </si>
  <si>
    <t>R2000</t>
  </si>
  <si>
    <t>ORD-01995</t>
  </si>
  <si>
    <t>R2001</t>
  </si>
  <si>
    <t>ORD-01996</t>
  </si>
  <si>
    <t>R2002</t>
  </si>
  <si>
    <t>ORD-01997</t>
  </si>
  <si>
    <t>R2003</t>
  </si>
  <si>
    <t>ORD-01998</t>
  </si>
  <si>
    <t>R2004</t>
  </si>
  <si>
    <t>ORD-01999</t>
  </si>
  <si>
    <t>R2005</t>
  </si>
  <si>
    <t>ORD-02000</t>
  </si>
  <si>
    <t>R2006</t>
  </si>
  <si>
    <t>customer_name</t>
  </si>
  <si>
    <t>age</t>
  </si>
  <si>
    <t>city</t>
  </si>
  <si>
    <t>segment</t>
  </si>
  <si>
    <t>signup_date</t>
  </si>
  <si>
    <t>Amit Agarwal</t>
  </si>
  <si>
    <t>Retail</t>
  </si>
  <si>
    <t>Vihaan Malhotra</t>
  </si>
  <si>
    <t>Corporate</t>
  </si>
  <si>
    <t>Navya Malhotra</t>
  </si>
  <si>
    <t>Aaradhya Mehta</t>
  </si>
  <si>
    <t>delhi</t>
  </si>
  <si>
    <t>Myra Malhotra</t>
  </si>
  <si>
    <t>Shaurya Iyer</t>
  </si>
  <si>
    <t>SMB</t>
  </si>
  <si>
    <t>Dhruv Joshi</t>
  </si>
  <si>
    <t>Kavita Malhotra</t>
  </si>
  <si>
    <t>Neha Malhotra</t>
  </si>
  <si>
    <t>Aaradhya Gupta</t>
  </si>
  <si>
    <t>Diya Menon</t>
  </si>
  <si>
    <t>Prisha Desai</t>
  </si>
  <si>
    <t>Aryan Chopra</t>
  </si>
  <si>
    <t>Priya Malhotra</t>
  </si>
  <si>
    <t>Aadhya Bhatt</t>
  </si>
  <si>
    <t>Vivaan Nair</t>
  </si>
  <si>
    <t>Pranav Reddy</t>
  </si>
  <si>
    <t>Ahana Agarwal</t>
  </si>
  <si>
    <t>Myra Shah</t>
  </si>
  <si>
    <t>Dhruv Iyer</t>
  </si>
  <si>
    <t>Aditya Shah</t>
  </si>
  <si>
    <t>Kavya Sharma</t>
  </si>
  <si>
    <t>Rohan Kapoor</t>
  </si>
  <si>
    <t>Angel Gupta</t>
  </si>
  <si>
    <t>Anika Menon</t>
  </si>
  <si>
    <t xml:space="preserve">Diya Sharma   </t>
  </si>
  <si>
    <t>Navya Reddy</t>
  </si>
  <si>
    <t>Aarav Chopra</t>
  </si>
  <si>
    <t>Ananya Agarwal</t>
  </si>
  <si>
    <t>Advik Joshi</t>
  </si>
  <si>
    <t>Vijay Kumar</t>
  </si>
  <si>
    <t>Rohit Kumar</t>
  </si>
  <si>
    <t>Pari Shah</t>
  </si>
  <si>
    <t>Rahul Rao</t>
  </si>
  <si>
    <t>Aaradhya Desai</t>
  </si>
  <si>
    <t>Rohit Singh</t>
  </si>
  <si>
    <t>Iraa Mehta</t>
  </si>
  <si>
    <t>Rudra Verma</t>
  </si>
  <si>
    <t>Shaurya Menon</t>
  </si>
  <si>
    <t>Aarav Nair</t>
  </si>
  <si>
    <t>Pranav Gupta</t>
  </si>
  <si>
    <t xml:space="preserve">Rohan Reddy   </t>
  </si>
  <si>
    <t>Advik Kumar</t>
  </si>
  <si>
    <t>Myra Reddy</t>
  </si>
  <si>
    <t>Rohan Bhatt</t>
  </si>
  <si>
    <t>Rudra Agarwal</t>
  </si>
  <si>
    <t>Prisha Kumar</t>
  </si>
  <si>
    <t>Prisha Chopra</t>
  </si>
  <si>
    <t>Aadhya Reddy</t>
  </si>
  <si>
    <t>Myra Singh</t>
  </si>
  <si>
    <t>Rahul Kumar</t>
  </si>
  <si>
    <t>Pari Kumar</t>
  </si>
  <si>
    <t>Vivaan Shah</t>
  </si>
  <si>
    <t>Aarohi Patel</t>
  </si>
  <si>
    <t>Vivaan Verma</t>
  </si>
  <si>
    <t>Kavya Iyer</t>
  </si>
  <si>
    <t>Riya Mehta</t>
  </si>
  <si>
    <t>Priya Mehta</t>
  </si>
  <si>
    <t>Rahul Joshi</t>
  </si>
  <si>
    <t>Prisha Malhotra</t>
  </si>
  <si>
    <t>Kartik Chopra</t>
  </si>
  <si>
    <t>Rudra Singh</t>
  </si>
  <si>
    <t>Kabir Singh</t>
  </si>
  <si>
    <t>Aaradhya Bhatt</t>
  </si>
  <si>
    <t>Kiara Rao</t>
  </si>
  <si>
    <t>Kavya Chopra</t>
  </si>
  <si>
    <t>Kavita Menon</t>
  </si>
  <si>
    <t>Diya Shah</t>
  </si>
  <si>
    <t>Neha Menon</t>
  </si>
  <si>
    <t xml:space="preserve"> Anvi Kumar </t>
  </si>
  <si>
    <t>Pranav Malhotra</t>
  </si>
  <si>
    <t>Kabir Nair</t>
  </si>
  <si>
    <t>Vihaan Bhatt</t>
  </si>
  <si>
    <t>Rudra Desai</t>
  </si>
  <si>
    <t>Diya Patel</t>
  </si>
  <si>
    <t xml:space="preserve">Myra Gupta   </t>
  </si>
  <si>
    <t>Kiara Chopra</t>
  </si>
  <si>
    <t>Amit Iyer</t>
  </si>
  <si>
    <t>Amit Kumar</t>
  </si>
  <si>
    <t>Aditya Bhatt</t>
  </si>
  <si>
    <t>Meera Reddy</t>
  </si>
  <si>
    <t>Shaurya Bhatt</t>
  </si>
  <si>
    <t>Riya Patel</t>
  </si>
  <si>
    <t>Shaurya Reddy</t>
  </si>
  <si>
    <t>Aditya Kumar</t>
  </si>
  <si>
    <t>Ishaan Chopra</t>
  </si>
  <si>
    <t>Vijay Reddy</t>
  </si>
  <si>
    <t>Ahana Singh</t>
  </si>
  <si>
    <t>Kabir Chopra</t>
  </si>
  <si>
    <t>Dhruv Nair</t>
  </si>
  <si>
    <t>Suresh Mehta</t>
  </si>
  <si>
    <t>Kabir Shah</t>
  </si>
  <si>
    <t xml:space="preserve">  Pari Malhotra</t>
  </si>
  <si>
    <t>Riya Singh</t>
  </si>
  <si>
    <t>Iraa Kapoor</t>
  </si>
  <si>
    <t>Anika Malhotra</t>
  </si>
  <si>
    <t>Angel Sharma</t>
  </si>
  <si>
    <t>Myra Gupta</t>
  </si>
  <si>
    <t>Rudra Kapoor</t>
  </si>
  <si>
    <t>Advik Nair</t>
  </si>
  <si>
    <t>Pooja Singh</t>
  </si>
  <si>
    <t>Kiara Shah</t>
  </si>
  <si>
    <t>Aryan Agarwal</t>
  </si>
  <si>
    <t>Navya Mehta</t>
  </si>
  <si>
    <t xml:space="preserve">Ishaan Kapoor   </t>
  </si>
  <si>
    <t>Angel Shah</t>
  </si>
  <si>
    <t>Dhruv Gupta</t>
  </si>
  <si>
    <t>Ayaan Reddy</t>
  </si>
  <si>
    <t>Anika Shah</t>
  </si>
  <si>
    <t>Anvi Reddy</t>
  </si>
  <si>
    <t>Reyansh Patel</t>
  </si>
  <si>
    <t>Ritvik Kapoor</t>
  </si>
  <si>
    <t>BENGALURU</t>
  </si>
  <si>
    <t>Rohan Rao</t>
  </si>
  <si>
    <t>Myra Patel</t>
  </si>
  <si>
    <t>Aaradhya Joshi</t>
  </si>
  <si>
    <t>Vihaan Chopra</t>
  </si>
  <si>
    <t>Rohit Shah</t>
  </si>
  <si>
    <t xml:space="preserve"> Priya Kumar </t>
  </si>
  <si>
    <t>Pari Joshi</t>
  </si>
  <si>
    <t>Shaurya Agarwal</t>
  </si>
  <si>
    <t>Aryan Desai</t>
  </si>
  <si>
    <t>Neha Agarwal</t>
  </si>
  <si>
    <t>Angel Joshi</t>
  </si>
  <si>
    <t>Rohit Iyer</t>
  </si>
  <si>
    <t>hyderabad</t>
  </si>
  <si>
    <t>Kabir Kapoor</t>
  </si>
  <si>
    <t>Krishna Kapoor</t>
  </si>
  <si>
    <t xml:space="preserve">  Ishaan Joshi</t>
  </si>
  <si>
    <t>Iraa Kumar</t>
  </si>
  <si>
    <t>Ritvik Shah</t>
  </si>
  <si>
    <t>Aarohi Mehta</t>
  </si>
  <si>
    <t>Arjun Shah</t>
  </si>
  <si>
    <t>Riya Desai</t>
  </si>
  <si>
    <t>Aadhya Kumar</t>
  </si>
  <si>
    <t>Kavya Kumar</t>
  </si>
  <si>
    <t>Ishaan Verma</t>
  </si>
  <si>
    <t>chennai</t>
  </si>
  <si>
    <t>Karan Gupta</t>
  </si>
  <si>
    <t xml:space="preserve">  Kavita Shah</t>
  </si>
  <si>
    <t>Anika Bhatt</t>
  </si>
  <si>
    <t xml:space="preserve">Riya Kapoor   </t>
  </si>
  <si>
    <t>Aarohi Iyer</t>
  </si>
  <si>
    <t>Advik Menon</t>
  </si>
  <si>
    <t>Sanvi Menon</t>
  </si>
  <si>
    <t>Suresh Bhatt</t>
  </si>
  <si>
    <t>Aaradhya Verma</t>
  </si>
  <si>
    <t>Ayaan Chopra</t>
  </si>
  <si>
    <t>Pari Desai</t>
  </si>
  <si>
    <t>Anvi Patel</t>
  </si>
  <si>
    <t>Vihaan Kapoor</t>
  </si>
  <si>
    <t xml:space="preserve">Dhruv Kumar   </t>
  </si>
  <si>
    <t>Pooja Reddy</t>
  </si>
  <si>
    <t>Anaya Chopra</t>
  </si>
  <si>
    <t>Priya Joshi</t>
  </si>
  <si>
    <t>Krishna Reddy</t>
  </si>
  <si>
    <t>Meera Malhotra</t>
  </si>
  <si>
    <t>Neha Kumar</t>
  </si>
  <si>
    <t>Kartik Patel</t>
  </si>
  <si>
    <t>Vivaan Kumar</t>
  </si>
  <si>
    <t>Reyansh Verma</t>
  </si>
  <si>
    <t>Vihaan Gupta</t>
  </si>
  <si>
    <t>Aarav Iyer</t>
  </si>
  <si>
    <t>Aarav Singh</t>
  </si>
  <si>
    <t>Aditya Chopra</t>
  </si>
  <si>
    <t>Kiara Singh</t>
  </si>
  <si>
    <t>Sanvi Agarwal</t>
  </si>
  <si>
    <t>Suresh Nair</t>
  </si>
  <si>
    <t>Sara Desai</t>
  </si>
  <si>
    <t>Vivaan Gupta</t>
  </si>
  <si>
    <t>Amit Chopra</t>
  </si>
  <si>
    <t>Kabir Desai</t>
  </si>
  <si>
    <t>Aaradhya Malhotra</t>
  </si>
  <si>
    <t>Anika Mehta</t>
  </si>
  <si>
    <t>Aadhya Kapoor</t>
  </si>
  <si>
    <t>Advik Agarwal</t>
  </si>
  <si>
    <t>Navya Rao</t>
  </si>
  <si>
    <t>Rohit Chopra</t>
  </si>
  <si>
    <t>Kabir Joshi</t>
  </si>
  <si>
    <t>Kartik Kumar</t>
  </si>
  <si>
    <t>Riya Verma</t>
  </si>
  <si>
    <t>Anaya Sharma</t>
  </si>
  <si>
    <t>Aryan Menon</t>
  </si>
  <si>
    <t xml:space="preserve"> Shaurya Rao </t>
  </si>
  <si>
    <t>Rahul Singh</t>
  </si>
  <si>
    <t>Vijay Shah</t>
  </si>
  <si>
    <t>Karan Agarwal</t>
  </si>
  <si>
    <t>Sara Malhotra</t>
  </si>
  <si>
    <t>Myra Kapoor</t>
  </si>
  <si>
    <t>Kavya Mehta</t>
  </si>
  <si>
    <t>Reyansh Gupta</t>
  </si>
  <si>
    <t>Ishaan Mehta</t>
  </si>
  <si>
    <t>Krishna Mehta</t>
  </si>
  <si>
    <t>Aadhya Shah</t>
  </si>
  <si>
    <t>Ritvik Agarwal</t>
  </si>
  <si>
    <t>Aryan Singh</t>
  </si>
  <si>
    <t>Ayaan Joshi</t>
  </si>
  <si>
    <t>Ayaan Singh</t>
  </si>
  <si>
    <t>Anika Rao</t>
  </si>
  <si>
    <t>Shaurya Kumar</t>
  </si>
  <si>
    <t>Priya Chopra</t>
  </si>
  <si>
    <t>Pari Verma</t>
  </si>
  <si>
    <t>Anvi Malhotra</t>
  </si>
  <si>
    <t>Kavita Bhatt</t>
  </si>
  <si>
    <t>Krishna Menon</t>
  </si>
  <si>
    <t>Pooja Kumar</t>
  </si>
  <si>
    <t xml:space="preserve">Anika Singh   </t>
  </si>
  <si>
    <t>Kavita Sharma</t>
  </si>
  <si>
    <t>Suresh Kumar</t>
  </si>
  <si>
    <t>Aarav Mehta</t>
  </si>
  <si>
    <t>Aaradhya Iyer</t>
  </si>
  <si>
    <t>Karan Singh</t>
  </si>
  <si>
    <t>Aadhya Singh</t>
  </si>
  <si>
    <t>Aarav Menon</t>
  </si>
  <si>
    <t>Kiara Agarwal</t>
  </si>
  <si>
    <t>Ahana Patel</t>
  </si>
  <si>
    <t>Iraa Shah</t>
  </si>
  <si>
    <t>Rohit Kapoor</t>
  </si>
  <si>
    <t>Kavita Agarwal</t>
  </si>
  <si>
    <t>Rudra Gupta</t>
  </si>
  <si>
    <t>Dhruv Verma</t>
  </si>
  <si>
    <t>Ananya Verma</t>
  </si>
  <si>
    <t>Aditya Nair</t>
  </si>
  <si>
    <t>Pari Kapoor</t>
  </si>
  <si>
    <t>Prisha Patel</t>
  </si>
  <si>
    <t>Aryan Iyer</t>
  </si>
  <si>
    <t xml:space="preserve">Kavita Shah   </t>
  </si>
  <si>
    <t>Pari Patel</t>
  </si>
  <si>
    <t>Aadhya Mehta</t>
  </si>
  <si>
    <t>Ananya Malhotra</t>
  </si>
  <si>
    <t>Anika Joshi</t>
  </si>
  <si>
    <t>Neha Patel</t>
  </si>
  <si>
    <t>Sanvi Shah</t>
  </si>
  <si>
    <t>Navya Menon</t>
  </si>
  <si>
    <t>Neha Mehta</t>
  </si>
  <si>
    <t>Sara Joshi</t>
  </si>
  <si>
    <t>Diya Reddy</t>
  </si>
  <si>
    <t>Kabir Menon</t>
  </si>
  <si>
    <t>Rahul Desai</t>
  </si>
  <si>
    <t>Arjun Kapoor</t>
  </si>
  <si>
    <t>Riya Kapoor</t>
  </si>
  <si>
    <t xml:space="preserve">  Ishaan Kumar</t>
  </si>
  <si>
    <t>Ishaan Kumar</t>
  </si>
  <si>
    <t>Aarohi Gupta</t>
  </si>
  <si>
    <t>Aditya Patel</t>
  </si>
  <si>
    <t>Ananya Menon</t>
  </si>
  <si>
    <t>Myra Bhatt</t>
  </si>
  <si>
    <t>Pranav Bhatt</t>
  </si>
  <si>
    <t>Kavita Mehta</t>
  </si>
  <si>
    <t>Aadhya Desai</t>
  </si>
  <si>
    <t>Myra Kumar</t>
  </si>
  <si>
    <t>Kartik Malhotra</t>
  </si>
  <si>
    <t>Kavita Patel</t>
  </si>
  <si>
    <t>Kabir Gupta</t>
  </si>
  <si>
    <t>Dhruv Reddy</t>
  </si>
  <si>
    <t>Arjun Singh</t>
  </si>
  <si>
    <t>Rohan Sharma</t>
  </si>
  <si>
    <t>Aarohi Nair</t>
  </si>
  <si>
    <t>Anaya Joshi</t>
  </si>
  <si>
    <t>Ayaan Verma</t>
  </si>
  <si>
    <t>Krishna Desai</t>
  </si>
  <si>
    <t>Meera Chopra</t>
  </si>
  <si>
    <t>Rohan Menon</t>
  </si>
  <si>
    <t>Neha Desai</t>
  </si>
  <si>
    <t>Rohan Agarwal</t>
  </si>
  <si>
    <t>Navya Sharma</t>
  </si>
  <si>
    <t>Vivaan Agarwal</t>
  </si>
  <si>
    <t>Rahul Iyer</t>
  </si>
  <si>
    <t>Rohit Nair</t>
  </si>
  <si>
    <t>product_name</t>
  </si>
  <si>
    <t>category</t>
  </si>
  <si>
    <t>unit_cost</t>
  </si>
  <si>
    <t>is_active</t>
  </si>
  <si>
    <t>Smartphone Pro</t>
  </si>
  <si>
    <t>Electronics</t>
  </si>
  <si>
    <t>Wireless Earbuds</t>
  </si>
  <si>
    <t>Smart Watch</t>
  </si>
  <si>
    <t>Laptop Bag</t>
  </si>
  <si>
    <t>Power Bank</t>
  </si>
  <si>
    <t>Bluetooth Speaker</t>
  </si>
  <si>
    <t>USB-C Cable</t>
  </si>
  <si>
    <t>Wireless Mouse</t>
  </si>
  <si>
    <t>Mechanical Keyboard</t>
  </si>
  <si>
    <t>Tablet Stand</t>
  </si>
  <si>
    <t>Cotton T-Shirt</t>
  </si>
  <si>
    <t>Apparel</t>
  </si>
  <si>
    <t>Denim Jeans</t>
  </si>
  <si>
    <t>Formal Shirt</t>
  </si>
  <si>
    <t>Winter Jacket</t>
  </si>
  <si>
    <t>Sports Shoes</t>
  </si>
  <si>
    <t>Casual Sneakers</t>
  </si>
  <si>
    <t>Silk Saree</t>
  </si>
  <si>
    <t>Kurta Set</t>
  </si>
  <si>
    <t>Track Pants</t>
  </si>
  <si>
    <t>Woolen Sweater</t>
  </si>
  <si>
    <t>Basmati Rice 5kg</t>
  </si>
  <si>
    <t>Grocery</t>
  </si>
  <si>
    <t>Wheat Flour 10kg</t>
  </si>
  <si>
    <t>Cooking Oil 5L</t>
  </si>
  <si>
    <t>Turmeric Powder 500g</t>
  </si>
  <si>
    <t>Chili Powder 500g</t>
  </si>
  <si>
    <t>Sugar 5kg</t>
  </si>
  <si>
    <t>Tea Leaves 1kg</t>
  </si>
  <si>
    <t>Coffee Beans 500g</t>
  </si>
  <si>
    <t>Ghee 1L</t>
  </si>
  <si>
    <t>Salt 1kg</t>
  </si>
  <si>
    <t>Bed Sheet Set</t>
  </si>
  <si>
    <t>Home</t>
  </si>
  <si>
    <t>Pillow Cover Pair</t>
  </si>
  <si>
    <t>Curtain Set</t>
  </si>
  <si>
    <t>Kitchen Towel Set</t>
  </si>
  <si>
    <t>Doormat</t>
  </si>
  <si>
    <t>Wall Clock</t>
  </si>
  <si>
    <t>Table Lamp</t>
  </si>
  <si>
    <t>Storage Box</t>
  </si>
  <si>
    <t>Photo Frame</t>
  </si>
  <si>
    <t>Cushion Cover</t>
  </si>
  <si>
    <t>Face Wash 100ml</t>
  </si>
  <si>
    <t>Beauty</t>
  </si>
  <si>
    <t>Moisturizer 200ml</t>
  </si>
  <si>
    <t>Shampoo 500ml</t>
  </si>
  <si>
    <t>Conditioner 500ml</t>
  </si>
  <si>
    <t>Body Lotion 400ml</t>
  </si>
  <si>
    <t>Sunscreen SPF50</t>
  </si>
  <si>
    <t>Lipstick</t>
  </si>
  <si>
    <t>Kajal</t>
  </si>
  <si>
    <t>Hair Oil 200ml</t>
  </si>
  <si>
    <t>Perfume 100ml</t>
  </si>
  <si>
    <t>Yoga Mat</t>
  </si>
  <si>
    <t>Sports</t>
  </si>
  <si>
    <t>Dumbbells 5kg</t>
  </si>
  <si>
    <t>Skipping Rope</t>
  </si>
  <si>
    <t>Cricket Bat</t>
  </si>
  <si>
    <t>Football Size 5</t>
  </si>
  <si>
    <t>Badminton Racket</t>
  </si>
  <si>
    <t>Tennis Ball Pack</t>
  </si>
  <si>
    <t>Cycling Helmet</t>
  </si>
  <si>
    <t>Water Bottle 1L</t>
  </si>
  <si>
    <t>Gym Gloves</t>
  </si>
  <si>
    <t>rep_id</t>
  </si>
  <si>
    <t>rep_name</t>
  </si>
  <si>
    <t>region</t>
  </si>
  <si>
    <t>hire_date</t>
  </si>
  <si>
    <t>team_lead_id</t>
  </si>
  <si>
    <t>R001</t>
  </si>
  <si>
    <t>Rajesh Malhotra</t>
  </si>
  <si>
    <t>North</t>
  </si>
  <si>
    <t>R002</t>
  </si>
  <si>
    <t>Sunita Malhotra</t>
  </si>
  <si>
    <t>R003</t>
  </si>
  <si>
    <t>Amit Singh</t>
  </si>
  <si>
    <t>R004</t>
  </si>
  <si>
    <t>Priya Singh</t>
  </si>
  <si>
    <t>R005</t>
  </si>
  <si>
    <t>Vikram Patel</t>
  </si>
  <si>
    <t>R006</t>
  </si>
  <si>
    <t>Suresh Menon</t>
  </si>
  <si>
    <t>Manoj Patel</t>
  </si>
  <si>
    <t>South</t>
  </si>
  <si>
    <t>Divya Rao</t>
  </si>
  <si>
    <t>Anil Verma</t>
  </si>
  <si>
    <t>Pooja Nair</t>
  </si>
  <si>
    <t>Sanjay Kapoor</t>
  </si>
  <si>
    <t>Ritu Menon</t>
  </si>
  <si>
    <t>Deepak Shah</t>
  </si>
  <si>
    <t>Anjali Chopra</t>
  </si>
  <si>
    <t>Naveen Singh</t>
  </si>
  <si>
    <t>East</t>
  </si>
  <si>
    <t>Shalini Patel</t>
  </si>
  <si>
    <t>Prakash Shah</t>
  </si>
  <si>
    <t>Meera Iyer</t>
  </si>
  <si>
    <t>Gaurav Desai</t>
  </si>
  <si>
    <t>Nisha Menon</t>
  </si>
  <si>
    <t>Vinod Kumar</t>
  </si>
  <si>
    <t>Rekha Chopra</t>
  </si>
  <si>
    <t>West</t>
  </si>
  <si>
    <t>Ashok Reddy</t>
  </si>
  <si>
    <t>Sonia Malhotra</t>
  </si>
  <si>
    <t>Ramesh Bhatt</t>
  </si>
  <si>
    <t>Preeti Shah</t>
  </si>
  <si>
    <t>Arun Iyer</t>
  </si>
  <si>
    <t>Kiran Bhatt</t>
  </si>
  <si>
    <t>Jan-24</t>
  </si>
  <si>
    <t>Feb-24</t>
  </si>
  <si>
    <t>Mar-24</t>
  </si>
  <si>
    <t>Apr-24</t>
  </si>
  <si>
    <t>May-24</t>
  </si>
  <si>
    <t>Jun-24</t>
  </si>
  <si>
    <t>Jul-24</t>
  </si>
  <si>
    <t>Aug-24</t>
  </si>
  <si>
    <t>Sep-24</t>
  </si>
  <si>
    <t>Oct-24</t>
  </si>
  <si>
    <t>Nov-24</t>
  </si>
  <si>
    <t>Dec-24</t>
  </si>
  <si>
    <t>Q1 - LOOKUP FUNCTIONS  (25 marks total)</t>
  </si>
  <si>
    <t>VLOOKUP · INDEX-MATCH · Two-way lookup · Chain lookup · Approximate lookup · Self-join</t>
  </si>
  <si>
    <t>Q#</t>
  </si>
  <si>
    <t>Question</t>
  </si>
  <si>
    <t>Hint</t>
  </si>
  <si>
    <t>Your Answer</t>
  </si>
  <si>
    <t>Format</t>
  </si>
  <si>
    <t>Q1.1</t>
  </si>
  <si>
    <t>For order ORD-00234, what is the customer_id?</t>
  </si>
  <si>
    <t>Simple VLOOKUP on Orders sheet.</t>
  </si>
  <si>
    <t>CUST-####</t>
  </si>
  <si>
    <t>Q1.2</t>
  </si>
  <si>
    <t>For order ORD-00456, what is the product_name? (You will need to look up the product_id first, then find its name in Products.)</t>
  </si>
  <si>
    <t>Two-step lookup, or nested VLOOKUP.</t>
  </si>
  <si>
    <t>Text</t>
  </si>
  <si>
    <t>Q1.3</t>
  </si>
  <si>
    <t>For order ORD-00987, what is the rep_name of the sales rep? Note: the rep_name is in a column that appears to the LEFT of what you might look up first.</t>
  </si>
  <si>
    <t>VLOOKUP has directional limits - INDEX/MATCH does not.</t>
  </si>
  <si>
    <t>Q1.4</t>
  </si>
  <si>
    <t>From the Targets sheet, what is the target value for rep R012 in the month Mar-24?</t>
  </si>
  <si>
    <t>Two-way lookup: row = rep_id, column = month.</t>
  </si>
  <si>
    <t>Whole number</t>
  </si>
  <si>
    <t>Q1.5</t>
  </si>
  <si>
    <t>For order ORD-01500, what is the CATEGORY of the product ordered? (Chain: order → product_id → category)</t>
  </si>
  <si>
    <t>Multi-hop lookup across sheets.</t>
  </si>
  <si>
    <t>Q1.6</t>
  </si>
  <si>
    <t>For order ORD-00789, which DISCOUNT SLAB does it fall in? Use the slab table below (rows 20-24). Slab breakpoints are the LOWER bound of each range.</t>
  </si>
  <si>
    <t>Approximate-match VLOOKUP (sort ascending, TRUE / omit last arg).</t>
  </si>
  <si>
    <t>Q1.7</t>
  </si>
  <si>
    <t>For order ORD-01234, in one cell produce the string:  "&lt;rep_name&gt; (&lt;sales_region&gt;)"  - e.g. "Amit Singh (South)".</t>
  </si>
  <si>
    <t>Two lookups joined with &amp; or CONCATENATE.</t>
  </si>
  <si>
    <t>Q1.8</t>
  </si>
  <si>
    <t>What is the rep_name of the TEAM LEAD for rep R017? (The Sales_Reps sheet has team_lead_id - you need to self-join to find that person's name.)</t>
  </si>
  <si>
    <t>Look up the team_lead_id, then look up THAT id's rep_name.</t>
  </si>
  <si>
    <t>DISCOUNT SLAB REFERENCE TABLE (use for Q1.6)</t>
  </si>
  <si>
    <t>Discount % (Lower)</t>
  </si>
  <si>
    <t>Slab</t>
  </si>
  <si>
    <t>Bronze</t>
  </si>
  <si>
    <t>Silver</t>
  </si>
  <si>
    <t>Gold</t>
  </si>
  <si>
    <t>Platinum</t>
  </si>
  <si>
    <t>Q2 - DATA CLEANING &amp; QUALITY DIAGNOSTICS  (20 marks total)</t>
  </si>
  <si>
    <t>Duplicates · Whitespace · Case Inconsistency · Referential Integrity · Discontinued SKUs · Anomaly Patterns</t>
  </si>
  <si>
    <t>Q2.1</t>
  </si>
  <si>
    <t>How many DUPLICATE rows exist in the Orders sheet (i.e., how many order_id values appear more than once)? Count each duplicate as ONE (not the extras).</t>
  </si>
  <si>
    <t>COUNTIF &gt; 1, then count. Watch what you're counting - rows or IDs.</t>
  </si>
  <si>
    <t>Q2.2</t>
  </si>
  <si>
    <t>How many customers in the Customers sheet have LEADING or TRAILING whitespace in their customer_name?</t>
  </si>
  <si>
    <t>Compare LEN vs LEN(TRIM). Or use SUMPRODUCT with a boolean.</t>
  </si>
  <si>
    <t>Q2.3</t>
  </si>
  <si>
    <t>The Customers sheet has some cities in inconsistent case (e.g., "mumbai", "MUMBAI", "Mumbai"). How many DISTINCT cities exist AFTER standardizing case?</t>
  </si>
  <si>
    <t>Combine PROPER/UPPER with a de-dup count. SUMPRODUCT + 1/COUNTIF trick works.</t>
  </si>
  <si>
    <t>Q2.4</t>
  </si>
  <si>
    <t>How many orders reference a customer_id that DOES NOT EXIST in the Customers sheet? (Broken foreign key)</t>
  </si>
  <si>
    <t>Use MATCH with ISNA/ISERROR, then count.</t>
  </si>
  <si>
    <t>Q2.5</t>
  </si>
  <si>
    <t>How many orders reference a product that is currently DISCONTINUED (is_active = FALSE in the Products sheet)?</t>
  </si>
  <si>
    <t>VLOOKUP the is_active flag, then count where FALSE.</t>
  </si>
  <si>
    <t>Q2.6</t>
  </si>
  <si>
    <t>Find the "suspicious pattern": how many orders have payment_status = "Cancelled" AND a discount_pct &gt; 20%? (This pattern often indicates promo abuse - a real-world diagnostic query.)</t>
  </si>
  <si>
    <t>COUNTIFS with two criteria.</t>
  </si>
  <si>
    <t>Q3 - CONDITIONAL AGGREGATION  (25 marks total)</t>
  </si>
  <si>
    <t>SUMIFS · COUNTIFS · AVERAGEIFS · Nested IF logic · Multi-sheet aggregation · Top-N logic</t>
  </si>
  <si>
    <t>SCRATCH - revenue by rep</t>
  </si>
  <si>
    <t>Total Revenue</t>
  </si>
  <si>
    <t>Q3.1</t>
  </si>
  <si>
    <t>What is the TOTAL REVENUE (sum of final_amount) for orders in Q3 2024 (Jul-Sep) where ship_city is Mumbai?</t>
  </si>
  <si>
    <t>SUMIFS with 3 conditions: date &gt;= start, date &lt;= end, city = Mumbai. Beware case issues.</t>
  </si>
  <si>
    <t>Currency</t>
  </si>
  <si>
    <t>Q3.2</t>
  </si>
  <si>
    <t>How many orders have discount_pct &gt; 15% AND payment_status = "Completed"?</t>
  </si>
  <si>
    <t>COUNTIFS with two conditions.</t>
  </si>
  <si>
    <t>Q3.3</t>
  </si>
  <si>
    <t>What is the AVERAGE final_amount for orders where the product CATEGORY is "Electronics" AND the customer SEGMENT is "Corporate"? Note: Both fields come from OTHER sheets - you'll need helper columns.</t>
  </si>
  <si>
    <t>Helper columns in Orders: VLOOKUP category from Products, VLOOKUP segment from Customers. Then AVERAGEIFS.</t>
  </si>
  <si>
    <t>Q3.4</t>
  </si>
  <si>
    <t>What is the COMBINED REVENUE of the TOP 3 reps by total revenue? (Sum of the 3 highest rep totals.)</t>
  </si>
  <si>
    <t>Compute per-rep totals, then use SUMPRODUCT with LARGE, or sort and sum top 3.</t>
  </si>
  <si>
    <t>Q3.5</t>
  </si>
  <si>
    <t>For rep R015 in Nov-24: compute the actual revenue and compare to the target (from Targets sheet). Report the PERFORMANCE TIER using: &lt;80% → "Below", 80-120% → "On Track", &gt;120% → "Exceeds". Return only the tier text.</t>
  </si>
  <si>
    <t>Nested IF (or IFS): compute actual/target ratio, then classify.</t>
  </si>
  <si>
    <t>Q3.6</t>
  </si>
  <si>
    <t>What is the TOTAL revenue from Corporate segment customers aged between 30 and 40 (both inclusive)?</t>
  </si>
  <si>
    <t>Helper columns for age and segment. Then SUMIFS with numeric range.</t>
  </si>
  <si>
    <t>Q4 - PIVOT TABLES  (20 marks total)</t>
  </si>
  <si>
    <t>2D Pivots · Filters · % of Row Total · Date Grouping · Calculated Fields · Cross-Sheet Data</t>
  </si>
  <si>
    <t>Q4.1</t>
  </si>
  <si>
    <t>Build a pivot with sales_region as rows and product category as columns, values = SUM of final_amount. What value appears at the intersection of "South" and "Electronics"?</t>
  </si>
  <si>
    <t>You need to add category (from Products) and region (from Sales_Reps) as columns to Orders first. Insert PivotTable from combined data.</t>
  </si>
  <si>
    <t>Q4.2</t>
  </si>
  <si>
    <t>Build a pivot: rows = order month (Jan-24 through Dec-24), columns = sales_rep_id, values = SUM of final_amount. What is the HIGHEST single value in the entire pivot? (One number.)</t>
  </si>
  <si>
    <t>After building, use MAX() over the pivot data range, or scan visually.</t>
  </si>
  <si>
    <t>Q4.3</t>
  </si>
  <si>
    <t>For the North sales_region only: what PERCENTAGE of total revenue comes from the Apparel category? Configure the pivot with Show Values As → % of Row Total.</t>
  </si>
  <si>
    <t>Pivot: rows=region, cols=category, values=sum(final_amount), Show Values As = % of Row Total.</t>
  </si>
  <si>
    <t>Percentage</t>
  </si>
  <si>
    <t>Q4.4</t>
  </si>
  <si>
    <t>Group order dates by QUARTER in a pivot. What is the total revenue for Q4 2024 (Oct-Dec)?</t>
  </si>
  <si>
    <t>PivotTable → Group By → Quarter. Or SUMIFS with date range.</t>
  </si>
  <si>
    <t>Q4.5</t>
  </si>
  <si>
    <t>Create a CALCULATED FIELD in the pivot: profit_margin = (unit_price - unit_cost) / unit_price. What is the AVERAGE profit_margin for orders shipped to Delhi? Give as a percentage.</t>
  </si>
  <si>
    <t>Add unit_cost via VLOOKUP as helper column. Create pivot calculated field, filter to Delhi.</t>
  </si>
  <si>
    <t>SCRATCH - month x rep pivot equivalent</t>
  </si>
  <si>
    <t>Q5 - ADVANCED  (10 marks total)</t>
  </si>
  <si>
    <t>RANK · Running Totals · TEXTJOIN · LARGE + INDEX/MATCH · Multi-condition top-N</t>
  </si>
  <si>
    <t>SCRATCH - West-region revenue by product</t>
  </si>
  <si>
    <t>West Revenue</t>
  </si>
  <si>
    <t>Q5.1</t>
  </si>
  <si>
    <t>Rank all sales reps by total revenue (highest = rank 1). Who (name) is at RANK #7?</t>
  </si>
  <si>
    <t>Per-rep totals, then use RANK.EQ, or sort. Return the rep_name at position 7.</t>
  </si>
  <si>
    <t>Q5.2</t>
  </si>
  <si>
    <t>What is the CUMULATIVE revenue from Jan 2024 through the end of Aug 2024? (Sum of final_amount where order_date &lt;= 31-Aug-2024.)</t>
  </si>
  <si>
    <t>SUMIFS with date &lt;=.</t>
  </si>
  <si>
    <t>Q5.3</t>
  </si>
  <si>
    <t>Among orders where the sales rep is in the WEST region: which product (by name) has the 2nd highest total revenue?</t>
  </si>
  <si>
    <t>Helper: sales_region on orders. Filter/pivot to West, sum by product, rank, get #2, VLOOKUP product name.</t>
  </si>
  <si>
    <t>Q5.4</t>
  </si>
  <si>
    <t>Concatenate the names of the top 5 reps by revenue into a single cell, separated by " | " (space-pipe-space).</t>
  </si>
  <si>
    <t>TEXTJOIN with delimiter " | ". Combine with LARGE to pull top 5.</t>
  </si>
  <si>
    <t>Q5.5</t>
  </si>
  <si>
    <t>What is the HIGHEST single order value (final_amount) where ship_city = "Bengaluru" AND the product's category = "Grocery"?</t>
  </si>
  <si>
    <t>MAXIFS with a category helper column, or nested MAX(IF()).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</si>
</sst>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 x14ac:knownFonts="1">
    <font>
      <sz val="11"/>
      <color theme="1"/>
      <name val="Calibri"/>
      <family val="2"/>
      <charset val="1"/>
    </font>
    <font>
      <b/>
      <sz val="16"/>
      <color rgb="FF1F4E79"/>
      <name val="Arial"/>
      <charset val="1"/>
    </font>
    <font>
      <b/>
      <sz val="13"/>
      <color rgb="FF1F4E79"/>
      <name val="Arial"/>
      <charset val="1"/>
    </font>
    <font>
      <i/>
      <sz val="10"/>
      <color rgb="FF595959"/>
      <name val="Arial"/>
      <charset val="1"/>
    </font>
    <font>
      <b/>
      <sz val="12"/>
      <color rgb="FF1F4E79"/>
      <name val="Arial"/>
      <charset val="1"/>
    </font>
    <font>
      <sz val="10"/>
      <name val="Arial"/>
      <charset val="1"/>
    </font>
    <font>
      <b/>
      <sz val="11"/>
      <color rgb="FFFFFFFF"/>
      <name val="Arial"/>
      <charset val="1"/>
    </font>
    <font>
      <sz val="10"/>
      <color rgb="FF000000"/>
      <name val="Arial"/>
      <charset val="1"/>
    </font>
    <font>
      <b/>
      <sz val="10"/>
      <name val="Arial"/>
      <charset val="1"/>
    </font>
    <font>
      <b/>
      <sz val="16"/>
      <color rgb="FFFFFFFF"/>
      <name val="Arial"/>
      <charset val="1"/>
    </font>
    <font>
      <i/>
      <sz val="10"/>
      <color rgb="FF1F4E79"/>
      <name val="Arial"/>
      <charset val="1"/>
    </font>
    <font>
      <b/>
      <sz val="10"/>
      <color rgb="FF1F4E79"/>
      <name val="Arial"/>
      <charset val="1"/>
    </font>
    <font>
      <i/>
      <sz val="9"/>
      <color rgb="FF595959"/>
      <name val="Arial"/>
      <charset val="1"/>
    </font>
    <font>
      <b/>
      <sz val="11"/>
      <color rgb="FF1F4E79"/>
      <name val="Arial"/>
      <charset val="1"/>
    </font>
    <font>
      <b/>
      <sz val="10"/>
      <color rgb="FFFFFFFF"/>
      <name val="Arial"/>
      <charset val="1"/>
    </font>
    <font>
      <i/>
      <sz val="9"/>
      <color rgb="FFC00000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FE699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0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5" fillId="0" borderId="0" xfId="0" applyFont="1"/>
    <xf numFmtId="0" fontId="4" fillId="0" borderId="0" xfId="0" applyFo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6" fillId="2" borderId="2" xfId="0" applyFont="1" applyFill="1" applyBorder="1" applyAlignment="1">
      <alignment horizontal="center" vertical="center"/>
    </xf>
    <xf numFmtId="0" fontId="8" fillId="0" borderId="0" xfId="0" applyFont="1"/>
    <xf numFmtId="0" fontId="8" fillId="2" borderId="0" xfId="0" applyFont="1" applyFill="1" applyAlignment="1">
      <alignment horizontal="center" vertical="center"/>
    </xf>
    <xf numFmtId="0" fontId="7" fillId="0" borderId="1" xfId="0" applyFont="1" applyBorder="1" applyAlignment="1">
      <alignment horizontal="left"/>
    </xf>
    <xf numFmtId="164" fontId="7" fillId="0" borderId="1" xfId="0" applyNumberFormat="1" applyFont="1" applyBorder="1" applyAlignment="1">
      <alignment horizontal="left"/>
    </xf>
    <xf numFmtId="0" fontId="7" fillId="0" borderId="1" xfId="0" applyFont="1" applyBorder="1" applyAlignment="1">
      <alignment horizontal="right"/>
    </xf>
    <xf numFmtId="0" fontId="0" fillId="0" borderId="3" xfId="0" applyBorder="1"/>
    <xf numFmtId="0" fontId="6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/>
    </xf>
    <xf numFmtId="0" fontId="12" fillId="0" borderId="3" xfId="0" applyFont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13" fillId="0" borderId="0" xfId="0" applyFont="1"/>
    <xf numFmtId="0" fontId="14" fillId="2" borderId="1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4" fontId="8" fillId="4" borderId="3" xfId="0" applyNumberFormat="1" applyFont="1" applyFill="1" applyBorder="1" applyAlignment="1">
      <alignment horizontal="center" vertical="center"/>
    </xf>
    <xf numFmtId="0" fontId="15" fillId="0" borderId="0" xfId="0" applyFont="1"/>
    <xf numFmtId="0" fontId="1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left" vertical="center" wrapText="1"/>
    </xf>
    <xf numFmtId="0" fontId="8" fillId="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4472C4"/>
      <rgbColor rgb="FF33CCCC"/>
      <rgbColor rgb="FF99CC00"/>
      <rgbColor rgb="FFFFC0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7"/>
  <sheetViews>
    <sheetView topLeftCell="A33" zoomScaleNormal="100" workbookViewId="0">
      <selection activeCell="A3" sqref="A3"/>
    </sheetView>
  </sheetViews>
  <sheetFormatPr defaultColWidth="8.6640625" defaultRowHeight="14.4" x14ac:dyDescent="0.3"/>
  <cols>
    <col min="1" max="1" width="14" customWidth="1"/>
    <col min="2" max="2" width="26" customWidth="1"/>
    <col min="3" max="3" width="42" customWidth="1"/>
    <col min="4" max="4" width="30" customWidth="1"/>
    <col min="5" max="8" width="15" customWidth="1"/>
  </cols>
  <sheetData>
    <row r="1" spans="1:8" ht="21" customHeight="1" x14ac:dyDescent="0.4">
      <c r="A1" s="7" t="s">
        <v>0</v>
      </c>
    </row>
    <row r="2" spans="1:8" ht="16.5" customHeight="1" x14ac:dyDescent="0.3">
      <c r="A2" s="8" t="s">
        <v>1</v>
      </c>
    </row>
    <row r="3" spans="1:8" x14ac:dyDescent="0.3">
      <c r="A3" s="9" t="s">
        <v>2</v>
      </c>
    </row>
    <row r="5" spans="1:8" ht="15" customHeight="1" x14ac:dyDescent="0.3">
      <c r="A5" s="6" t="s">
        <v>3</v>
      </c>
      <c r="B5" s="6"/>
      <c r="C5" s="6"/>
      <c r="D5" s="6"/>
      <c r="E5" s="6"/>
      <c r="F5" s="6"/>
    </row>
    <row r="6" spans="1:8" x14ac:dyDescent="0.3">
      <c r="A6" s="5" t="s">
        <v>4</v>
      </c>
      <c r="B6" s="5"/>
      <c r="C6" s="5"/>
      <c r="D6" s="5"/>
      <c r="E6" s="5"/>
      <c r="F6" s="5"/>
      <c r="G6" s="5"/>
      <c r="H6" s="5"/>
    </row>
    <row r="7" spans="1:8" x14ac:dyDescent="0.3">
      <c r="A7" s="5" t="s">
        <v>5</v>
      </c>
      <c r="B7" s="5"/>
      <c r="C7" s="5"/>
      <c r="D7" s="5"/>
      <c r="E7" s="5"/>
      <c r="F7" s="5"/>
      <c r="G7" s="5"/>
      <c r="H7" s="5"/>
    </row>
    <row r="8" spans="1:8" x14ac:dyDescent="0.3">
      <c r="A8" s="5" t="s">
        <v>6</v>
      </c>
      <c r="B8" s="5"/>
      <c r="C8" s="5"/>
      <c r="D8" s="5"/>
      <c r="E8" s="5"/>
      <c r="F8" s="5"/>
      <c r="G8" s="5"/>
      <c r="H8" s="5"/>
    </row>
    <row r="9" spans="1:8" x14ac:dyDescent="0.3">
      <c r="A9" s="5"/>
      <c r="B9" s="5"/>
      <c r="C9" s="5"/>
      <c r="D9" s="5"/>
      <c r="E9" s="5"/>
      <c r="F9" s="5"/>
      <c r="G9" s="5"/>
      <c r="H9" s="5"/>
    </row>
    <row r="10" spans="1:8" x14ac:dyDescent="0.3">
      <c r="A10" s="5" t="s">
        <v>7</v>
      </c>
      <c r="B10" s="5"/>
      <c r="C10" s="5"/>
      <c r="D10" s="5"/>
      <c r="E10" s="5"/>
      <c r="F10" s="5"/>
      <c r="G10" s="5"/>
      <c r="H10" s="5"/>
    </row>
    <row r="11" spans="1:8" x14ac:dyDescent="0.3">
      <c r="A11" s="5" t="s">
        <v>8</v>
      </c>
      <c r="B11" s="5"/>
      <c r="C11" s="5"/>
      <c r="D11" s="5"/>
      <c r="E11" s="5"/>
      <c r="F11" s="5"/>
      <c r="G11" s="5"/>
      <c r="H11" s="5"/>
    </row>
    <row r="12" spans="1:8" x14ac:dyDescent="0.3">
      <c r="A12" s="5" t="s">
        <v>9</v>
      </c>
      <c r="B12" s="5"/>
      <c r="C12" s="5"/>
      <c r="D12" s="5"/>
      <c r="E12" s="5"/>
      <c r="F12" s="5"/>
      <c r="G12" s="5"/>
      <c r="H12" s="5"/>
    </row>
    <row r="14" spans="1:8" ht="15" customHeight="1" x14ac:dyDescent="0.3">
      <c r="A14" s="10" t="s">
        <v>10</v>
      </c>
    </row>
    <row r="15" spans="1:8" x14ac:dyDescent="0.3">
      <c r="A15" s="5" t="s">
        <v>11</v>
      </c>
      <c r="B15" s="5"/>
      <c r="C15" s="5"/>
      <c r="D15" s="5"/>
      <c r="E15" s="5"/>
      <c r="F15" s="5"/>
      <c r="G15" s="5"/>
      <c r="H15" s="5"/>
    </row>
    <row r="16" spans="1:8" x14ac:dyDescent="0.3">
      <c r="A16" s="5" t="s">
        <v>12</v>
      </c>
      <c r="B16" s="5"/>
      <c r="C16" s="5"/>
      <c r="D16" s="5"/>
      <c r="E16" s="5"/>
      <c r="F16" s="5"/>
      <c r="G16" s="5"/>
      <c r="H16" s="5"/>
    </row>
    <row r="17" spans="1:8" x14ac:dyDescent="0.3">
      <c r="A17" s="5" t="s">
        <v>13</v>
      </c>
      <c r="B17" s="5"/>
      <c r="C17" s="5"/>
      <c r="D17" s="5"/>
      <c r="E17" s="5"/>
      <c r="F17" s="5"/>
      <c r="G17" s="5"/>
      <c r="H17" s="5"/>
    </row>
    <row r="18" spans="1:8" x14ac:dyDescent="0.3">
      <c r="A18" s="5" t="s">
        <v>14</v>
      </c>
      <c r="B18" s="5"/>
      <c r="C18" s="5"/>
      <c r="D18" s="5"/>
      <c r="E18" s="5"/>
      <c r="F18" s="5"/>
      <c r="G18" s="5"/>
      <c r="H18" s="5"/>
    </row>
    <row r="19" spans="1:8" x14ac:dyDescent="0.3">
      <c r="A19" s="5" t="s">
        <v>15</v>
      </c>
      <c r="B19" s="5"/>
      <c r="C19" s="5"/>
      <c r="D19" s="5"/>
      <c r="E19" s="5"/>
      <c r="F19" s="5"/>
      <c r="G19" s="5"/>
      <c r="H19" s="5"/>
    </row>
    <row r="20" spans="1:8" x14ac:dyDescent="0.3">
      <c r="A20" s="5" t="s">
        <v>16</v>
      </c>
      <c r="B20" s="5"/>
      <c r="C20" s="5"/>
      <c r="D20" s="5"/>
      <c r="E20" s="5"/>
      <c r="F20" s="5"/>
      <c r="G20" s="5"/>
      <c r="H20" s="5"/>
    </row>
    <row r="22" spans="1:8" ht="15" customHeight="1" x14ac:dyDescent="0.3">
      <c r="A22" s="10" t="s">
        <v>17</v>
      </c>
    </row>
    <row r="23" spans="1:8" x14ac:dyDescent="0.3">
      <c r="A23" s="11" t="s">
        <v>18</v>
      </c>
      <c r="B23" s="12" t="s">
        <v>19</v>
      </c>
      <c r="C23" s="11" t="s">
        <v>20</v>
      </c>
      <c r="D23" s="11" t="s">
        <v>21</v>
      </c>
    </row>
    <row r="24" spans="1:8" x14ac:dyDescent="0.3">
      <c r="A24" s="13" t="s">
        <v>22</v>
      </c>
      <c r="B24" s="14" t="s">
        <v>23</v>
      </c>
      <c r="C24" s="13" t="s">
        <v>24</v>
      </c>
      <c r="D24" s="13" t="s">
        <v>25</v>
      </c>
    </row>
    <row r="25" spans="1:8" x14ac:dyDescent="0.3">
      <c r="A25" s="13" t="s">
        <v>26</v>
      </c>
      <c r="B25" s="14" t="s">
        <v>27</v>
      </c>
      <c r="C25" s="13" t="s">
        <v>28</v>
      </c>
      <c r="D25" s="13" t="s">
        <v>29</v>
      </c>
    </row>
    <row r="26" spans="1:8" x14ac:dyDescent="0.3">
      <c r="A26" s="13" t="s">
        <v>30</v>
      </c>
      <c r="B26" s="14" t="s">
        <v>31</v>
      </c>
      <c r="C26" s="13" t="s">
        <v>28</v>
      </c>
      <c r="D26" s="13" t="s">
        <v>25</v>
      </c>
    </row>
    <row r="27" spans="1:8" x14ac:dyDescent="0.3">
      <c r="A27" s="13" t="s">
        <v>32</v>
      </c>
      <c r="B27" s="14" t="s">
        <v>33</v>
      </c>
      <c r="C27" s="13" t="s">
        <v>34</v>
      </c>
      <c r="D27" s="13" t="s">
        <v>29</v>
      </c>
    </row>
    <row r="28" spans="1:8" x14ac:dyDescent="0.3">
      <c r="A28" s="13" t="s">
        <v>35</v>
      </c>
      <c r="B28" s="14" t="s">
        <v>36</v>
      </c>
      <c r="C28" s="13" t="s">
        <v>34</v>
      </c>
      <c r="D28" s="13" t="s">
        <v>37</v>
      </c>
    </row>
    <row r="29" spans="1:8" x14ac:dyDescent="0.3">
      <c r="A29" s="15"/>
      <c r="B29" s="16" t="s">
        <v>38</v>
      </c>
      <c r="C29" s="15" t="s">
        <v>39</v>
      </c>
      <c r="D29" s="15" t="s">
        <v>40</v>
      </c>
    </row>
    <row r="32" spans="1:8" ht="15" customHeight="1" x14ac:dyDescent="0.3">
      <c r="A32" s="10" t="s">
        <v>41</v>
      </c>
    </row>
    <row r="33" spans="1:4" x14ac:dyDescent="0.3">
      <c r="A33" s="11" t="s">
        <v>21</v>
      </c>
      <c r="B33" s="11" t="s">
        <v>42</v>
      </c>
      <c r="C33" s="12" t="s">
        <v>43</v>
      </c>
    </row>
    <row r="34" spans="1:4" x14ac:dyDescent="0.3">
      <c r="A34" s="13" t="s">
        <v>44</v>
      </c>
      <c r="B34" s="13" t="s">
        <v>45</v>
      </c>
      <c r="C34" s="14" t="s">
        <v>46</v>
      </c>
    </row>
    <row r="35" spans="1:4" x14ac:dyDescent="0.3">
      <c r="A35" s="13" t="s">
        <v>47</v>
      </c>
      <c r="B35" s="13" t="s">
        <v>48</v>
      </c>
      <c r="C35" s="14" t="s">
        <v>49</v>
      </c>
    </row>
    <row r="36" spans="1:4" x14ac:dyDescent="0.3">
      <c r="A36" s="13" t="s">
        <v>50</v>
      </c>
      <c r="B36" s="13" t="s">
        <v>51</v>
      </c>
      <c r="C36" s="14" t="s">
        <v>52</v>
      </c>
    </row>
    <row r="37" spans="1:4" x14ac:dyDescent="0.3">
      <c r="A37" s="13" t="s">
        <v>53</v>
      </c>
      <c r="B37" s="13" t="s">
        <v>54</v>
      </c>
      <c r="C37" s="14" t="s">
        <v>55</v>
      </c>
    </row>
    <row r="38" spans="1:4" x14ac:dyDescent="0.3">
      <c r="A38" s="13" t="s">
        <v>56</v>
      </c>
      <c r="B38" s="13" t="s">
        <v>57</v>
      </c>
      <c r="C38" s="14" t="s">
        <v>58</v>
      </c>
    </row>
    <row r="41" spans="1:4" ht="15" customHeight="1" x14ac:dyDescent="0.3">
      <c r="A41" s="10" t="s">
        <v>59</v>
      </c>
    </row>
    <row r="42" spans="1:4" x14ac:dyDescent="0.3">
      <c r="A42" s="17" t="s">
        <v>60</v>
      </c>
      <c r="B42" s="17" t="s">
        <v>61</v>
      </c>
      <c r="C42" s="17" t="s">
        <v>62</v>
      </c>
      <c r="D42" s="17" t="s">
        <v>63</v>
      </c>
    </row>
    <row r="43" spans="1:4" ht="39" customHeight="1" x14ac:dyDescent="0.3">
      <c r="A43" s="18" t="s">
        <v>64</v>
      </c>
      <c r="B43" s="18" t="s">
        <v>65</v>
      </c>
      <c r="C43" s="18" t="s">
        <v>66</v>
      </c>
      <c r="D43" s="18" t="s">
        <v>67</v>
      </c>
    </row>
    <row r="44" spans="1:4" ht="26.25" customHeight="1" x14ac:dyDescent="0.3">
      <c r="A44" s="18" t="s">
        <v>68</v>
      </c>
      <c r="B44" s="18" t="s">
        <v>69</v>
      </c>
      <c r="C44" s="18" t="s">
        <v>70</v>
      </c>
      <c r="D44" s="18" t="s">
        <v>71</v>
      </c>
    </row>
    <row r="45" spans="1:4" ht="26.25" customHeight="1" x14ac:dyDescent="0.3">
      <c r="A45" s="18" t="s">
        <v>72</v>
      </c>
      <c r="B45" s="18" t="s">
        <v>73</v>
      </c>
      <c r="C45" s="18" t="s">
        <v>74</v>
      </c>
      <c r="D45" s="18" t="s">
        <v>75</v>
      </c>
    </row>
    <row r="46" spans="1:4" ht="26.25" customHeight="1" x14ac:dyDescent="0.3">
      <c r="A46" s="18" t="s">
        <v>76</v>
      </c>
      <c r="B46" s="18" t="s">
        <v>39</v>
      </c>
      <c r="C46" s="18" t="s">
        <v>77</v>
      </c>
      <c r="D46" s="18" t="s">
        <v>78</v>
      </c>
    </row>
    <row r="47" spans="1:4" ht="26.25" customHeight="1" x14ac:dyDescent="0.3">
      <c r="A47" s="18" t="s">
        <v>79</v>
      </c>
      <c r="B47" s="18" t="s">
        <v>80</v>
      </c>
      <c r="C47" s="18" t="s">
        <v>81</v>
      </c>
      <c r="D47" s="18" t="s">
        <v>82</v>
      </c>
    </row>
  </sheetData>
  <mergeCells count="14">
    <mergeCell ref="A17:H17"/>
    <mergeCell ref="A18:H18"/>
    <mergeCell ref="A19:H19"/>
    <mergeCell ref="A20:H20"/>
    <mergeCell ref="A10:H10"/>
    <mergeCell ref="A11:H11"/>
    <mergeCell ref="A12:H12"/>
    <mergeCell ref="A15:H15"/>
    <mergeCell ref="A16:H16"/>
    <mergeCell ref="A5:F5"/>
    <mergeCell ref="A6:H6"/>
    <mergeCell ref="A7:H7"/>
    <mergeCell ref="A8:H8"/>
    <mergeCell ref="A9:H9"/>
  </mergeCells>
  <pageMargins left="0.5" right="0.5" top="0.5" bottom="0.5" header="0.511811023622047" footer="0.511811023622047"/>
  <pageSetup paperSize="9"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4472C4"/>
    <pageSetUpPr fitToPage="1"/>
  </sheetPr>
  <dimension ref="A1:R2001"/>
  <sheetViews>
    <sheetView zoomScaleNormal="100" workbookViewId="0">
      <pane ySplit="1" topLeftCell="A2" activePane="bottomLeft" state="frozen"/>
      <selection pane="bottomLeft" activeCell="P4" sqref="P4"/>
    </sheetView>
  </sheetViews>
  <sheetFormatPr defaultColWidth="8.6640625" defaultRowHeight="14.4" x14ac:dyDescent="0.3"/>
  <cols>
    <col min="1" max="1" width="11" customWidth="1"/>
    <col min="2" max="2" width="12" customWidth="1"/>
    <col min="3" max="3" width="13" customWidth="1"/>
    <col min="4" max="4" width="12" customWidth="1"/>
    <col min="5" max="5" width="14" customWidth="1"/>
    <col min="6" max="6" width="10" customWidth="1"/>
    <col min="7" max="7" width="12" customWidth="1"/>
    <col min="8" max="9" width="14" customWidth="1"/>
    <col min="10" max="10" width="16" customWidth="1"/>
    <col min="11" max="11" width="11" customWidth="1"/>
    <col min="16" max="16" width="10.44140625" customWidth="1"/>
    <col min="17" max="17" width="18.6640625" customWidth="1"/>
  </cols>
  <sheetData>
    <row r="1" spans="1:18" x14ac:dyDescent="0.3">
      <c r="A1" s="11" t="s">
        <v>83</v>
      </c>
      <c r="B1" s="11" t="s">
        <v>84</v>
      </c>
      <c r="C1" s="11" t="s">
        <v>85</v>
      </c>
      <c r="D1" s="11" t="s">
        <v>86</v>
      </c>
      <c r="E1" s="11" t="s">
        <v>87</v>
      </c>
      <c r="F1" s="11" t="s">
        <v>88</v>
      </c>
      <c r="G1" s="11" t="s">
        <v>89</v>
      </c>
      <c r="H1" s="11" t="s">
        <v>90</v>
      </c>
      <c r="I1" s="11" t="s">
        <v>91</v>
      </c>
      <c r="J1" s="11" t="s">
        <v>92</v>
      </c>
      <c r="K1" s="11" t="s">
        <v>93</v>
      </c>
      <c r="L1" s="19" t="s">
        <v>94</v>
      </c>
      <c r="M1" s="19" t="s">
        <v>95</v>
      </c>
      <c r="O1" s="20" t="s">
        <v>96</v>
      </c>
      <c r="P1" s="21" t="s">
        <v>97</v>
      </c>
      <c r="Q1" s="21" t="s">
        <v>98</v>
      </c>
      <c r="R1" s="20" t="s">
        <v>99</v>
      </c>
    </row>
    <row r="2" spans="1:18" x14ac:dyDescent="0.3">
      <c r="A2" s="22" t="s">
        <v>100</v>
      </c>
      <c r="B2" s="23">
        <v>45549</v>
      </c>
      <c r="C2" s="22" t="s">
        <v>101</v>
      </c>
      <c r="D2" s="22" t="s">
        <v>102</v>
      </c>
      <c r="E2" s="22" t="s">
        <v>103</v>
      </c>
      <c r="F2" s="24">
        <v>8</v>
      </c>
      <c r="G2" s="24">
        <v>3620</v>
      </c>
      <c r="H2" s="24">
        <v>15.4</v>
      </c>
      <c r="I2" s="24">
        <v>24500.16</v>
      </c>
      <c r="J2" s="22" t="s">
        <v>104</v>
      </c>
      <c r="K2" s="22" t="s">
        <v>105</v>
      </c>
      <c r="L2" t="str">
        <f>VLOOKUP(D2,Products!A:F,3,FALSE())</f>
        <v>Apparel</v>
      </c>
      <c r="M2" t="str">
        <f>VLOOKUP(C2,Customers!A:F,5,FALSE())</f>
        <v>SMB</v>
      </c>
      <c r="N2">
        <f>AVERAGEIFS(I:I,L:L,"Electronics",M:M,"Corporate")</f>
        <v>13981.401558441557</v>
      </c>
      <c r="O2" t="str">
        <f>IFERROR(VLOOKUP(E2,Sales_Reps!$A:$C,3,FALSE()),"")</f>
        <v>North</v>
      </c>
      <c r="P2">
        <f>IFERROR(VLOOKUP(C2,Customers!$A:$C,3,FALSE()),"")</f>
        <v>44</v>
      </c>
      <c r="Q2" t="str">
        <f t="shared" ref="Q2:Q65" si="0">TEXT(B2,"mmm-yy")</f>
        <v>Sep-24</v>
      </c>
      <c r="R2">
        <f>IFERROR((VLOOKUP(D2,Products!$A:$E,5,FALSE())-VLOOKUP(D2,Products!$A:$E,4,FALSE()))/VLOOKUP(D2,Products!$A:$E,5,FALSE()),"")</f>
        <v>0.3069060773480663</v>
      </c>
    </row>
    <row r="3" spans="1:18" x14ac:dyDescent="0.3">
      <c r="A3" s="22" t="s">
        <v>106</v>
      </c>
      <c r="B3" s="23">
        <v>45340</v>
      </c>
      <c r="C3" s="22" t="s">
        <v>107</v>
      </c>
      <c r="D3" s="22" t="s">
        <v>108</v>
      </c>
      <c r="E3" s="22" t="s">
        <v>109</v>
      </c>
      <c r="F3" s="24">
        <v>2</v>
      </c>
      <c r="G3" s="24">
        <v>820</v>
      </c>
      <c r="H3" s="24">
        <v>10.8</v>
      </c>
      <c r="I3" s="24">
        <v>1462.88</v>
      </c>
      <c r="J3" s="22" t="s">
        <v>110</v>
      </c>
      <c r="K3" s="22" t="s">
        <v>111</v>
      </c>
      <c r="L3" t="str">
        <f>VLOOKUP(D3,Products!A:F,3,FALSE())</f>
        <v>Apparel</v>
      </c>
      <c r="M3" t="str">
        <f>VLOOKUP(C3,Customers!A:F,5,FALSE())</f>
        <v>Retail</v>
      </c>
      <c r="O3" t="str">
        <f>IFERROR(VLOOKUP(E3,Sales_Reps!$A:$C,3,FALSE()),"")</f>
        <v>North</v>
      </c>
      <c r="P3">
        <f>IFERROR(VLOOKUP(C3,Customers!$A:$C,3,FALSE()),"")</f>
        <v>39</v>
      </c>
      <c r="Q3" t="str">
        <f t="shared" si="0"/>
        <v>Feb-24</v>
      </c>
      <c r="R3">
        <f>IFERROR((VLOOKUP(D3,Products!$A:$E,5,FALSE())-VLOOKUP(D3,Products!$A:$E,4,FALSE()))/VLOOKUP(D3,Products!$A:$E,5,FALSE()),"")</f>
        <v>0.52317073170731709</v>
      </c>
    </row>
    <row r="4" spans="1:18" x14ac:dyDescent="0.3">
      <c r="A4" s="22" t="s">
        <v>112</v>
      </c>
      <c r="B4" s="23">
        <v>45371</v>
      </c>
      <c r="C4" s="22" t="s">
        <v>113</v>
      </c>
      <c r="D4" s="22" t="s">
        <v>114</v>
      </c>
      <c r="E4" s="22" t="s">
        <v>115</v>
      </c>
      <c r="F4" s="24">
        <v>8</v>
      </c>
      <c r="G4" s="24">
        <v>470</v>
      </c>
      <c r="H4" s="24">
        <v>3.3</v>
      </c>
      <c r="I4" s="24">
        <v>3635.92</v>
      </c>
      <c r="J4" s="22" t="s">
        <v>110</v>
      </c>
      <c r="K4" s="22" t="s">
        <v>116</v>
      </c>
      <c r="L4" t="str">
        <f>VLOOKUP(D4,Products!A:F,3,FALSE())</f>
        <v>Sports</v>
      </c>
      <c r="M4" t="str">
        <f>VLOOKUP(C4,Customers!A:F,5,FALSE())</f>
        <v>Retail</v>
      </c>
      <c r="O4" t="str">
        <f>IFERROR(VLOOKUP(E4,Sales_Reps!$A:$C,3,FALSE()),"")</f>
        <v>South</v>
      </c>
      <c r="P4">
        <f>IFERROR(VLOOKUP(C4,Customers!$A:$C,3,FALSE()),"")</f>
        <v>52</v>
      </c>
      <c r="Q4" t="str">
        <f t="shared" si="0"/>
        <v>Mar-24</v>
      </c>
      <c r="R4">
        <f>IFERROR((VLOOKUP(D4,Products!$A:$E,5,FALSE())-VLOOKUP(D4,Products!$A:$E,4,FALSE()))/VLOOKUP(D4,Products!$A:$E,5,FALSE()),"")</f>
        <v>0.35744680851063831</v>
      </c>
    </row>
    <row r="5" spans="1:18" x14ac:dyDescent="0.3">
      <c r="A5" s="22" t="s">
        <v>117</v>
      </c>
      <c r="B5" s="23">
        <v>45413</v>
      </c>
      <c r="C5" s="22" t="s">
        <v>118</v>
      </c>
      <c r="D5" s="22" t="s">
        <v>119</v>
      </c>
      <c r="E5" s="22" t="s">
        <v>120</v>
      </c>
      <c r="F5" s="24">
        <v>1</v>
      </c>
      <c r="G5" s="24">
        <v>3660</v>
      </c>
      <c r="H5" s="24">
        <v>15.7</v>
      </c>
      <c r="I5" s="24">
        <v>3085.38</v>
      </c>
      <c r="J5" s="22" t="s">
        <v>104</v>
      </c>
      <c r="K5" s="22" t="s">
        <v>116</v>
      </c>
      <c r="L5" t="str">
        <f>VLOOKUP(D5,Products!A:F,3,FALSE())</f>
        <v>Grocery</v>
      </c>
      <c r="M5" t="str">
        <f>VLOOKUP(C5,Customers!A:F,5,FALSE())</f>
        <v>Corporate</v>
      </c>
      <c r="O5" t="str">
        <f>IFERROR(VLOOKUP(E5,Sales_Reps!$A:$C,3,FALSE()),"")</f>
        <v>South</v>
      </c>
      <c r="P5">
        <f>IFERROR(VLOOKUP(C5,Customers!$A:$C,3,FALSE()),"")</f>
        <v>46</v>
      </c>
      <c r="Q5" t="str">
        <f t="shared" si="0"/>
        <v>May-24</v>
      </c>
      <c r="R5">
        <f>IFERROR((VLOOKUP(D5,Products!$A:$E,5,FALSE())-VLOOKUP(D5,Products!$A:$E,4,FALSE()))/VLOOKUP(D5,Products!$A:$E,5,FALSE()),"")</f>
        <v>0.39508196721311473</v>
      </c>
    </row>
    <row r="6" spans="1:18" x14ac:dyDescent="0.3">
      <c r="A6" s="22" t="s">
        <v>121</v>
      </c>
      <c r="B6" s="23">
        <v>45611</v>
      </c>
      <c r="C6" s="22" t="s">
        <v>122</v>
      </c>
      <c r="D6" s="22" t="s">
        <v>123</v>
      </c>
      <c r="E6" s="22" t="s">
        <v>124</v>
      </c>
      <c r="F6" s="24">
        <v>1</v>
      </c>
      <c r="G6" s="24">
        <v>3160</v>
      </c>
      <c r="H6" s="24">
        <v>26</v>
      </c>
      <c r="I6" s="24">
        <v>2338.4</v>
      </c>
      <c r="J6" s="22" t="s">
        <v>104</v>
      </c>
      <c r="K6" s="22" t="s">
        <v>111</v>
      </c>
      <c r="L6" t="str">
        <f>VLOOKUP(D6,Products!A:F,3,FALSE())</f>
        <v>Apparel</v>
      </c>
      <c r="M6" t="str">
        <f>VLOOKUP(C6,Customers!A:F,5,FALSE())</f>
        <v>Retail</v>
      </c>
      <c r="O6" t="str">
        <f>IFERROR(VLOOKUP(E6,Sales_Reps!$A:$C,3,FALSE()),"")</f>
        <v>South</v>
      </c>
      <c r="P6">
        <f>IFERROR(VLOOKUP(C6,Customers!$A:$C,3,FALSE()),"")</f>
        <v>36</v>
      </c>
      <c r="Q6" t="str">
        <f t="shared" si="0"/>
        <v>Nov-24</v>
      </c>
      <c r="R6">
        <f>IFERROR((VLOOKUP(D6,Products!$A:$E,5,FALSE())-VLOOKUP(D6,Products!$A:$E,4,FALSE()))/VLOOKUP(D6,Products!$A:$E,5,FALSE()),"")</f>
        <v>0.4031645569620253</v>
      </c>
    </row>
    <row r="7" spans="1:18" x14ac:dyDescent="0.3">
      <c r="A7" s="22" t="s">
        <v>125</v>
      </c>
      <c r="B7" s="23">
        <v>45406</v>
      </c>
      <c r="C7" s="22" t="s">
        <v>126</v>
      </c>
      <c r="D7" s="22" t="s">
        <v>127</v>
      </c>
      <c r="E7" s="22" t="s">
        <v>128</v>
      </c>
      <c r="F7" s="24">
        <v>4</v>
      </c>
      <c r="G7" s="24">
        <v>370</v>
      </c>
      <c r="H7" s="24">
        <v>29</v>
      </c>
      <c r="I7" s="24">
        <v>1050.8</v>
      </c>
      <c r="J7" s="22" t="s">
        <v>104</v>
      </c>
      <c r="K7" s="22" t="s">
        <v>129</v>
      </c>
      <c r="L7" t="str">
        <f>VLOOKUP(D7,Products!A:F,3,FALSE())</f>
        <v>Home</v>
      </c>
      <c r="M7" t="str">
        <f>VLOOKUP(C7,Customers!A:F,5,FALSE())</f>
        <v>Retail</v>
      </c>
      <c r="O7" t="str">
        <f>IFERROR(VLOOKUP(E7,Sales_Reps!$A:$C,3,FALSE()),"")</f>
        <v>South</v>
      </c>
      <c r="P7">
        <f>IFERROR(VLOOKUP(C7,Customers!$A:$C,3,FALSE()),"")</f>
        <v>36</v>
      </c>
      <c r="Q7" t="str">
        <f t="shared" si="0"/>
        <v>Apr-24</v>
      </c>
      <c r="R7">
        <f>IFERROR((VLOOKUP(D7,Products!$A:$E,5,FALSE())-VLOOKUP(D7,Products!$A:$E,4,FALSE()))/VLOOKUP(D7,Products!$A:$E,5,FALSE()),"")</f>
        <v>0.22162162162162163</v>
      </c>
    </row>
    <row r="8" spans="1:18" x14ac:dyDescent="0.3">
      <c r="A8" s="22" t="s">
        <v>130</v>
      </c>
      <c r="B8" s="23">
        <v>45455</v>
      </c>
      <c r="C8" s="22" t="s">
        <v>131</v>
      </c>
      <c r="D8" s="22" t="s">
        <v>132</v>
      </c>
      <c r="E8" s="22" t="s">
        <v>133</v>
      </c>
      <c r="F8" s="24">
        <v>3</v>
      </c>
      <c r="G8" s="24">
        <v>960</v>
      </c>
      <c r="H8" s="24">
        <v>5.8</v>
      </c>
      <c r="I8" s="24">
        <v>2712.96</v>
      </c>
      <c r="J8" s="22" t="s">
        <v>104</v>
      </c>
      <c r="K8" s="22" t="s">
        <v>134</v>
      </c>
      <c r="L8" t="str">
        <f>VLOOKUP(D8,Products!A:F,3,FALSE())</f>
        <v>Sports</v>
      </c>
      <c r="M8" t="str">
        <f>VLOOKUP(C8,Customers!A:F,5,FALSE())</f>
        <v>Retail</v>
      </c>
      <c r="O8" t="str">
        <f>IFERROR(VLOOKUP(E8,Sales_Reps!$A:$C,3,FALSE()),"")</f>
        <v>South</v>
      </c>
      <c r="P8">
        <f>IFERROR(VLOOKUP(C8,Customers!$A:$C,3,FALSE()),"")</f>
        <v>27</v>
      </c>
      <c r="Q8" t="str">
        <f t="shared" si="0"/>
        <v>Jun-24</v>
      </c>
      <c r="R8">
        <f>IFERROR((VLOOKUP(D8,Products!$A:$E,5,FALSE())-VLOOKUP(D8,Products!$A:$E,4,FALSE()))/VLOOKUP(D8,Products!$A:$E,5,FALSE()),"")</f>
        <v>0.265625</v>
      </c>
    </row>
    <row r="9" spans="1:18" x14ac:dyDescent="0.3">
      <c r="A9" s="22" t="s">
        <v>135</v>
      </c>
      <c r="B9" s="23">
        <v>45617</v>
      </c>
      <c r="C9" s="22" t="s">
        <v>136</v>
      </c>
      <c r="D9" s="22" t="s">
        <v>137</v>
      </c>
      <c r="E9" s="22" t="s">
        <v>138</v>
      </c>
      <c r="F9" s="24">
        <v>8</v>
      </c>
      <c r="G9" s="24">
        <v>1430</v>
      </c>
      <c r="H9" s="24">
        <v>2.4</v>
      </c>
      <c r="I9" s="24">
        <v>11165.44</v>
      </c>
      <c r="J9" s="22" t="s">
        <v>104</v>
      </c>
      <c r="K9" s="22" t="s">
        <v>134</v>
      </c>
      <c r="L9" t="str">
        <f>VLOOKUP(D9,Products!A:F,3,FALSE())</f>
        <v>Electronics</v>
      </c>
      <c r="M9" t="str">
        <f>VLOOKUP(C9,Customers!A:F,5,FALSE())</f>
        <v>Corporate</v>
      </c>
      <c r="O9" t="str">
        <f>IFERROR(VLOOKUP(E9,Sales_Reps!$A:$C,3,FALSE()),"")</f>
        <v>South</v>
      </c>
      <c r="P9">
        <f>IFERROR(VLOOKUP(C9,Customers!$A:$C,3,FALSE()),"")</f>
        <v>57</v>
      </c>
      <c r="Q9" t="str">
        <f t="shared" si="0"/>
        <v>Nov-24</v>
      </c>
      <c r="R9">
        <f>IFERROR((VLOOKUP(D9,Products!$A:$E,5,FALSE())-VLOOKUP(D9,Products!$A:$E,4,FALSE()))/VLOOKUP(D9,Products!$A:$E,5,FALSE()),"")</f>
        <v>0.39790209790209791</v>
      </c>
    </row>
    <row r="10" spans="1:18" x14ac:dyDescent="0.3">
      <c r="A10" s="22" t="s">
        <v>139</v>
      </c>
      <c r="B10" s="23">
        <v>45549</v>
      </c>
      <c r="C10" s="22" t="s">
        <v>140</v>
      </c>
      <c r="D10" s="22" t="s">
        <v>141</v>
      </c>
      <c r="E10" s="22" t="s">
        <v>142</v>
      </c>
      <c r="F10" s="24">
        <v>3</v>
      </c>
      <c r="G10" s="24">
        <v>5490</v>
      </c>
      <c r="H10" s="24">
        <v>14.2</v>
      </c>
      <c r="I10" s="24">
        <v>14131.26</v>
      </c>
      <c r="J10" s="22" t="s">
        <v>104</v>
      </c>
      <c r="K10" s="22" t="s">
        <v>134</v>
      </c>
      <c r="L10" t="str">
        <f>VLOOKUP(D10,Products!A:F,3,FALSE())</f>
        <v>Home</v>
      </c>
      <c r="M10" t="str">
        <f>VLOOKUP(C10,Customers!A:F,5,FALSE())</f>
        <v>Retail</v>
      </c>
      <c r="O10" t="str">
        <f>IFERROR(VLOOKUP(E10,Sales_Reps!$A:$C,3,FALSE()),"")</f>
        <v>South</v>
      </c>
      <c r="P10">
        <f>IFERROR(VLOOKUP(C10,Customers!$A:$C,3,FALSE()),"")</f>
        <v>42</v>
      </c>
      <c r="Q10" t="str">
        <f t="shared" si="0"/>
        <v>Sep-24</v>
      </c>
      <c r="R10">
        <f>IFERROR((VLOOKUP(D10,Products!$A:$E,5,FALSE())-VLOOKUP(D10,Products!$A:$E,4,FALSE()))/VLOOKUP(D10,Products!$A:$E,5,FALSE()),"")</f>
        <v>0.53570127504553733</v>
      </c>
    </row>
    <row r="11" spans="1:18" x14ac:dyDescent="0.3">
      <c r="A11" s="22" t="s">
        <v>143</v>
      </c>
      <c r="B11" s="23">
        <v>45396</v>
      </c>
      <c r="C11" s="22" t="s">
        <v>144</v>
      </c>
      <c r="D11" s="22" t="s">
        <v>145</v>
      </c>
      <c r="E11" s="22" t="s">
        <v>146</v>
      </c>
      <c r="F11" s="24">
        <v>3</v>
      </c>
      <c r="G11" s="24">
        <v>970</v>
      </c>
      <c r="H11" s="24">
        <v>1.2</v>
      </c>
      <c r="I11" s="24">
        <v>2875.08</v>
      </c>
      <c r="J11" s="22" t="s">
        <v>104</v>
      </c>
      <c r="K11" s="22" t="s">
        <v>105</v>
      </c>
      <c r="L11" t="str">
        <f>VLOOKUP(D11,Products!A:F,3,FALSE())</f>
        <v>Grocery</v>
      </c>
      <c r="M11" t="str">
        <f>VLOOKUP(C11,Customers!A:F,5,FALSE())</f>
        <v>Retail</v>
      </c>
      <c r="O11" t="str">
        <f>IFERROR(VLOOKUP(E11,Sales_Reps!$A:$C,3,FALSE()),"")</f>
        <v>South</v>
      </c>
      <c r="P11">
        <f>IFERROR(VLOOKUP(C11,Customers!$A:$C,3,FALSE()),"")</f>
        <v>56</v>
      </c>
      <c r="Q11" t="str">
        <f t="shared" si="0"/>
        <v>Apr-24</v>
      </c>
      <c r="R11">
        <f>IFERROR((VLOOKUP(D11,Products!$A:$E,5,FALSE())-VLOOKUP(D11,Products!$A:$E,4,FALSE()))/VLOOKUP(D11,Products!$A:$E,5,FALSE()),"")</f>
        <v>0.5525773195876289</v>
      </c>
    </row>
    <row r="12" spans="1:18" x14ac:dyDescent="0.3">
      <c r="A12" s="22" t="s">
        <v>147</v>
      </c>
      <c r="B12" s="23">
        <v>45560</v>
      </c>
      <c r="C12" s="22" t="s">
        <v>148</v>
      </c>
      <c r="D12" s="22" t="s">
        <v>149</v>
      </c>
      <c r="E12" s="22" t="s">
        <v>150</v>
      </c>
      <c r="F12" s="24">
        <v>7</v>
      </c>
      <c r="G12" s="24">
        <v>2270</v>
      </c>
      <c r="H12" s="24">
        <v>7.1</v>
      </c>
      <c r="I12" s="24">
        <v>14761.81</v>
      </c>
      <c r="J12" s="22" t="s">
        <v>110</v>
      </c>
      <c r="K12" s="22" t="s">
        <v>151</v>
      </c>
      <c r="L12" t="str">
        <f>VLOOKUP(D12,Products!A:F,3,FALSE())</f>
        <v>Grocery</v>
      </c>
      <c r="M12" t="str">
        <f>VLOOKUP(C12,Customers!A:F,5,FALSE())</f>
        <v>Retail</v>
      </c>
      <c r="O12" t="str">
        <f>IFERROR(VLOOKUP(E12,Sales_Reps!$A:$C,3,FALSE()),"")</f>
        <v>East</v>
      </c>
      <c r="P12">
        <f>IFERROR(VLOOKUP(C12,Customers!$A:$C,3,FALSE()),"")</f>
        <v>60</v>
      </c>
      <c r="Q12" t="str">
        <f t="shared" si="0"/>
        <v>Sep-24</v>
      </c>
      <c r="R12">
        <f>IFERROR((VLOOKUP(D12,Products!$A:$E,5,FALSE())-VLOOKUP(D12,Products!$A:$E,4,FALSE()))/VLOOKUP(D12,Products!$A:$E,5,FALSE()),"")</f>
        <v>0.47004405286343615</v>
      </c>
    </row>
    <row r="13" spans="1:18" x14ac:dyDescent="0.3">
      <c r="A13" s="22" t="s">
        <v>152</v>
      </c>
      <c r="B13" s="23">
        <v>45332</v>
      </c>
      <c r="C13" s="22" t="s">
        <v>144</v>
      </c>
      <c r="D13" s="22" t="s">
        <v>153</v>
      </c>
      <c r="E13" s="22" t="s">
        <v>154</v>
      </c>
      <c r="F13" s="24">
        <v>9</v>
      </c>
      <c r="G13" s="24">
        <v>2640</v>
      </c>
      <c r="H13" s="24">
        <v>21.7</v>
      </c>
      <c r="I13" s="24">
        <v>18604.080000000002</v>
      </c>
      <c r="J13" s="22" t="s">
        <v>104</v>
      </c>
      <c r="K13" s="22" t="s">
        <v>105</v>
      </c>
      <c r="L13" t="str">
        <f>VLOOKUP(D13,Products!A:F,3,FALSE())</f>
        <v>Electronics</v>
      </c>
      <c r="M13" t="str">
        <f>VLOOKUP(C13,Customers!A:F,5,FALSE())</f>
        <v>Retail</v>
      </c>
      <c r="O13" t="str">
        <f>IFERROR(VLOOKUP(E13,Sales_Reps!$A:$C,3,FALSE()),"")</f>
        <v>East</v>
      </c>
      <c r="P13">
        <f>IFERROR(VLOOKUP(C13,Customers!$A:$C,3,FALSE()),"")</f>
        <v>56</v>
      </c>
      <c r="Q13" t="str">
        <f t="shared" si="0"/>
        <v>Feb-24</v>
      </c>
      <c r="R13">
        <f>IFERROR((VLOOKUP(D13,Products!$A:$E,5,FALSE())-VLOOKUP(D13,Products!$A:$E,4,FALSE()))/VLOOKUP(D13,Products!$A:$E,5,FALSE()),"")</f>
        <v>0.56477272727272732</v>
      </c>
    </row>
    <row r="14" spans="1:18" x14ac:dyDescent="0.3">
      <c r="A14" s="22" t="s">
        <v>155</v>
      </c>
      <c r="B14" s="23">
        <v>45507</v>
      </c>
      <c r="C14" s="22" t="s">
        <v>156</v>
      </c>
      <c r="D14" s="22" t="s">
        <v>157</v>
      </c>
      <c r="E14" s="22" t="s">
        <v>158</v>
      </c>
      <c r="F14" s="24">
        <v>3</v>
      </c>
      <c r="G14" s="24">
        <v>2600</v>
      </c>
      <c r="H14" s="24">
        <v>4.3</v>
      </c>
      <c r="I14" s="24">
        <v>7464.6</v>
      </c>
      <c r="J14" s="22" t="s">
        <v>159</v>
      </c>
      <c r="K14" s="22" t="s">
        <v>116</v>
      </c>
      <c r="L14" t="str">
        <f>VLOOKUP(D14,Products!A:F,3,FALSE())</f>
        <v>Electronics</v>
      </c>
      <c r="M14" t="str">
        <f>VLOOKUP(C14,Customers!A:F,5,FALSE())</f>
        <v>SMB</v>
      </c>
      <c r="O14" t="str">
        <f>IFERROR(VLOOKUP(E14,Sales_Reps!$A:$C,3,FALSE()),"")</f>
        <v>East</v>
      </c>
      <c r="P14">
        <f>IFERROR(VLOOKUP(C14,Customers!$A:$C,3,FALSE()),"")</f>
        <v>27</v>
      </c>
      <c r="Q14" t="str">
        <f t="shared" si="0"/>
        <v>Aug-24</v>
      </c>
      <c r="R14">
        <f>IFERROR((VLOOKUP(D14,Products!$A:$E,5,FALSE())-VLOOKUP(D14,Products!$A:$E,4,FALSE()))/VLOOKUP(D14,Products!$A:$E,5,FALSE()),"")</f>
        <v>0.5953846153846154</v>
      </c>
    </row>
    <row r="15" spans="1:18" x14ac:dyDescent="0.3">
      <c r="A15" s="22" t="s">
        <v>160</v>
      </c>
      <c r="B15" s="23">
        <v>45466</v>
      </c>
      <c r="C15" s="22" t="s">
        <v>161</v>
      </c>
      <c r="D15" s="22" t="s">
        <v>162</v>
      </c>
      <c r="E15" s="22" t="s">
        <v>163</v>
      </c>
      <c r="F15" s="24">
        <v>3</v>
      </c>
      <c r="G15" s="24">
        <v>3250</v>
      </c>
      <c r="H15" s="24">
        <v>14.1</v>
      </c>
      <c r="I15" s="24">
        <v>8375.25</v>
      </c>
      <c r="J15" s="22" t="s">
        <v>164</v>
      </c>
      <c r="K15" s="22" t="s">
        <v>105</v>
      </c>
      <c r="L15" t="str">
        <f>VLOOKUP(D15,Products!A:F,3,FALSE())</f>
        <v>Home</v>
      </c>
      <c r="M15" t="str">
        <f>VLOOKUP(C15,Customers!A:F,5,FALSE())</f>
        <v>SMB</v>
      </c>
      <c r="O15" t="str">
        <f>IFERROR(VLOOKUP(E15,Sales_Reps!$A:$C,3,FALSE()),"")</f>
        <v>East</v>
      </c>
      <c r="P15">
        <f>IFERROR(VLOOKUP(C15,Customers!$A:$C,3,FALSE()),"")</f>
        <v>39</v>
      </c>
      <c r="Q15" t="str">
        <f t="shared" si="0"/>
        <v>Jun-24</v>
      </c>
      <c r="R15">
        <f>IFERROR((VLOOKUP(D15,Products!$A:$E,5,FALSE())-VLOOKUP(D15,Products!$A:$E,4,FALSE()))/VLOOKUP(D15,Products!$A:$E,5,FALSE()),"")</f>
        <v>0.52123076923076928</v>
      </c>
    </row>
    <row r="16" spans="1:18" x14ac:dyDescent="0.3">
      <c r="A16" s="22" t="s">
        <v>165</v>
      </c>
      <c r="B16" s="23">
        <v>45365</v>
      </c>
      <c r="C16" s="22" t="s">
        <v>166</v>
      </c>
      <c r="D16" s="22" t="s">
        <v>167</v>
      </c>
      <c r="E16" s="22" t="s">
        <v>168</v>
      </c>
      <c r="F16" s="24">
        <v>1</v>
      </c>
      <c r="G16" s="24">
        <v>190</v>
      </c>
      <c r="H16" s="24">
        <v>20.7</v>
      </c>
      <c r="I16" s="24">
        <v>150.66999999999999</v>
      </c>
      <c r="J16" s="22" t="s">
        <v>104</v>
      </c>
      <c r="K16" s="22" t="s">
        <v>105</v>
      </c>
      <c r="L16" t="str">
        <f>VLOOKUP(D16,Products!A:F,3,FALSE())</f>
        <v>Sports</v>
      </c>
      <c r="M16" t="str">
        <f>VLOOKUP(C16,Customers!A:F,5,FALSE())</f>
        <v>Retail</v>
      </c>
      <c r="O16" t="str">
        <f>IFERROR(VLOOKUP(E16,Sales_Reps!$A:$C,3,FALSE()),"")</f>
        <v>East</v>
      </c>
      <c r="P16">
        <f>IFERROR(VLOOKUP(C16,Customers!$A:$C,3,FALSE()),"")</f>
        <v>38</v>
      </c>
      <c r="Q16" t="str">
        <f t="shared" si="0"/>
        <v>Mar-24</v>
      </c>
      <c r="R16">
        <f>IFERROR((VLOOKUP(D16,Products!$A:$E,5,FALSE())-VLOOKUP(D16,Products!$A:$E,4,FALSE()))/VLOOKUP(D16,Products!$A:$E,5,FALSE()),"")</f>
        <v>0.22631578947368422</v>
      </c>
    </row>
    <row r="17" spans="1:18" x14ac:dyDescent="0.3">
      <c r="A17" s="22" t="s">
        <v>169</v>
      </c>
      <c r="B17" s="23">
        <v>45546</v>
      </c>
      <c r="C17" s="22" t="s">
        <v>170</v>
      </c>
      <c r="D17" s="22" t="s">
        <v>171</v>
      </c>
      <c r="E17" s="22" t="s">
        <v>172</v>
      </c>
      <c r="F17" s="24">
        <v>7</v>
      </c>
      <c r="G17" s="24">
        <v>2400</v>
      </c>
      <c r="H17" s="24">
        <v>10.199999999999999</v>
      </c>
      <c r="I17" s="24">
        <v>15086.4</v>
      </c>
      <c r="J17" s="22" t="s">
        <v>110</v>
      </c>
      <c r="K17" s="22" t="s">
        <v>105</v>
      </c>
      <c r="L17" t="str">
        <f>VLOOKUP(D17,Products!A:F,3,FALSE())</f>
        <v>Sports</v>
      </c>
      <c r="M17" t="str">
        <f>VLOOKUP(C17,Customers!A:F,5,FALSE())</f>
        <v>Retail</v>
      </c>
      <c r="O17" t="str">
        <f>IFERROR(VLOOKUP(E17,Sales_Reps!$A:$C,3,FALSE()),"")</f>
        <v>East</v>
      </c>
      <c r="P17">
        <f>IFERROR(VLOOKUP(C17,Customers!$A:$C,3,FALSE()),"")</f>
        <v>63</v>
      </c>
      <c r="Q17" t="str">
        <f t="shared" si="0"/>
        <v>Sep-24</v>
      </c>
      <c r="R17">
        <f>IFERROR((VLOOKUP(D17,Products!$A:$E,5,FALSE())-VLOOKUP(D17,Products!$A:$E,4,FALSE()))/VLOOKUP(D17,Products!$A:$E,5,FALSE()),"")</f>
        <v>0.59416666666666662</v>
      </c>
    </row>
    <row r="18" spans="1:18" x14ac:dyDescent="0.3">
      <c r="A18" s="22" t="s">
        <v>173</v>
      </c>
      <c r="B18" s="23">
        <v>45512</v>
      </c>
      <c r="C18" s="22" t="s">
        <v>174</v>
      </c>
      <c r="D18" s="22" t="s">
        <v>119</v>
      </c>
      <c r="E18" s="22" t="s">
        <v>175</v>
      </c>
      <c r="F18" s="24">
        <v>4</v>
      </c>
      <c r="G18" s="24">
        <v>3660</v>
      </c>
      <c r="H18" s="24">
        <v>2.6</v>
      </c>
      <c r="I18" s="24">
        <v>14259.36</v>
      </c>
      <c r="J18" s="22" t="s">
        <v>104</v>
      </c>
      <c r="K18" s="22" t="s">
        <v>134</v>
      </c>
      <c r="L18" t="str">
        <f>VLOOKUP(D18,Products!A:F,3,FALSE())</f>
        <v>Grocery</v>
      </c>
      <c r="M18" t="str">
        <f>VLOOKUP(C18,Customers!A:F,5,FALSE())</f>
        <v>SMB</v>
      </c>
      <c r="O18" t="str">
        <f>IFERROR(VLOOKUP(E18,Sales_Reps!$A:$C,3,FALSE()),"")</f>
        <v>East</v>
      </c>
      <c r="P18">
        <f>IFERROR(VLOOKUP(C18,Customers!$A:$C,3,FALSE()),"")</f>
        <v>46</v>
      </c>
      <c r="Q18" t="str">
        <f t="shared" si="0"/>
        <v>Aug-24</v>
      </c>
      <c r="R18">
        <f>IFERROR((VLOOKUP(D18,Products!$A:$E,5,FALSE())-VLOOKUP(D18,Products!$A:$E,4,FALSE()))/VLOOKUP(D18,Products!$A:$E,5,FALSE()),"")</f>
        <v>0.39508196721311473</v>
      </c>
    </row>
    <row r="19" spans="1:18" x14ac:dyDescent="0.3">
      <c r="A19" s="22" t="s">
        <v>176</v>
      </c>
      <c r="B19" s="23">
        <v>45654</v>
      </c>
      <c r="C19" s="22" t="s">
        <v>177</v>
      </c>
      <c r="D19" s="22" t="s">
        <v>178</v>
      </c>
      <c r="E19" s="22" t="s">
        <v>179</v>
      </c>
      <c r="F19" s="24">
        <v>8</v>
      </c>
      <c r="G19" s="24">
        <v>3450</v>
      </c>
      <c r="H19" s="24">
        <v>18.5</v>
      </c>
      <c r="I19" s="24">
        <v>22494</v>
      </c>
      <c r="J19" s="22" t="s">
        <v>104</v>
      </c>
      <c r="K19" s="22" t="s">
        <v>151</v>
      </c>
      <c r="L19" t="str">
        <f>VLOOKUP(D19,Products!A:F,3,FALSE())</f>
        <v>Beauty</v>
      </c>
      <c r="M19" t="str">
        <f>VLOOKUP(C19,Customers!A:F,5,FALSE())</f>
        <v>Corporate</v>
      </c>
      <c r="O19" t="str">
        <f>IFERROR(VLOOKUP(E19,Sales_Reps!$A:$C,3,FALSE()),"")</f>
        <v>West</v>
      </c>
      <c r="P19">
        <f>IFERROR(VLOOKUP(C19,Customers!$A:$C,3,FALSE()),"")</f>
        <v>32</v>
      </c>
      <c r="Q19" t="str">
        <f t="shared" si="0"/>
        <v>Dec-24</v>
      </c>
      <c r="R19">
        <f>IFERROR((VLOOKUP(D19,Products!$A:$E,5,FALSE())-VLOOKUP(D19,Products!$A:$E,4,FALSE()))/VLOOKUP(D19,Products!$A:$E,5,FALSE()),"")</f>
        <v>0.29855072463768118</v>
      </c>
    </row>
    <row r="20" spans="1:18" x14ac:dyDescent="0.3">
      <c r="A20" s="22" t="s">
        <v>180</v>
      </c>
      <c r="B20" s="23">
        <v>45626</v>
      </c>
      <c r="C20" s="22" t="s">
        <v>181</v>
      </c>
      <c r="D20" s="22" t="s">
        <v>182</v>
      </c>
      <c r="E20" s="22" t="s">
        <v>183</v>
      </c>
      <c r="F20" s="24">
        <v>5</v>
      </c>
      <c r="G20" s="24">
        <v>3450</v>
      </c>
      <c r="H20" s="24">
        <v>7.3</v>
      </c>
      <c r="I20" s="24">
        <v>15990.75</v>
      </c>
      <c r="J20" s="22" t="s">
        <v>104</v>
      </c>
      <c r="K20" s="22" t="s">
        <v>129</v>
      </c>
      <c r="L20" t="str">
        <f>VLOOKUP(D20,Products!A:F,3,FALSE())</f>
        <v>Sports</v>
      </c>
      <c r="M20" t="str">
        <f>VLOOKUP(C20,Customers!A:F,5,FALSE())</f>
        <v>Retail</v>
      </c>
      <c r="O20" t="str">
        <f>IFERROR(VLOOKUP(E20,Sales_Reps!$A:$C,3,FALSE()),"")</f>
        <v>West</v>
      </c>
      <c r="P20">
        <f>IFERROR(VLOOKUP(C20,Customers!$A:$C,3,FALSE()),"")</f>
        <v>54</v>
      </c>
      <c r="Q20" t="str">
        <f t="shared" si="0"/>
        <v>Nov-24</v>
      </c>
      <c r="R20">
        <f>IFERROR((VLOOKUP(D20,Products!$A:$E,5,FALSE())-VLOOKUP(D20,Products!$A:$E,4,FALSE()))/VLOOKUP(D20,Products!$A:$E,5,FALSE()),"")</f>
        <v>0.28492753623188405</v>
      </c>
    </row>
    <row r="21" spans="1:18" x14ac:dyDescent="0.3">
      <c r="A21" s="22" t="s">
        <v>184</v>
      </c>
      <c r="B21" s="23">
        <v>45394</v>
      </c>
      <c r="C21" s="22" t="s">
        <v>185</v>
      </c>
      <c r="D21" s="22" t="s">
        <v>186</v>
      </c>
      <c r="E21" s="22" t="s">
        <v>187</v>
      </c>
      <c r="F21" s="24">
        <v>8</v>
      </c>
      <c r="G21" s="24">
        <v>1080</v>
      </c>
      <c r="H21" s="24">
        <v>2.2000000000000002</v>
      </c>
      <c r="I21" s="24">
        <v>8449.92</v>
      </c>
      <c r="J21" s="22" t="s">
        <v>104</v>
      </c>
      <c r="K21" s="22" t="s">
        <v>111</v>
      </c>
      <c r="L21" t="str">
        <f>VLOOKUP(D21,Products!A:F,3,FALSE())</f>
        <v>Home</v>
      </c>
      <c r="M21" t="str">
        <f>VLOOKUP(C21,Customers!A:F,5,FALSE())</f>
        <v>Retail</v>
      </c>
      <c r="O21" t="str">
        <f>IFERROR(VLOOKUP(E21,Sales_Reps!$A:$C,3,FALSE()),"")</f>
        <v>West</v>
      </c>
      <c r="P21">
        <f>IFERROR(VLOOKUP(C21,Customers!$A:$C,3,FALSE()),"")</f>
        <v>49</v>
      </c>
      <c r="Q21" t="str">
        <f t="shared" si="0"/>
        <v>Apr-24</v>
      </c>
      <c r="R21">
        <f>IFERROR((VLOOKUP(D21,Products!$A:$E,5,FALSE())-VLOOKUP(D21,Products!$A:$E,4,FALSE()))/VLOOKUP(D21,Products!$A:$E,5,FALSE()),"")</f>
        <v>0.51944444444444449</v>
      </c>
    </row>
    <row r="22" spans="1:18" x14ac:dyDescent="0.3">
      <c r="A22" s="22" t="s">
        <v>188</v>
      </c>
      <c r="B22" s="23">
        <v>45470</v>
      </c>
      <c r="C22" s="22" t="s">
        <v>189</v>
      </c>
      <c r="D22" s="22" t="s">
        <v>190</v>
      </c>
      <c r="E22" s="22" t="s">
        <v>191</v>
      </c>
      <c r="F22" s="24">
        <v>7</v>
      </c>
      <c r="G22" s="24">
        <v>2480</v>
      </c>
      <c r="H22" s="24">
        <v>28.7</v>
      </c>
      <c r="I22" s="24">
        <v>12377.68</v>
      </c>
      <c r="J22" s="22" t="s">
        <v>104</v>
      </c>
      <c r="K22" s="22" t="s">
        <v>151</v>
      </c>
      <c r="L22" t="str">
        <f>VLOOKUP(D22,Products!A:F,3,FALSE())</f>
        <v>Apparel</v>
      </c>
      <c r="M22" t="str">
        <f>VLOOKUP(C22,Customers!A:F,5,FALSE())</f>
        <v>Retail</v>
      </c>
      <c r="O22" t="str">
        <f>IFERROR(VLOOKUP(E22,Sales_Reps!$A:$C,3,FALSE()),"")</f>
        <v>West</v>
      </c>
      <c r="P22">
        <f>IFERROR(VLOOKUP(C22,Customers!$A:$C,3,FALSE()),"")</f>
        <v>32</v>
      </c>
      <c r="Q22" t="str">
        <f t="shared" si="0"/>
        <v>Jun-24</v>
      </c>
      <c r="R22">
        <f>IFERROR((VLOOKUP(D22,Products!$A:$E,5,FALSE())-VLOOKUP(D22,Products!$A:$E,4,FALSE()))/VLOOKUP(D22,Products!$A:$E,5,FALSE()),"")</f>
        <v>0.52701612903225803</v>
      </c>
    </row>
    <row r="23" spans="1:18" x14ac:dyDescent="0.3">
      <c r="A23" s="22" t="s">
        <v>192</v>
      </c>
      <c r="B23" s="23">
        <v>45354</v>
      </c>
      <c r="C23" s="22" t="s">
        <v>193</v>
      </c>
      <c r="D23" s="22" t="s">
        <v>162</v>
      </c>
      <c r="E23" s="22" t="s">
        <v>194</v>
      </c>
      <c r="F23" s="24">
        <v>4</v>
      </c>
      <c r="G23" s="24">
        <v>3250</v>
      </c>
      <c r="H23" s="24">
        <v>24.6</v>
      </c>
      <c r="I23" s="24">
        <v>9802</v>
      </c>
      <c r="J23" s="22" t="s">
        <v>104</v>
      </c>
      <c r="K23" s="22" t="s">
        <v>129</v>
      </c>
      <c r="L23" t="str">
        <f>VLOOKUP(D23,Products!A:F,3,FALSE())</f>
        <v>Home</v>
      </c>
      <c r="M23" t="str">
        <f>VLOOKUP(C23,Customers!A:F,5,FALSE())</f>
        <v>Retail</v>
      </c>
      <c r="O23" t="str">
        <f>IFERROR(VLOOKUP(E23,Sales_Reps!$A:$C,3,FALSE()),"")</f>
        <v>West</v>
      </c>
      <c r="P23">
        <f>IFERROR(VLOOKUP(C23,Customers!$A:$C,3,FALSE()),"")</f>
        <v>34</v>
      </c>
      <c r="Q23" t="str">
        <f t="shared" si="0"/>
        <v>Mar-24</v>
      </c>
      <c r="R23">
        <f>IFERROR((VLOOKUP(D23,Products!$A:$E,5,FALSE())-VLOOKUP(D23,Products!$A:$E,4,FALSE()))/VLOOKUP(D23,Products!$A:$E,5,FALSE()),"")</f>
        <v>0.52123076923076928</v>
      </c>
    </row>
    <row r="24" spans="1:18" x14ac:dyDescent="0.3">
      <c r="A24" s="22" t="s">
        <v>195</v>
      </c>
      <c r="B24" s="23">
        <v>45530</v>
      </c>
      <c r="C24" s="22" t="s">
        <v>196</v>
      </c>
      <c r="D24" s="22" t="s">
        <v>197</v>
      </c>
      <c r="E24" s="22" t="s">
        <v>198</v>
      </c>
      <c r="F24" s="24">
        <v>9</v>
      </c>
      <c r="G24" s="24">
        <v>2720</v>
      </c>
      <c r="H24" s="24">
        <v>26.2</v>
      </c>
      <c r="I24" s="24">
        <v>18066.240000000002</v>
      </c>
      <c r="J24" s="22" t="s">
        <v>104</v>
      </c>
      <c r="K24" s="22" t="s">
        <v>105</v>
      </c>
      <c r="L24" t="str">
        <f>VLOOKUP(D24,Products!A:F,3,FALSE())</f>
        <v>Apparel</v>
      </c>
      <c r="M24" t="str">
        <f>VLOOKUP(C24,Customers!A:F,5,FALSE())</f>
        <v>Retail</v>
      </c>
      <c r="O24" t="str">
        <f>IFERROR(VLOOKUP(E24,Sales_Reps!$A:$C,3,FALSE()),"")</f>
        <v>West</v>
      </c>
      <c r="P24">
        <f>IFERROR(VLOOKUP(C24,Customers!$A:$C,3,FALSE()),"")</f>
        <v>50</v>
      </c>
      <c r="Q24" t="str">
        <f t="shared" si="0"/>
        <v>Aug-24</v>
      </c>
      <c r="R24">
        <f>IFERROR((VLOOKUP(D24,Products!$A:$E,5,FALSE())-VLOOKUP(D24,Products!$A:$E,4,FALSE()))/VLOOKUP(D24,Products!$A:$E,5,FALSE()),"")</f>
        <v>0.2786764705882353</v>
      </c>
    </row>
    <row r="25" spans="1:18" x14ac:dyDescent="0.3">
      <c r="A25" s="22" t="s">
        <v>199</v>
      </c>
      <c r="B25" s="23">
        <v>45472</v>
      </c>
      <c r="C25" s="22" t="s">
        <v>200</v>
      </c>
      <c r="D25" s="22" t="s">
        <v>201</v>
      </c>
      <c r="E25" s="22" t="s">
        <v>202</v>
      </c>
      <c r="F25" s="24">
        <v>2</v>
      </c>
      <c r="G25" s="24">
        <v>1650</v>
      </c>
      <c r="H25" s="24">
        <v>9.4</v>
      </c>
      <c r="I25" s="24">
        <v>2989.8</v>
      </c>
      <c r="J25" s="22" t="s">
        <v>104</v>
      </c>
      <c r="K25" s="22" t="s">
        <v>151</v>
      </c>
      <c r="L25" t="str">
        <f>VLOOKUP(D25,Products!A:F,3,FALSE())</f>
        <v>Beauty</v>
      </c>
      <c r="M25" t="str">
        <f>VLOOKUP(C25,Customers!A:F,5,FALSE())</f>
        <v>SMB</v>
      </c>
      <c r="O25" t="str">
        <f>IFERROR(VLOOKUP(E25,Sales_Reps!$A:$C,3,FALSE()),"")</f>
        <v>West</v>
      </c>
      <c r="P25">
        <f>IFERROR(VLOOKUP(C25,Customers!$A:$C,3,FALSE()),"")</f>
        <v>40</v>
      </c>
      <c r="Q25" t="str">
        <f t="shared" si="0"/>
        <v>Jun-24</v>
      </c>
      <c r="R25">
        <f>IFERROR((VLOOKUP(D25,Products!$A:$E,5,FALSE())-VLOOKUP(D25,Products!$A:$E,4,FALSE()))/VLOOKUP(D25,Products!$A:$E,5,FALSE()),"")</f>
        <v>0.2593939393939394</v>
      </c>
    </row>
    <row r="26" spans="1:18" x14ac:dyDescent="0.3">
      <c r="A26" s="22" t="s">
        <v>203</v>
      </c>
      <c r="B26" s="23">
        <v>45394</v>
      </c>
      <c r="C26" s="22" t="s">
        <v>204</v>
      </c>
      <c r="D26" s="22" t="s">
        <v>205</v>
      </c>
      <c r="E26" s="22" t="s">
        <v>206</v>
      </c>
      <c r="F26" s="24">
        <v>6</v>
      </c>
      <c r="G26" s="24">
        <v>3350</v>
      </c>
      <c r="H26" s="24">
        <v>6.1</v>
      </c>
      <c r="I26" s="24">
        <v>18873.900000000001</v>
      </c>
      <c r="J26" s="22" t="s">
        <v>110</v>
      </c>
      <c r="K26" s="22" t="s">
        <v>111</v>
      </c>
      <c r="L26" t="str">
        <f>VLOOKUP(D26,Products!A:F,3,FALSE())</f>
        <v>Beauty</v>
      </c>
      <c r="M26" t="str">
        <f>VLOOKUP(C26,Customers!A:F,5,FALSE())</f>
        <v>Corporate</v>
      </c>
      <c r="O26" t="str">
        <f>IFERROR(VLOOKUP(E26,Sales_Reps!$A:$C,3,FALSE()),"")</f>
        <v/>
      </c>
      <c r="P26">
        <f>IFERROR(VLOOKUP(C26,Customers!$A:$C,3,FALSE()),"")</f>
        <v>55</v>
      </c>
      <c r="Q26" t="str">
        <f t="shared" si="0"/>
        <v>Apr-24</v>
      </c>
      <c r="R26">
        <f>IFERROR((VLOOKUP(D26,Products!$A:$E,5,FALSE())-VLOOKUP(D26,Products!$A:$E,4,FALSE()))/VLOOKUP(D26,Products!$A:$E,5,FALSE()),"")</f>
        <v>0.48417910447761192</v>
      </c>
    </row>
    <row r="27" spans="1:18" x14ac:dyDescent="0.3">
      <c r="A27" s="22" t="s">
        <v>207</v>
      </c>
      <c r="B27" s="23">
        <v>45570</v>
      </c>
      <c r="C27" s="22" t="s">
        <v>208</v>
      </c>
      <c r="D27" s="22" t="s">
        <v>209</v>
      </c>
      <c r="E27" s="22" t="s">
        <v>210</v>
      </c>
      <c r="F27" s="24">
        <v>2</v>
      </c>
      <c r="G27" s="24">
        <v>1010</v>
      </c>
      <c r="H27" s="24">
        <v>16.5</v>
      </c>
      <c r="I27" s="24">
        <v>1686.7</v>
      </c>
      <c r="J27" s="22" t="s">
        <v>159</v>
      </c>
      <c r="K27" s="22" t="s">
        <v>116</v>
      </c>
      <c r="L27" t="str">
        <f>VLOOKUP(D27,Products!A:F,3,FALSE())</f>
        <v>Sports</v>
      </c>
      <c r="M27" t="str">
        <f>VLOOKUP(C27,Customers!A:F,5,FALSE())</f>
        <v>Retail</v>
      </c>
      <c r="O27" t="str">
        <f>IFERROR(VLOOKUP(E27,Sales_Reps!$A:$C,3,FALSE()),"")</f>
        <v/>
      </c>
      <c r="P27">
        <f>IFERROR(VLOOKUP(C27,Customers!$A:$C,3,FALSE()),"")</f>
        <v>31</v>
      </c>
      <c r="Q27" t="str">
        <f t="shared" si="0"/>
        <v>Oct-24</v>
      </c>
      <c r="R27">
        <f>IFERROR((VLOOKUP(D27,Products!$A:$E,5,FALSE())-VLOOKUP(D27,Products!$A:$E,4,FALSE()))/VLOOKUP(D27,Products!$A:$E,5,FALSE()),"")</f>
        <v>0.4891089108910891</v>
      </c>
    </row>
    <row r="28" spans="1:18" x14ac:dyDescent="0.3">
      <c r="A28" s="22" t="s">
        <v>211</v>
      </c>
      <c r="B28" s="23">
        <v>45401</v>
      </c>
      <c r="C28" s="22" t="s">
        <v>113</v>
      </c>
      <c r="D28" s="22" t="s">
        <v>212</v>
      </c>
      <c r="E28" s="22" t="s">
        <v>213</v>
      </c>
      <c r="F28" s="24">
        <v>5</v>
      </c>
      <c r="G28" s="24">
        <v>4880</v>
      </c>
      <c r="H28" s="24">
        <v>23.6</v>
      </c>
      <c r="I28" s="24">
        <v>18641.599999999999</v>
      </c>
      <c r="J28" s="22" t="s">
        <v>104</v>
      </c>
      <c r="K28" s="22" t="s">
        <v>116</v>
      </c>
      <c r="L28" t="str">
        <f>VLOOKUP(D28,Products!A:F,3,FALSE())</f>
        <v>Beauty</v>
      </c>
      <c r="M28" t="str">
        <f>VLOOKUP(C28,Customers!A:F,5,FALSE())</f>
        <v>Retail</v>
      </c>
      <c r="O28" t="str">
        <f>IFERROR(VLOOKUP(E28,Sales_Reps!$A:$C,3,FALSE()),"")</f>
        <v/>
      </c>
      <c r="P28">
        <f>IFERROR(VLOOKUP(C28,Customers!$A:$C,3,FALSE()),"")</f>
        <v>52</v>
      </c>
      <c r="Q28" t="str">
        <f t="shared" si="0"/>
        <v>Apr-24</v>
      </c>
      <c r="R28">
        <f>IFERROR((VLOOKUP(D28,Products!$A:$E,5,FALSE())-VLOOKUP(D28,Products!$A:$E,4,FALSE()))/VLOOKUP(D28,Products!$A:$E,5,FALSE()),"")</f>
        <v>0.43278688524590164</v>
      </c>
    </row>
    <row r="29" spans="1:18" x14ac:dyDescent="0.3">
      <c r="A29" s="22" t="s">
        <v>214</v>
      </c>
      <c r="B29" s="23">
        <v>45517</v>
      </c>
      <c r="C29" s="22" t="s">
        <v>215</v>
      </c>
      <c r="D29" s="22" t="s">
        <v>216</v>
      </c>
      <c r="E29" s="22" t="s">
        <v>217</v>
      </c>
      <c r="F29" s="24">
        <v>7</v>
      </c>
      <c r="G29" s="24">
        <v>3570</v>
      </c>
      <c r="H29" s="24">
        <v>5.8</v>
      </c>
      <c r="I29" s="24">
        <v>23540.58</v>
      </c>
      <c r="J29" s="22" t="s">
        <v>159</v>
      </c>
      <c r="K29" s="22" t="s">
        <v>111</v>
      </c>
      <c r="L29" t="str">
        <f>VLOOKUP(D29,Products!A:F,3,FALSE())</f>
        <v>Electronics</v>
      </c>
      <c r="M29" t="str">
        <f>VLOOKUP(C29,Customers!A:F,5,FALSE())</f>
        <v>SMB</v>
      </c>
      <c r="O29" t="str">
        <f>IFERROR(VLOOKUP(E29,Sales_Reps!$A:$C,3,FALSE()),"")</f>
        <v/>
      </c>
      <c r="P29">
        <f>IFERROR(VLOOKUP(C29,Customers!$A:$C,3,FALSE()),"")</f>
        <v>52</v>
      </c>
      <c r="Q29" t="str">
        <f t="shared" si="0"/>
        <v>Aug-24</v>
      </c>
      <c r="R29">
        <f>IFERROR((VLOOKUP(D29,Products!$A:$E,5,FALSE())-VLOOKUP(D29,Products!$A:$E,4,FALSE()))/VLOOKUP(D29,Products!$A:$E,5,FALSE()),"")</f>
        <v>0.53361344537815125</v>
      </c>
    </row>
    <row r="30" spans="1:18" x14ac:dyDescent="0.3">
      <c r="A30" s="22" t="s">
        <v>218</v>
      </c>
      <c r="B30" s="23">
        <v>45363</v>
      </c>
      <c r="C30" s="22" t="s">
        <v>219</v>
      </c>
      <c r="D30" s="22" t="s">
        <v>220</v>
      </c>
      <c r="E30" s="22" t="s">
        <v>221</v>
      </c>
      <c r="F30" s="24">
        <v>9</v>
      </c>
      <c r="G30" s="24">
        <v>5100</v>
      </c>
      <c r="H30" s="24">
        <v>16.7</v>
      </c>
      <c r="I30" s="24">
        <v>38234.699999999997</v>
      </c>
      <c r="J30" s="22" t="s">
        <v>104</v>
      </c>
      <c r="K30" s="22" t="s">
        <v>151</v>
      </c>
      <c r="L30" t="str">
        <f>VLOOKUP(D30,Products!A:F,3,FALSE())</f>
        <v>Beauty</v>
      </c>
      <c r="M30" t="str">
        <f>VLOOKUP(C30,Customers!A:F,5,FALSE())</f>
        <v>Corporate</v>
      </c>
      <c r="O30" t="str">
        <f>IFERROR(VLOOKUP(E30,Sales_Reps!$A:$C,3,FALSE()),"")</f>
        <v/>
      </c>
      <c r="P30">
        <f>IFERROR(VLOOKUP(C30,Customers!$A:$C,3,FALSE()),"")</f>
        <v>56</v>
      </c>
      <c r="Q30" t="str">
        <f t="shared" si="0"/>
        <v>Mar-24</v>
      </c>
      <c r="R30">
        <f>IFERROR((VLOOKUP(D30,Products!$A:$E,5,FALSE())-VLOOKUP(D30,Products!$A:$E,4,FALSE()))/VLOOKUP(D30,Products!$A:$E,5,FALSE()),"")</f>
        <v>0.56137254901960787</v>
      </c>
    </row>
    <row r="31" spans="1:18" x14ac:dyDescent="0.3">
      <c r="A31" s="22" t="s">
        <v>222</v>
      </c>
      <c r="B31" s="23">
        <v>45367</v>
      </c>
      <c r="C31" s="22" t="s">
        <v>223</v>
      </c>
      <c r="D31" s="22" t="s">
        <v>224</v>
      </c>
      <c r="E31" s="22" t="s">
        <v>225</v>
      </c>
      <c r="F31" s="24">
        <v>3</v>
      </c>
      <c r="G31" s="24">
        <v>2860</v>
      </c>
      <c r="H31" s="24">
        <v>25.8</v>
      </c>
      <c r="I31" s="24">
        <v>6366.36</v>
      </c>
      <c r="J31" s="22" t="s">
        <v>104</v>
      </c>
      <c r="K31" s="22" t="s">
        <v>105</v>
      </c>
      <c r="L31" t="str">
        <f>VLOOKUP(D31,Products!A:F,3,FALSE())</f>
        <v>Sports</v>
      </c>
      <c r="M31" t="str">
        <f>VLOOKUP(C31,Customers!A:F,5,FALSE())</f>
        <v>SMB</v>
      </c>
      <c r="O31" t="str">
        <f>IFERROR(VLOOKUP(E31,Sales_Reps!$A:$C,3,FALSE()),"")</f>
        <v/>
      </c>
      <c r="P31">
        <f>IFERROR(VLOOKUP(C31,Customers!$A:$C,3,FALSE()),"")</f>
        <v>44</v>
      </c>
      <c r="Q31" t="str">
        <f t="shared" si="0"/>
        <v>Mar-24</v>
      </c>
      <c r="R31">
        <f>IFERROR((VLOOKUP(D31,Products!$A:$E,5,FALSE())-VLOOKUP(D31,Products!$A:$E,4,FALSE()))/VLOOKUP(D31,Products!$A:$E,5,FALSE()),"")</f>
        <v>0.29090909090909089</v>
      </c>
    </row>
    <row r="32" spans="1:18" x14ac:dyDescent="0.3">
      <c r="A32" s="22" t="s">
        <v>226</v>
      </c>
      <c r="B32" s="23">
        <v>45569</v>
      </c>
      <c r="C32" s="22" t="s">
        <v>227</v>
      </c>
      <c r="D32" s="22" t="s">
        <v>145</v>
      </c>
      <c r="E32" s="22" t="s">
        <v>228</v>
      </c>
      <c r="F32" s="24">
        <v>7</v>
      </c>
      <c r="G32" s="24">
        <v>970</v>
      </c>
      <c r="H32" s="24">
        <v>29.8</v>
      </c>
      <c r="I32" s="24">
        <v>4766.58</v>
      </c>
      <c r="J32" s="22" t="s">
        <v>104</v>
      </c>
      <c r="K32" s="22" t="s">
        <v>105</v>
      </c>
      <c r="L32" t="str">
        <f>VLOOKUP(D32,Products!A:F,3,FALSE())</f>
        <v>Grocery</v>
      </c>
      <c r="M32" t="str">
        <f>VLOOKUP(C32,Customers!A:F,5,FALSE())</f>
        <v>Corporate</v>
      </c>
      <c r="O32" t="str">
        <f>IFERROR(VLOOKUP(E32,Sales_Reps!$A:$C,3,FALSE()),"")</f>
        <v/>
      </c>
      <c r="P32">
        <f>IFERROR(VLOOKUP(C32,Customers!$A:$C,3,FALSE()),"")</f>
        <v>47</v>
      </c>
      <c r="Q32" t="str">
        <f t="shared" si="0"/>
        <v>Oct-24</v>
      </c>
      <c r="R32">
        <f>IFERROR((VLOOKUP(D32,Products!$A:$E,5,FALSE())-VLOOKUP(D32,Products!$A:$E,4,FALSE()))/VLOOKUP(D32,Products!$A:$E,5,FALSE()),"")</f>
        <v>0.5525773195876289</v>
      </c>
    </row>
    <row r="33" spans="1:18" x14ac:dyDescent="0.3">
      <c r="A33" s="22" t="s">
        <v>229</v>
      </c>
      <c r="B33" s="23">
        <v>45641</v>
      </c>
      <c r="C33" s="22" t="s">
        <v>230</v>
      </c>
      <c r="D33" s="22" t="s">
        <v>231</v>
      </c>
      <c r="E33" s="22" t="s">
        <v>232</v>
      </c>
      <c r="F33" s="24">
        <v>4</v>
      </c>
      <c r="G33" s="24">
        <v>2760</v>
      </c>
      <c r="H33" s="24">
        <v>5.9</v>
      </c>
      <c r="I33" s="24">
        <v>10388.64</v>
      </c>
      <c r="J33" s="22" t="s">
        <v>104</v>
      </c>
      <c r="K33" s="22" t="s">
        <v>151</v>
      </c>
      <c r="L33" t="str">
        <f>VLOOKUP(D33,Products!A:F,3,FALSE())</f>
        <v>Grocery</v>
      </c>
      <c r="M33" t="str">
        <f>VLOOKUP(C33,Customers!A:F,5,FALSE())</f>
        <v>Retail</v>
      </c>
      <c r="O33" t="str">
        <f>IFERROR(VLOOKUP(E33,Sales_Reps!$A:$C,3,FALSE()),"")</f>
        <v/>
      </c>
      <c r="P33">
        <f>IFERROR(VLOOKUP(C33,Customers!$A:$C,3,FALSE()),"")</f>
        <v>53</v>
      </c>
      <c r="Q33" t="str">
        <f t="shared" si="0"/>
        <v>Dec-24</v>
      </c>
      <c r="R33">
        <f>IFERROR((VLOOKUP(D33,Products!$A:$E,5,FALSE())-VLOOKUP(D33,Products!$A:$E,4,FALSE()))/VLOOKUP(D33,Products!$A:$E,5,FALSE()),"")</f>
        <v>0.48007246376811596</v>
      </c>
    </row>
    <row r="34" spans="1:18" x14ac:dyDescent="0.3">
      <c r="A34" s="22" t="s">
        <v>233</v>
      </c>
      <c r="B34" s="23">
        <v>45343</v>
      </c>
      <c r="C34" s="22" t="s">
        <v>177</v>
      </c>
      <c r="D34" s="22" t="s">
        <v>234</v>
      </c>
      <c r="E34" s="22" t="s">
        <v>235</v>
      </c>
      <c r="F34" s="24">
        <v>10</v>
      </c>
      <c r="G34" s="24">
        <v>660</v>
      </c>
      <c r="H34" s="24">
        <v>18.3</v>
      </c>
      <c r="I34" s="24">
        <v>5392.2</v>
      </c>
      <c r="J34" s="22" t="s">
        <v>110</v>
      </c>
      <c r="K34" s="22" t="s">
        <v>151</v>
      </c>
      <c r="L34" t="str">
        <f>VLOOKUP(D34,Products!A:F,3,FALSE())</f>
        <v>Home</v>
      </c>
      <c r="M34" t="str">
        <f>VLOOKUP(C34,Customers!A:F,5,FALSE())</f>
        <v>Corporate</v>
      </c>
      <c r="O34" t="str">
        <f>IFERROR(VLOOKUP(E34,Sales_Reps!$A:$C,3,FALSE()),"")</f>
        <v/>
      </c>
      <c r="P34">
        <f>IFERROR(VLOOKUP(C34,Customers!$A:$C,3,FALSE()),"")</f>
        <v>32</v>
      </c>
      <c r="Q34" t="str">
        <f t="shared" si="0"/>
        <v>Feb-24</v>
      </c>
      <c r="R34">
        <f>IFERROR((VLOOKUP(D34,Products!$A:$E,5,FALSE())-VLOOKUP(D34,Products!$A:$E,4,FALSE()))/VLOOKUP(D34,Products!$A:$E,5,FALSE()),"")</f>
        <v>0.50151515151515147</v>
      </c>
    </row>
    <row r="35" spans="1:18" x14ac:dyDescent="0.3">
      <c r="A35" s="22" t="s">
        <v>236</v>
      </c>
      <c r="B35" s="23">
        <v>45576</v>
      </c>
      <c r="C35" s="22" t="s">
        <v>237</v>
      </c>
      <c r="D35" s="22" t="s">
        <v>162</v>
      </c>
      <c r="E35" s="22" t="s">
        <v>238</v>
      </c>
      <c r="F35" s="24">
        <v>1</v>
      </c>
      <c r="G35" s="24">
        <v>3250</v>
      </c>
      <c r="H35" s="24">
        <v>10.7</v>
      </c>
      <c r="I35" s="24">
        <v>2902.25</v>
      </c>
      <c r="J35" s="22" t="s">
        <v>104</v>
      </c>
      <c r="K35" s="22" t="s">
        <v>151</v>
      </c>
      <c r="L35" t="str">
        <f>VLOOKUP(D35,Products!A:F,3,FALSE())</f>
        <v>Home</v>
      </c>
      <c r="M35" t="str">
        <f>VLOOKUP(C35,Customers!A:F,5,FALSE())</f>
        <v>SMB</v>
      </c>
      <c r="O35" t="str">
        <f>IFERROR(VLOOKUP(E35,Sales_Reps!$A:$C,3,FALSE()),"")</f>
        <v/>
      </c>
      <c r="P35">
        <f>IFERROR(VLOOKUP(C35,Customers!$A:$C,3,FALSE()),"")</f>
        <v>40</v>
      </c>
      <c r="Q35" t="str">
        <f t="shared" si="0"/>
        <v>Oct-24</v>
      </c>
      <c r="R35">
        <f>IFERROR((VLOOKUP(D35,Products!$A:$E,5,FALSE())-VLOOKUP(D35,Products!$A:$E,4,FALSE()))/VLOOKUP(D35,Products!$A:$E,5,FALSE()),"")</f>
        <v>0.52123076923076928</v>
      </c>
    </row>
    <row r="36" spans="1:18" x14ac:dyDescent="0.3">
      <c r="A36" s="22" t="s">
        <v>239</v>
      </c>
      <c r="B36" s="23">
        <v>45462</v>
      </c>
      <c r="C36" s="22" t="s">
        <v>240</v>
      </c>
      <c r="D36" s="22" t="s">
        <v>220</v>
      </c>
      <c r="E36" s="22" t="s">
        <v>241</v>
      </c>
      <c r="F36" s="24">
        <v>8</v>
      </c>
      <c r="G36" s="24">
        <v>5100</v>
      </c>
      <c r="H36" s="24">
        <v>26.4</v>
      </c>
      <c r="I36" s="24">
        <v>30028.799999999999</v>
      </c>
      <c r="J36" s="22" t="s">
        <v>159</v>
      </c>
      <c r="K36" s="22" t="s">
        <v>151</v>
      </c>
      <c r="L36" t="str">
        <f>VLOOKUP(D36,Products!A:F,3,FALSE())</f>
        <v>Beauty</v>
      </c>
      <c r="M36" t="str">
        <f>VLOOKUP(C36,Customers!A:F,5,FALSE())</f>
        <v>Retail</v>
      </c>
      <c r="O36" t="str">
        <f>IFERROR(VLOOKUP(E36,Sales_Reps!$A:$C,3,FALSE()),"")</f>
        <v/>
      </c>
      <c r="P36">
        <f>IFERROR(VLOOKUP(C36,Customers!$A:$C,3,FALSE()),"")</f>
        <v>26</v>
      </c>
      <c r="Q36" t="str">
        <f t="shared" si="0"/>
        <v>Jun-24</v>
      </c>
      <c r="R36">
        <f>IFERROR((VLOOKUP(D36,Products!$A:$E,5,FALSE())-VLOOKUP(D36,Products!$A:$E,4,FALSE()))/VLOOKUP(D36,Products!$A:$E,5,FALSE()),"")</f>
        <v>0.56137254901960787</v>
      </c>
    </row>
    <row r="37" spans="1:18" x14ac:dyDescent="0.3">
      <c r="A37" s="22" t="s">
        <v>242</v>
      </c>
      <c r="B37" s="23">
        <v>45442</v>
      </c>
      <c r="C37" s="22" t="s">
        <v>243</v>
      </c>
      <c r="D37" s="22" t="s">
        <v>186</v>
      </c>
      <c r="E37" s="22" t="s">
        <v>244</v>
      </c>
      <c r="F37" s="24">
        <v>1</v>
      </c>
      <c r="G37" s="24">
        <v>1080</v>
      </c>
      <c r="H37" s="24">
        <v>5.0999999999999996</v>
      </c>
      <c r="I37" s="24">
        <v>1024.92</v>
      </c>
      <c r="J37" s="22" t="s">
        <v>104</v>
      </c>
      <c r="K37" s="22" t="s">
        <v>116</v>
      </c>
      <c r="L37" t="str">
        <f>VLOOKUP(D37,Products!A:F,3,FALSE())</f>
        <v>Home</v>
      </c>
      <c r="M37" t="str">
        <f>VLOOKUP(C37,Customers!A:F,5,FALSE())</f>
        <v>Retail</v>
      </c>
      <c r="O37" t="str">
        <f>IFERROR(VLOOKUP(E37,Sales_Reps!$A:$C,3,FALSE()),"")</f>
        <v/>
      </c>
      <c r="P37">
        <f>IFERROR(VLOOKUP(C37,Customers!$A:$C,3,FALSE()),"")</f>
        <v>41</v>
      </c>
      <c r="Q37" t="str">
        <f t="shared" si="0"/>
        <v>May-24</v>
      </c>
      <c r="R37">
        <f>IFERROR((VLOOKUP(D37,Products!$A:$E,5,FALSE())-VLOOKUP(D37,Products!$A:$E,4,FALSE()))/VLOOKUP(D37,Products!$A:$E,5,FALSE()),"")</f>
        <v>0.51944444444444449</v>
      </c>
    </row>
    <row r="38" spans="1:18" x14ac:dyDescent="0.3">
      <c r="A38" s="22" t="s">
        <v>245</v>
      </c>
      <c r="B38" s="23">
        <v>45646</v>
      </c>
      <c r="C38" s="22" t="s">
        <v>246</v>
      </c>
      <c r="D38" s="22" t="s">
        <v>141</v>
      </c>
      <c r="E38" s="22" t="s">
        <v>247</v>
      </c>
      <c r="F38" s="24">
        <v>2</v>
      </c>
      <c r="G38" s="24">
        <v>5490</v>
      </c>
      <c r="H38" s="24">
        <v>21.1</v>
      </c>
      <c r="I38" s="24">
        <v>8663.2199999999993</v>
      </c>
      <c r="J38" s="22" t="s">
        <v>159</v>
      </c>
      <c r="K38" s="22" t="s">
        <v>129</v>
      </c>
      <c r="L38" t="str">
        <f>VLOOKUP(D38,Products!A:F,3,FALSE())</f>
        <v>Home</v>
      </c>
      <c r="M38" t="str">
        <f>VLOOKUP(C38,Customers!A:F,5,FALSE())</f>
        <v>SMB</v>
      </c>
      <c r="O38" t="str">
        <f>IFERROR(VLOOKUP(E38,Sales_Reps!$A:$C,3,FALSE()),"")</f>
        <v/>
      </c>
      <c r="P38">
        <f>IFERROR(VLOOKUP(C38,Customers!$A:$C,3,FALSE()),"")</f>
        <v>36</v>
      </c>
      <c r="Q38" t="str">
        <f t="shared" si="0"/>
        <v>Dec-24</v>
      </c>
      <c r="R38">
        <f>IFERROR((VLOOKUP(D38,Products!$A:$E,5,FALSE())-VLOOKUP(D38,Products!$A:$E,4,FALSE()))/VLOOKUP(D38,Products!$A:$E,5,FALSE()),"")</f>
        <v>0.53570127504553733</v>
      </c>
    </row>
    <row r="39" spans="1:18" x14ac:dyDescent="0.3">
      <c r="A39" s="22" t="s">
        <v>248</v>
      </c>
      <c r="B39" s="23">
        <v>45478</v>
      </c>
      <c r="C39" s="22" t="s">
        <v>249</v>
      </c>
      <c r="D39" s="22" t="s">
        <v>167</v>
      </c>
      <c r="E39" s="22" t="s">
        <v>250</v>
      </c>
      <c r="F39" s="24">
        <v>7</v>
      </c>
      <c r="G39" s="24">
        <v>190</v>
      </c>
      <c r="H39" s="24">
        <v>28.7</v>
      </c>
      <c r="I39" s="24">
        <v>948.29</v>
      </c>
      <c r="J39" s="22" t="s">
        <v>104</v>
      </c>
      <c r="K39" s="22" t="s">
        <v>134</v>
      </c>
      <c r="L39" t="str">
        <f>VLOOKUP(D39,Products!A:F,3,FALSE())</f>
        <v>Sports</v>
      </c>
      <c r="M39" t="str">
        <f>VLOOKUP(C39,Customers!A:F,5,FALSE())</f>
        <v>Retail</v>
      </c>
      <c r="O39" t="str">
        <f>IFERROR(VLOOKUP(E39,Sales_Reps!$A:$C,3,FALSE()),"")</f>
        <v/>
      </c>
      <c r="P39">
        <f>IFERROR(VLOOKUP(C39,Customers!$A:$C,3,FALSE()),"")</f>
        <v>42</v>
      </c>
      <c r="Q39" t="str">
        <f t="shared" si="0"/>
        <v>Jul-24</v>
      </c>
      <c r="R39">
        <f>IFERROR((VLOOKUP(D39,Products!$A:$E,5,FALSE())-VLOOKUP(D39,Products!$A:$E,4,FALSE()))/VLOOKUP(D39,Products!$A:$E,5,FALSE()),"")</f>
        <v>0.22631578947368422</v>
      </c>
    </row>
    <row r="40" spans="1:18" x14ac:dyDescent="0.3">
      <c r="A40" s="22" t="s">
        <v>251</v>
      </c>
      <c r="B40" s="23">
        <v>45355</v>
      </c>
      <c r="C40" s="22" t="s">
        <v>252</v>
      </c>
      <c r="D40" s="22" t="s">
        <v>171</v>
      </c>
      <c r="E40" s="22" t="s">
        <v>253</v>
      </c>
      <c r="F40" s="24">
        <v>6</v>
      </c>
      <c r="G40" s="24">
        <v>2400</v>
      </c>
      <c r="H40" s="24">
        <v>2.7</v>
      </c>
      <c r="I40" s="24">
        <v>14011.2</v>
      </c>
      <c r="J40" s="22" t="s">
        <v>104</v>
      </c>
      <c r="K40" s="22" t="s">
        <v>111</v>
      </c>
      <c r="L40" t="str">
        <f>VLOOKUP(D40,Products!A:F,3,FALSE())</f>
        <v>Sports</v>
      </c>
      <c r="M40" t="str">
        <f>VLOOKUP(C40,Customers!A:F,5,FALSE())</f>
        <v>Retail</v>
      </c>
      <c r="O40" t="str">
        <f>IFERROR(VLOOKUP(E40,Sales_Reps!$A:$C,3,FALSE()),"")</f>
        <v/>
      </c>
      <c r="P40">
        <f>IFERROR(VLOOKUP(C40,Customers!$A:$C,3,FALSE()),"")</f>
        <v>51</v>
      </c>
      <c r="Q40" t="str">
        <f t="shared" si="0"/>
        <v>Mar-24</v>
      </c>
      <c r="R40">
        <f>IFERROR((VLOOKUP(D40,Products!$A:$E,5,FALSE())-VLOOKUP(D40,Products!$A:$E,4,FALSE()))/VLOOKUP(D40,Products!$A:$E,5,FALSE()),"")</f>
        <v>0.59416666666666662</v>
      </c>
    </row>
    <row r="41" spans="1:18" x14ac:dyDescent="0.3">
      <c r="A41" s="22" t="s">
        <v>254</v>
      </c>
      <c r="B41" s="23">
        <v>45599</v>
      </c>
      <c r="C41" s="22" t="s">
        <v>255</v>
      </c>
      <c r="D41" s="22" t="s">
        <v>201</v>
      </c>
      <c r="E41" s="22" t="s">
        <v>256</v>
      </c>
      <c r="F41" s="24">
        <v>9</v>
      </c>
      <c r="G41" s="24">
        <v>1650</v>
      </c>
      <c r="H41" s="24">
        <v>11.6</v>
      </c>
      <c r="I41" s="24">
        <v>13127.4</v>
      </c>
      <c r="J41" s="22" t="s">
        <v>104</v>
      </c>
      <c r="K41" s="22" t="s">
        <v>116</v>
      </c>
      <c r="L41" t="str">
        <f>VLOOKUP(D41,Products!A:F,3,FALSE())</f>
        <v>Beauty</v>
      </c>
      <c r="M41" t="str">
        <f>VLOOKUP(C41,Customers!A:F,5,FALSE())</f>
        <v>SMB</v>
      </c>
      <c r="O41" t="str">
        <f>IFERROR(VLOOKUP(E41,Sales_Reps!$A:$C,3,FALSE()),"")</f>
        <v/>
      </c>
      <c r="P41">
        <f>IFERROR(VLOOKUP(C41,Customers!$A:$C,3,FALSE()),"")</f>
        <v>50</v>
      </c>
      <c r="Q41" t="str">
        <f t="shared" si="0"/>
        <v>Nov-24</v>
      </c>
      <c r="R41">
        <f>IFERROR((VLOOKUP(D41,Products!$A:$E,5,FALSE())-VLOOKUP(D41,Products!$A:$E,4,FALSE()))/VLOOKUP(D41,Products!$A:$E,5,FALSE()),"")</f>
        <v>0.2593939393939394</v>
      </c>
    </row>
    <row r="42" spans="1:18" x14ac:dyDescent="0.3">
      <c r="A42" s="22" t="s">
        <v>257</v>
      </c>
      <c r="B42" s="23">
        <v>45606</v>
      </c>
      <c r="C42" s="22" t="s">
        <v>258</v>
      </c>
      <c r="D42" s="22" t="s">
        <v>141</v>
      </c>
      <c r="E42" s="22" t="s">
        <v>259</v>
      </c>
      <c r="F42" s="24">
        <v>4</v>
      </c>
      <c r="G42" s="24">
        <v>5490</v>
      </c>
      <c r="H42" s="24">
        <v>12.8</v>
      </c>
      <c r="I42" s="24">
        <v>19149.12</v>
      </c>
      <c r="J42" s="22" t="s">
        <v>159</v>
      </c>
      <c r="K42" s="22" t="s">
        <v>111</v>
      </c>
      <c r="L42" t="str">
        <f>VLOOKUP(D42,Products!A:F,3,FALSE())</f>
        <v>Home</v>
      </c>
      <c r="M42" t="e">
        <f>VLOOKUP(C42,Customers!A:F,5,FALSE())</f>
        <v>#N/A</v>
      </c>
      <c r="O42" t="str">
        <f>IFERROR(VLOOKUP(E42,Sales_Reps!$A:$C,3,FALSE()),"")</f>
        <v/>
      </c>
      <c r="P42" t="str">
        <f>IFERROR(VLOOKUP(C42,Customers!$A:$C,3,FALSE()),"")</f>
        <v/>
      </c>
      <c r="Q42" t="str">
        <f t="shared" si="0"/>
        <v>Nov-24</v>
      </c>
      <c r="R42">
        <f>IFERROR((VLOOKUP(D42,Products!$A:$E,5,FALSE())-VLOOKUP(D42,Products!$A:$E,4,FALSE()))/VLOOKUP(D42,Products!$A:$E,5,FALSE()),"")</f>
        <v>0.53570127504553733</v>
      </c>
    </row>
    <row r="43" spans="1:18" x14ac:dyDescent="0.3">
      <c r="A43" s="22" t="s">
        <v>260</v>
      </c>
      <c r="B43" s="23">
        <v>45432</v>
      </c>
      <c r="C43" s="22" t="s">
        <v>261</v>
      </c>
      <c r="D43" s="22" t="s">
        <v>212</v>
      </c>
      <c r="E43" s="22" t="s">
        <v>262</v>
      </c>
      <c r="F43" s="24">
        <v>10</v>
      </c>
      <c r="G43" s="24">
        <v>4880</v>
      </c>
      <c r="H43" s="24">
        <v>12.7</v>
      </c>
      <c r="I43" s="24">
        <v>42602.400000000001</v>
      </c>
      <c r="J43" s="22" t="s">
        <v>104</v>
      </c>
      <c r="K43" s="22" t="s">
        <v>116</v>
      </c>
      <c r="L43" t="str">
        <f>VLOOKUP(D43,Products!A:F,3,FALSE())</f>
        <v>Beauty</v>
      </c>
      <c r="M43" t="str">
        <f>VLOOKUP(C43,Customers!A:F,5,FALSE())</f>
        <v>Retail</v>
      </c>
      <c r="O43" t="str">
        <f>IFERROR(VLOOKUP(E43,Sales_Reps!$A:$C,3,FALSE()),"")</f>
        <v/>
      </c>
      <c r="P43">
        <f>IFERROR(VLOOKUP(C43,Customers!$A:$C,3,FALSE()),"")</f>
        <v>53</v>
      </c>
      <c r="Q43" t="str">
        <f t="shared" si="0"/>
        <v>May-24</v>
      </c>
      <c r="R43">
        <f>IFERROR((VLOOKUP(D43,Products!$A:$E,5,FALSE())-VLOOKUP(D43,Products!$A:$E,4,FALSE()))/VLOOKUP(D43,Products!$A:$E,5,FALSE()),"")</f>
        <v>0.43278688524590164</v>
      </c>
    </row>
    <row r="44" spans="1:18" x14ac:dyDescent="0.3">
      <c r="A44" s="22" t="s">
        <v>263</v>
      </c>
      <c r="B44" s="23">
        <v>45392</v>
      </c>
      <c r="C44" s="22" t="s">
        <v>264</v>
      </c>
      <c r="D44" s="22" t="s">
        <v>265</v>
      </c>
      <c r="E44" s="22" t="s">
        <v>266</v>
      </c>
      <c r="F44" s="24">
        <v>2</v>
      </c>
      <c r="G44" s="24">
        <v>3730</v>
      </c>
      <c r="H44" s="24">
        <v>25.8</v>
      </c>
      <c r="I44" s="24">
        <v>5535.32</v>
      </c>
      <c r="J44" s="22" t="s">
        <v>104</v>
      </c>
      <c r="K44" s="22" t="s">
        <v>111</v>
      </c>
      <c r="L44" t="str">
        <f>VLOOKUP(D44,Products!A:F,3,FALSE())</f>
        <v>Home</v>
      </c>
      <c r="M44" t="str">
        <f>VLOOKUP(C44,Customers!A:F,5,FALSE())</f>
        <v>Retail</v>
      </c>
      <c r="O44" t="str">
        <f>IFERROR(VLOOKUP(E44,Sales_Reps!$A:$C,3,FALSE()),"")</f>
        <v/>
      </c>
      <c r="P44">
        <f>IFERROR(VLOOKUP(C44,Customers!$A:$C,3,FALSE()),"")</f>
        <v>37</v>
      </c>
      <c r="Q44" t="str">
        <f t="shared" si="0"/>
        <v>Apr-24</v>
      </c>
      <c r="R44">
        <f>IFERROR((VLOOKUP(D44,Products!$A:$E,5,FALSE())-VLOOKUP(D44,Products!$A:$E,4,FALSE()))/VLOOKUP(D44,Products!$A:$E,5,FALSE()),"")</f>
        <v>0.42761394101876676</v>
      </c>
    </row>
    <row r="45" spans="1:18" x14ac:dyDescent="0.3">
      <c r="A45" s="22" t="s">
        <v>267</v>
      </c>
      <c r="B45" s="23">
        <v>45396</v>
      </c>
      <c r="C45" s="22" t="s">
        <v>268</v>
      </c>
      <c r="D45" s="22" t="s">
        <v>178</v>
      </c>
      <c r="E45" s="22" t="s">
        <v>269</v>
      </c>
      <c r="F45" s="24">
        <v>4</v>
      </c>
      <c r="G45" s="24">
        <v>3450</v>
      </c>
      <c r="H45" s="24">
        <v>20.7</v>
      </c>
      <c r="I45" s="24">
        <v>10943.4</v>
      </c>
      <c r="J45" s="22" t="s">
        <v>104</v>
      </c>
      <c r="K45" s="22" t="s">
        <v>129</v>
      </c>
      <c r="L45" t="str">
        <f>VLOOKUP(D45,Products!A:F,3,FALSE())</f>
        <v>Beauty</v>
      </c>
      <c r="M45" t="str">
        <f>VLOOKUP(C45,Customers!A:F,5,FALSE())</f>
        <v>SMB</v>
      </c>
      <c r="O45" t="str">
        <f>IFERROR(VLOOKUP(E45,Sales_Reps!$A:$C,3,FALSE()),"")</f>
        <v/>
      </c>
      <c r="P45">
        <f>IFERROR(VLOOKUP(C45,Customers!$A:$C,3,FALSE()),"")</f>
        <v>54</v>
      </c>
      <c r="Q45" t="str">
        <f t="shared" si="0"/>
        <v>Apr-24</v>
      </c>
      <c r="R45">
        <f>IFERROR((VLOOKUP(D45,Products!$A:$E,5,FALSE())-VLOOKUP(D45,Products!$A:$E,4,FALSE()))/VLOOKUP(D45,Products!$A:$E,5,FALSE()),"")</f>
        <v>0.29855072463768118</v>
      </c>
    </row>
    <row r="46" spans="1:18" x14ac:dyDescent="0.3">
      <c r="A46" s="22" t="s">
        <v>270</v>
      </c>
      <c r="B46" s="23">
        <v>45373</v>
      </c>
      <c r="C46" s="22" t="s">
        <v>271</v>
      </c>
      <c r="D46" s="22" t="s">
        <v>190</v>
      </c>
      <c r="E46" s="22" t="s">
        <v>272</v>
      </c>
      <c r="F46" s="24">
        <v>2</v>
      </c>
      <c r="G46" s="24">
        <v>2480</v>
      </c>
      <c r="H46" s="24">
        <v>17.3</v>
      </c>
      <c r="I46" s="24">
        <v>4101.92</v>
      </c>
      <c r="J46" s="22" t="s">
        <v>104</v>
      </c>
      <c r="K46" s="22" t="s">
        <v>134</v>
      </c>
      <c r="L46" t="str">
        <f>VLOOKUP(D46,Products!A:F,3,FALSE())</f>
        <v>Apparel</v>
      </c>
      <c r="M46" t="str">
        <f>VLOOKUP(C46,Customers!A:F,5,FALSE())</f>
        <v>SMB</v>
      </c>
      <c r="O46" t="str">
        <f>IFERROR(VLOOKUP(E46,Sales_Reps!$A:$C,3,FALSE()),"")</f>
        <v/>
      </c>
      <c r="P46">
        <f>IFERROR(VLOOKUP(C46,Customers!$A:$C,3,FALSE()),"")</f>
        <v>64</v>
      </c>
      <c r="Q46" t="str">
        <f t="shared" si="0"/>
        <v>Mar-24</v>
      </c>
      <c r="R46">
        <f>IFERROR((VLOOKUP(D46,Products!$A:$E,5,FALSE())-VLOOKUP(D46,Products!$A:$E,4,FALSE()))/VLOOKUP(D46,Products!$A:$E,5,FALSE()),"")</f>
        <v>0.52701612903225803</v>
      </c>
    </row>
    <row r="47" spans="1:18" x14ac:dyDescent="0.3">
      <c r="A47" s="22" t="s">
        <v>273</v>
      </c>
      <c r="B47" s="23">
        <v>45312</v>
      </c>
      <c r="C47" s="22" t="s">
        <v>274</v>
      </c>
      <c r="D47" s="22" t="s">
        <v>275</v>
      </c>
      <c r="E47" s="22" t="s">
        <v>276</v>
      </c>
      <c r="F47" s="24">
        <v>9</v>
      </c>
      <c r="G47" s="24">
        <v>3780</v>
      </c>
      <c r="H47" s="24">
        <v>8.6999999999999993</v>
      </c>
      <c r="I47" s="24">
        <v>31060.26</v>
      </c>
      <c r="J47" s="22" t="s">
        <v>110</v>
      </c>
      <c r="K47" s="22" t="s">
        <v>105</v>
      </c>
      <c r="L47" t="str">
        <f>VLOOKUP(D47,Products!A:F,3,FALSE())</f>
        <v>Grocery</v>
      </c>
      <c r="M47" t="str">
        <f>VLOOKUP(C47,Customers!A:F,5,FALSE())</f>
        <v>SMB</v>
      </c>
      <c r="O47" t="str">
        <f>IFERROR(VLOOKUP(E47,Sales_Reps!$A:$C,3,FALSE()),"")</f>
        <v/>
      </c>
      <c r="P47">
        <f>IFERROR(VLOOKUP(C47,Customers!$A:$C,3,FALSE()),"")</f>
        <v>29</v>
      </c>
      <c r="Q47" t="str">
        <f t="shared" si="0"/>
        <v>Jan-24</v>
      </c>
      <c r="R47">
        <f>IFERROR((VLOOKUP(D47,Products!$A:$E,5,FALSE())-VLOOKUP(D47,Products!$A:$E,4,FALSE()))/VLOOKUP(D47,Products!$A:$E,5,FALSE()),"")</f>
        <v>0.35555555555555557</v>
      </c>
    </row>
    <row r="48" spans="1:18" x14ac:dyDescent="0.3">
      <c r="A48" s="22" t="s">
        <v>277</v>
      </c>
      <c r="B48" s="23">
        <v>45340</v>
      </c>
      <c r="C48" s="22" t="s">
        <v>278</v>
      </c>
      <c r="D48" s="22" t="s">
        <v>279</v>
      </c>
      <c r="E48" s="22" t="s">
        <v>280</v>
      </c>
      <c r="F48" s="24">
        <v>4</v>
      </c>
      <c r="G48" s="24">
        <v>3640</v>
      </c>
      <c r="H48" s="24">
        <v>20.7</v>
      </c>
      <c r="I48" s="24">
        <v>11546.08</v>
      </c>
      <c r="J48" s="22" t="s">
        <v>104</v>
      </c>
      <c r="K48" s="22" t="s">
        <v>151</v>
      </c>
      <c r="L48" t="str">
        <f>VLOOKUP(D48,Products!A:F,3,FALSE())</f>
        <v>Apparel</v>
      </c>
      <c r="M48" t="str">
        <f>VLOOKUP(C48,Customers!A:F,5,FALSE())</f>
        <v>Retail</v>
      </c>
      <c r="O48" t="str">
        <f>IFERROR(VLOOKUP(E48,Sales_Reps!$A:$C,3,FALSE()),"")</f>
        <v/>
      </c>
      <c r="P48">
        <f>IFERROR(VLOOKUP(C48,Customers!$A:$C,3,FALSE()),"")</f>
        <v>64</v>
      </c>
      <c r="Q48" t="str">
        <f t="shared" si="0"/>
        <v>Feb-24</v>
      </c>
      <c r="R48">
        <f>IFERROR((VLOOKUP(D48,Products!$A:$E,5,FALSE())-VLOOKUP(D48,Products!$A:$E,4,FALSE()))/VLOOKUP(D48,Products!$A:$E,5,FALSE()),"")</f>
        <v>0.28269230769230769</v>
      </c>
    </row>
    <row r="49" spans="1:18" x14ac:dyDescent="0.3">
      <c r="A49" s="22" t="s">
        <v>281</v>
      </c>
      <c r="B49" s="23">
        <v>45370</v>
      </c>
      <c r="C49" s="22" t="s">
        <v>282</v>
      </c>
      <c r="D49" s="22" t="s">
        <v>283</v>
      </c>
      <c r="E49" s="22" t="s">
        <v>284</v>
      </c>
      <c r="F49" s="24">
        <v>8</v>
      </c>
      <c r="G49" s="24">
        <v>6080</v>
      </c>
      <c r="H49" s="24">
        <v>24.4</v>
      </c>
      <c r="I49" s="24">
        <v>36771.839999999997</v>
      </c>
      <c r="J49" s="22" t="s">
        <v>104</v>
      </c>
      <c r="K49" s="22" t="s">
        <v>105</v>
      </c>
      <c r="L49" t="str">
        <f>VLOOKUP(D49,Products!A:F,3,FALSE())</f>
        <v>Beauty</v>
      </c>
      <c r="M49" t="e">
        <f>VLOOKUP(C49,Customers!A:F,5,FALSE())</f>
        <v>#N/A</v>
      </c>
      <c r="O49" t="str">
        <f>IFERROR(VLOOKUP(E49,Sales_Reps!$A:$C,3,FALSE()),"")</f>
        <v/>
      </c>
      <c r="P49" t="str">
        <f>IFERROR(VLOOKUP(C49,Customers!$A:$C,3,FALSE()),"")</f>
        <v/>
      </c>
      <c r="Q49" t="str">
        <f t="shared" si="0"/>
        <v>Mar-24</v>
      </c>
      <c r="R49">
        <f>IFERROR((VLOOKUP(D49,Products!$A:$E,5,FALSE())-VLOOKUP(D49,Products!$A:$E,4,FALSE()))/VLOOKUP(D49,Products!$A:$E,5,FALSE()),"")</f>
        <v>0.56957236842105263</v>
      </c>
    </row>
    <row r="50" spans="1:18" x14ac:dyDescent="0.3">
      <c r="A50" s="22" t="s">
        <v>285</v>
      </c>
      <c r="B50" s="23">
        <v>45389</v>
      </c>
      <c r="C50" s="22" t="s">
        <v>215</v>
      </c>
      <c r="D50" s="22" t="s">
        <v>145</v>
      </c>
      <c r="E50" s="22" t="s">
        <v>286</v>
      </c>
      <c r="F50" s="24">
        <v>10</v>
      </c>
      <c r="G50" s="24">
        <v>970</v>
      </c>
      <c r="H50" s="24">
        <v>0.6</v>
      </c>
      <c r="I50" s="24">
        <v>9641.7999999999993</v>
      </c>
      <c r="J50" s="22" t="s">
        <v>159</v>
      </c>
      <c r="K50" s="22" t="s">
        <v>111</v>
      </c>
      <c r="L50" t="str">
        <f>VLOOKUP(D50,Products!A:F,3,FALSE())</f>
        <v>Grocery</v>
      </c>
      <c r="M50" t="str">
        <f>VLOOKUP(C50,Customers!A:F,5,FALSE())</f>
        <v>SMB</v>
      </c>
      <c r="O50" t="str">
        <f>IFERROR(VLOOKUP(E50,Sales_Reps!$A:$C,3,FALSE()),"")</f>
        <v/>
      </c>
      <c r="P50">
        <f>IFERROR(VLOOKUP(C50,Customers!$A:$C,3,FALSE()),"")</f>
        <v>52</v>
      </c>
      <c r="Q50" t="str">
        <f t="shared" si="0"/>
        <v>Apr-24</v>
      </c>
      <c r="R50">
        <f>IFERROR((VLOOKUP(D50,Products!$A:$E,5,FALSE())-VLOOKUP(D50,Products!$A:$E,4,FALSE()))/VLOOKUP(D50,Products!$A:$E,5,FALSE()),"")</f>
        <v>0.5525773195876289</v>
      </c>
    </row>
    <row r="51" spans="1:18" x14ac:dyDescent="0.3">
      <c r="A51" s="22" t="s">
        <v>287</v>
      </c>
      <c r="B51" s="23">
        <v>45565</v>
      </c>
      <c r="C51" s="22" t="s">
        <v>288</v>
      </c>
      <c r="D51" s="22" t="s">
        <v>289</v>
      </c>
      <c r="E51" s="22" t="s">
        <v>290</v>
      </c>
      <c r="F51" s="24">
        <v>1</v>
      </c>
      <c r="G51" s="24">
        <v>2270</v>
      </c>
      <c r="H51" s="24">
        <v>11.5</v>
      </c>
      <c r="I51" s="24">
        <v>2008.95</v>
      </c>
      <c r="J51" s="22" t="s">
        <v>110</v>
      </c>
      <c r="K51" s="22" t="s">
        <v>111</v>
      </c>
      <c r="L51" t="str">
        <f>VLOOKUP(D51,Products!A:F,3,FALSE())</f>
        <v>Grocery</v>
      </c>
      <c r="M51" t="str">
        <f>VLOOKUP(C51,Customers!A:F,5,FALSE())</f>
        <v>Corporate</v>
      </c>
      <c r="O51" t="str">
        <f>IFERROR(VLOOKUP(E51,Sales_Reps!$A:$C,3,FALSE()),"")</f>
        <v/>
      </c>
      <c r="P51">
        <f>IFERROR(VLOOKUP(C51,Customers!$A:$C,3,FALSE()),"")</f>
        <v>52</v>
      </c>
      <c r="Q51" t="str">
        <f t="shared" si="0"/>
        <v>Sep-24</v>
      </c>
      <c r="R51">
        <f>IFERROR((VLOOKUP(D51,Products!$A:$E,5,FALSE())-VLOOKUP(D51,Products!$A:$E,4,FALSE()))/VLOOKUP(D51,Products!$A:$E,5,FALSE()),"")</f>
        <v>0.37797356828193834</v>
      </c>
    </row>
    <row r="52" spans="1:18" x14ac:dyDescent="0.3">
      <c r="A52" s="22" t="s">
        <v>291</v>
      </c>
      <c r="B52" s="23">
        <v>45323</v>
      </c>
      <c r="C52" s="22" t="s">
        <v>292</v>
      </c>
      <c r="D52" s="22" t="s">
        <v>293</v>
      </c>
      <c r="E52" s="22" t="s">
        <v>294</v>
      </c>
      <c r="F52" s="24">
        <v>7</v>
      </c>
      <c r="G52" s="24">
        <v>3870</v>
      </c>
      <c r="H52" s="24">
        <v>0.3</v>
      </c>
      <c r="I52" s="24">
        <v>27008.73</v>
      </c>
      <c r="J52" s="22" t="s">
        <v>159</v>
      </c>
      <c r="K52" s="22" t="s">
        <v>134</v>
      </c>
      <c r="L52" t="str">
        <f>VLOOKUP(D52,Products!A:F,3,FALSE())</f>
        <v>Electronics</v>
      </c>
      <c r="M52" t="str">
        <f>VLOOKUP(C52,Customers!A:F,5,FALSE())</f>
        <v>Retail</v>
      </c>
      <c r="O52" t="str">
        <f>IFERROR(VLOOKUP(E52,Sales_Reps!$A:$C,3,FALSE()),"")</f>
        <v/>
      </c>
      <c r="P52">
        <f>IFERROR(VLOOKUP(C52,Customers!$A:$C,3,FALSE()),"")</f>
        <v>34</v>
      </c>
      <c r="Q52" t="str">
        <f t="shared" si="0"/>
        <v>Feb-24</v>
      </c>
      <c r="R52">
        <f>IFERROR((VLOOKUP(D52,Products!$A:$E,5,FALSE())-VLOOKUP(D52,Products!$A:$E,4,FALSE()))/VLOOKUP(D52,Products!$A:$E,5,FALSE()),"")</f>
        <v>0.59715762273901807</v>
      </c>
    </row>
    <row r="53" spans="1:18" x14ac:dyDescent="0.3">
      <c r="A53" s="22" t="s">
        <v>295</v>
      </c>
      <c r="B53" s="23">
        <v>45506</v>
      </c>
      <c r="C53" s="22" t="s">
        <v>296</v>
      </c>
      <c r="D53" s="22" t="s">
        <v>212</v>
      </c>
      <c r="E53" s="22" t="s">
        <v>297</v>
      </c>
      <c r="F53" s="24">
        <v>1</v>
      </c>
      <c r="G53" s="24">
        <v>4880</v>
      </c>
      <c r="H53" s="24">
        <v>23.9</v>
      </c>
      <c r="I53" s="24">
        <v>3713.68</v>
      </c>
      <c r="J53" s="22" t="s">
        <v>110</v>
      </c>
      <c r="K53" s="22" t="s">
        <v>134</v>
      </c>
      <c r="L53" t="str">
        <f>VLOOKUP(D53,Products!A:F,3,FALSE())</f>
        <v>Beauty</v>
      </c>
      <c r="M53" t="str">
        <f>VLOOKUP(C53,Customers!A:F,5,FALSE())</f>
        <v>SMB</v>
      </c>
      <c r="O53" t="str">
        <f>IFERROR(VLOOKUP(E53,Sales_Reps!$A:$C,3,FALSE()),"")</f>
        <v/>
      </c>
      <c r="P53">
        <f>IFERROR(VLOOKUP(C53,Customers!$A:$C,3,FALSE()),"")</f>
        <v>34</v>
      </c>
      <c r="Q53" t="str">
        <f t="shared" si="0"/>
        <v>Aug-24</v>
      </c>
      <c r="R53">
        <f>IFERROR((VLOOKUP(D53,Products!$A:$E,5,FALSE())-VLOOKUP(D53,Products!$A:$E,4,FALSE()))/VLOOKUP(D53,Products!$A:$E,5,FALSE()),"")</f>
        <v>0.43278688524590164</v>
      </c>
    </row>
    <row r="54" spans="1:18" x14ac:dyDescent="0.3">
      <c r="A54" s="22" t="s">
        <v>298</v>
      </c>
      <c r="B54" s="23">
        <v>45616</v>
      </c>
      <c r="C54" s="22" t="s">
        <v>122</v>
      </c>
      <c r="D54" s="22" t="s">
        <v>275</v>
      </c>
      <c r="E54" s="22" t="s">
        <v>299</v>
      </c>
      <c r="F54" s="24">
        <v>5</v>
      </c>
      <c r="G54" s="24">
        <v>3780</v>
      </c>
      <c r="H54" s="24">
        <v>18.5</v>
      </c>
      <c r="I54" s="24">
        <v>15403.5</v>
      </c>
      <c r="J54" s="22" t="s">
        <v>104</v>
      </c>
      <c r="K54" s="22" t="s">
        <v>111</v>
      </c>
      <c r="L54" t="str">
        <f>VLOOKUP(D54,Products!A:F,3,FALSE())</f>
        <v>Grocery</v>
      </c>
      <c r="M54" t="str">
        <f>VLOOKUP(C54,Customers!A:F,5,FALSE())</f>
        <v>Retail</v>
      </c>
      <c r="O54" t="str">
        <f>IFERROR(VLOOKUP(E54,Sales_Reps!$A:$C,3,FALSE()),"")</f>
        <v/>
      </c>
      <c r="P54">
        <f>IFERROR(VLOOKUP(C54,Customers!$A:$C,3,FALSE()),"")</f>
        <v>36</v>
      </c>
      <c r="Q54" t="str">
        <f t="shared" si="0"/>
        <v>Nov-24</v>
      </c>
      <c r="R54">
        <f>IFERROR((VLOOKUP(D54,Products!$A:$E,5,FALSE())-VLOOKUP(D54,Products!$A:$E,4,FALSE()))/VLOOKUP(D54,Products!$A:$E,5,FALSE()),"")</f>
        <v>0.35555555555555557</v>
      </c>
    </row>
    <row r="55" spans="1:18" x14ac:dyDescent="0.3">
      <c r="A55" s="22" t="s">
        <v>300</v>
      </c>
      <c r="B55" s="23">
        <v>45428</v>
      </c>
      <c r="C55" s="22" t="s">
        <v>301</v>
      </c>
      <c r="D55" s="22" t="s">
        <v>162</v>
      </c>
      <c r="E55" s="22" t="s">
        <v>302</v>
      </c>
      <c r="F55" s="24">
        <v>10</v>
      </c>
      <c r="G55" s="24">
        <v>3250</v>
      </c>
      <c r="H55" s="24">
        <v>25.5</v>
      </c>
      <c r="I55" s="24">
        <v>24212.5</v>
      </c>
      <c r="J55" s="22" t="s">
        <v>104</v>
      </c>
      <c r="K55" s="22" t="s">
        <v>111</v>
      </c>
      <c r="L55" t="str">
        <f>VLOOKUP(D55,Products!A:F,3,FALSE())</f>
        <v>Home</v>
      </c>
      <c r="M55" t="str">
        <f>VLOOKUP(C55,Customers!A:F,5,FALSE())</f>
        <v>Retail</v>
      </c>
      <c r="O55" t="str">
        <f>IFERROR(VLOOKUP(E55,Sales_Reps!$A:$C,3,FALSE()),"")</f>
        <v/>
      </c>
      <c r="P55">
        <f>IFERROR(VLOOKUP(C55,Customers!$A:$C,3,FALSE()),"")</f>
        <v>24</v>
      </c>
      <c r="Q55" t="str">
        <f t="shared" si="0"/>
        <v>May-24</v>
      </c>
      <c r="R55">
        <f>IFERROR((VLOOKUP(D55,Products!$A:$E,5,FALSE())-VLOOKUP(D55,Products!$A:$E,4,FALSE()))/VLOOKUP(D55,Products!$A:$E,5,FALSE()),"")</f>
        <v>0.52123076923076928</v>
      </c>
    </row>
    <row r="56" spans="1:18" x14ac:dyDescent="0.3">
      <c r="A56" s="22" t="s">
        <v>303</v>
      </c>
      <c r="B56" s="23">
        <v>45515</v>
      </c>
      <c r="C56" s="22" t="s">
        <v>304</v>
      </c>
      <c r="D56" s="22" t="s">
        <v>279</v>
      </c>
      <c r="E56" s="22" t="s">
        <v>305</v>
      </c>
      <c r="F56" s="24">
        <v>4</v>
      </c>
      <c r="G56" s="24">
        <v>3640</v>
      </c>
      <c r="H56" s="24">
        <v>9.9</v>
      </c>
      <c r="I56" s="24">
        <v>13118.56</v>
      </c>
      <c r="J56" s="22" t="s">
        <v>164</v>
      </c>
      <c r="K56" s="22" t="s">
        <v>151</v>
      </c>
      <c r="L56" t="str">
        <f>VLOOKUP(D56,Products!A:F,3,FALSE())</f>
        <v>Apparel</v>
      </c>
      <c r="M56" t="str">
        <f>VLOOKUP(C56,Customers!A:F,5,FALSE())</f>
        <v>Retail</v>
      </c>
      <c r="O56" t="str">
        <f>IFERROR(VLOOKUP(E56,Sales_Reps!$A:$C,3,FALSE()),"")</f>
        <v/>
      </c>
      <c r="P56">
        <f>IFERROR(VLOOKUP(C56,Customers!$A:$C,3,FALSE()),"")</f>
        <v>27</v>
      </c>
      <c r="Q56" t="str">
        <f t="shared" si="0"/>
        <v>Aug-24</v>
      </c>
      <c r="R56">
        <f>IFERROR((VLOOKUP(D56,Products!$A:$E,5,FALSE())-VLOOKUP(D56,Products!$A:$E,4,FALSE()))/VLOOKUP(D56,Products!$A:$E,5,FALSE()),"")</f>
        <v>0.28269230769230769</v>
      </c>
    </row>
    <row r="57" spans="1:18" x14ac:dyDescent="0.3">
      <c r="A57" s="22" t="s">
        <v>306</v>
      </c>
      <c r="B57" s="23">
        <v>45649</v>
      </c>
      <c r="C57" s="22" t="s">
        <v>307</v>
      </c>
      <c r="D57" s="22" t="s">
        <v>308</v>
      </c>
      <c r="E57" s="22" t="s">
        <v>309</v>
      </c>
      <c r="F57" s="24">
        <v>4</v>
      </c>
      <c r="G57" s="24">
        <v>1540</v>
      </c>
      <c r="H57" s="24">
        <v>28.8</v>
      </c>
      <c r="I57" s="24">
        <v>4385.92</v>
      </c>
      <c r="J57" s="22" t="s">
        <v>104</v>
      </c>
      <c r="K57" s="22" t="s">
        <v>116</v>
      </c>
      <c r="L57" t="str">
        <f>VLOOKUP(D57,Products!A:F,3,FALSE())</f>
        <v>Beauty</v>
      </c>
      <c r="M57" t="str">
        <f>VLOOKUP(C57,Customers!A:F,5,FALSE())</f>
        <v>SMB</v>
      </c>
      <c r="O57" t="str">
        <f>IFERROR(VLOOKUP(E57,Sales_Reps!$A:$C,3,FALSE()),"")</f>
        <v/>
      </c>
      <c r="P57">
        <f>IFERROR(VLOOKUP(C57,Customers!$A:$C,3,FALSE()),"")</f>
        <v>55</v>
      </c>
      <c r="Q57" t="str">
        <f t="shared" si="0"/>
        <v>Dec-24</v>
      </c>
      <c r="R57">
        <f>IFERROR((VLOOKUP(D57,Products!$A:$E,5,FALSE())-VLOOKUP(D57,Products!$A:$E,4,FALSE()))/VLOOKUP(D57,Products!$A:$E,5,FALSE()),"")</f>
        <v>0.57987012987012987</v>
      </c>
    </row>
    <row r="58" spans="1:18" x14ac:dyDescent="0.3">
      <c r="A58" s="22" t="s">
        <v>310</v>
      </c>
      <c r="B58" s="23">
        <v>45616</v>
      </c>
      <c r="C58" s="22" t="s">
        <v>311</v>
      </c>
      <c r="D58" s="22" t="s">
        <v>186</v>
      </c>
      <c r="E58" s="22" t="s">
        <v>312</v>
      </c>
      <c r="F58" s="24">
        <v>1</v>
      </c>
      <c r="G58" s="24">
        <v>1080</v>
      </c>
      <c r="H58" s="24">
        <v>23</v>
      </c>
      <c r="I58" s="24">
        <v>831.6</v>
      </c>
      <c r="J58" s="22" t="s">
        <v>159</v>
      </c>
      <c r="K58" s="22" t="s">
        <v>116</v>
      </c>
      <c r="L58" t="str">
        <f>VLOOKUP(D58,Products!A:F,3,FALSE())</f>
        <v>Home</v>
      </c>
      <c r="M58" t="str">
        <f>VLOOKUP(C58,Customers!A:F,5,FALSE())</f>
        <v>Retail</v>
      </c>
      <c r="O58" t="str">
        <f>IFERROR(VLOOKUP(E58,Sales_Reps!$A:$C,3,FALSE()),"")</f>
        <v/>
      </c>
      <c r="P58">
        <f>IFERROR(VLOOKUP(C58,Customers!$A:$C,3,FALSE()),"")</f>
        <v>54</v>
      </c>
      <c r="Q58" t="str">
        <f t="shared" si="0"/>
        <v>Nov-24</v>
      </c>
      <c r="R58">
        <f>IFERROR((VLOOKUP(D58,Products!$A:$E,5,FALSE())-VLOOKUP(D58,Products!$A:$E,4,FALSE()))/VLOOKUP(D58,Products!$A:$E,5,FALSE()),"")</f>
        <v>0.51944444444444449</v>
      </c>
    </row>
    <row r="59" spans="1:18" x14ac:dyDescent="0.3">
      <c r="A59" s="22" t="s">
        <v>313</v>
      </c>
      <c r="B59" s="23">
        <v>45573</v>
      </c>
      <c r="C59" s="22" t="s">
        <v>314</v>
      </c>
      <c r="D59" s="22" t="s">
        <v>315</v>
      </c>
      <c r="E59" s="22" t="s">
        <v>316</v>
      </c>
      <c r="F59" s="24">
        <v>1</v>
      </c>
      <c r="G59" s="24">
        <v>4070</v>
      </c>
      <c r="H59" s="24">
        <v>6.7</v>
      </c>
      <c r="I59" s="24">
        <v>3797.31</v>
      </c>
      <c r="J59" s="22" t="s">
        <v>104</v>
      </c>
      <c r="K59" s="22" t="s">
        <v>151</v>
      </c>
      <c r="L59" t="str">
        <f>VLOOKUP(D59,Products!A:F,3,FALSE())</f>
        <v>Grocery</v>
      </c>
      <c r="M59" t="str">
        <f>VLOOKUP(C59,Customers!A:F,5,FALSE())</f>
        <v>Retail</v>
      </c>
      <c r="O59" t="str">
        <f>IFERROR(VLOOKUP(E59,Sales_Reps!$A:$C,3,FALSE()),"")</f>
        <v/>
      </c>
      <c r="P59">
        <f>IFERROR(VLOOKUP(C59,Customers!$A:$C,3,FALSE()),"")</f>
        <v>53</v>
      </c>
      <c r="Q59" t="str">
        <f t="shared" si="0"/>
        <v>Oct-24</v>
      </c>
      <c r="R59">
        <f>IFERROR((VLOOKUP(D59,Products!$A:$E,5,FALSE())-VLOOKUP(D59,Products!$A:$E,4,FALSE()))/VLOOKUP(D59,Products!$A:$E,5,FALSE()),"")</f>
        <v>0.50196560196560192</v>
      </c>
    </row>
    <row r="60" spans="1:18" x14ac:dyDescent="0.3">
      <c r="A60" s="22" t="s">
        <v>317</v>
      </c>
      <c r="B60" s="23">
        <v>45417</v>
      </c>
      <c r="C60" s="22" t="s">
        <v>318</v>
      </c>
      <c r="D60" s="22" t="s">
        <v>319</v>
      </c>
      <c r="E60" s="22" t="s">
        <v>320</v>
      </c>
      <c r="F60" s="24">
        <v>2</v>
      </c>
      <c r="G60" s="24">
        <v>1220</v>
      </c>
      <c r="H60" s="24">
        <v>11.7</v>
      </c>
      <c r="I60" s="24">
        <v>2154.52</v>
      </c>
      <c r="J60" s="22" t="s">
        <v>159</v>
      </c>
      <c r="K60" s="22" t="s">
        <v>116</v>
      </c>
      <c r="L60" t="str">
        <f>VLOOKUP(D60,Products!A:F,3,FALSE())</f>
        <v>Electronics</v>
      </c>
      <c r="M60" t="str">
        <f>VLOOKUP(C60,Customers!A:F,5,FALSE())</f>
        <v>Corporate</v>
      </c>
      <c r="O60" t="str">
        <f>IFERROR(VLOOKUP(E60,Sales_Reps!$A:$C,3,FALSE()),"")</f>
        <v/>
      </c>
      <c r="P60">
        <f>IFERROR(VLOOKUP(C60,Customers!$A:$C,3,FALSE()),"")</f>
        <v>55</v>
      </c>
      <c r="Q60" t="str">
        <f t="shared" si="0"/>
        <v>May-24</v>
      </c>
      <c r="R60">
        <f>IFERROR((VLOOKUP(D60,Products!$A:$E,5,FALSE())-VLOOKUP(D60,Products!$A:$E,4,FALSE()))/VLOOKUP(D60,Products!$A:$E,5,FALSE()),"")</f>
        <v>0.57622950819672136</v>
      </c>
    </row>
    <row r="61" spans="1:18" x14ac:dyDescent="0.3">
      <c r="A61" s="22" t="s">
        <v>321</v>
      </c>
      <c r="B61" s="23">
        <v>45425</v>
      </c>
      <c r="C61" s="22" t="s">
        <v>322</v>
      </c>
      <c r="D61" s="22" t="s">
        <v>323</v>
      </c>
      <c r="E61" s="22" t="s">
        <v>324</v>
      </c>
      <c r="F61" s="24">
        <v>4</v>
      </c>
      <c r="G61" s="24">
        <v>4610</v>
      </c>
      <c r="H61" s="24">
        <v>26.9</v>
      </c>
      <c r="I61" s="24">
        <v>13479.64</v>
      </c>
      <c r="J61" s="22" t="s">
        <v>110</v>
      </c>
      <c r="K61" s="22" t="s">
        <v>129</v>
      </c>
      <c r="L61" t="str">
        <f>VLOOKUP(D61,Products!A:F,3,FALSE())</f>
        <v>Home</v>
      </c>
      <c r="M61" t="str">
        <f>VLOOKUP(C61,Customers!A:F,5,FALSE())</f>
        <v>Retail</v>
      </c>
      <c r="O61" t="str">
        <f>IFERROR(VLOOKUP(E61,Sales_Reps!$A:$C,3,FALSE()),"")</f>
        <v/>
      </c>
      <c r="P61">
        <f>IFERROR(VLOOKUP(C61,Customers!$A:$C,3,FALSE()),"")</f>
        <v>40</v>
      </c>
      <c r="Q61" t="str">
        <f t="shared" si="0"/>
        <v>May-24</v>
      </c>
      <c r="R61">
        <f>IFERROR((VLOOKUP(D61,Products!$A:$E,5,FALSE())-VLOOKUP(D61,Products!$A:$E,4,FALSE()))/VLOOKUP(D61,Products!$A:$E,5,FALSE()),"")</f>
        <v>0.59869848156182215</v>
      </c>
    </row>
    <row r="62" spans="1:18" x14ac:dyDescent="0.3">
      <c r="A62" s="22" t="s">
        <v>325</v>
      </c>
      <c r="B62" s="23">
        <v>45589</v>
      </c>
      <c r="C62" s="22" t="s">
        <v>326</v>
      </c>
      <c r="D62" s="22" t="s">
        <v>186</v>
      </c>
      <c r="E62" s="22" t="s">
        <v>327</v>
      </c>
      <c r="F62" s="24">
        <v>8</v>
      </c>
      <c r="G62" s="24">
        <v>1080</v>
      </c>
      <c r="H62" s="24">
        <v>28.4</v>
      </c>
      <c r="I62" s="24">
        <v>6186.24</v>
      </c>
      <c r="J62" s="22" t="s">
        <v>104</v>
      </c>
      <c r="K62" s="22" t="s">
        <v>111</v>
      </c>
      <c r="L62" t="str">
        <f>VLOOKUP(D62,Products!A:F,3,FALSE())</f>
        <v>Home</v>
      </c>
      <c r="M62" t="str">
        <f>VLOOKUP(C62,Customers!A:F,5,FALSE())</f>
        <v>SMB</v>
      </c>
      <c r="O62" t="str">
        <f>IFERROR(VLOOKUP(E62,Sales_Reps!$A:$C,3,FALSE()),"")</f>
        <v/>
      </c>
      <c r="P62">
        <f>IFERROR(VLOOKUP(C62,Customers!$A:$C,3,FALSE()),"")</f>
        <v>55</v>
      </c>
      <c r="Q62" t="str">
        <f t="shared" si="0"/>
        <v>Oct-24</v>
      </c>
      <c r="R62">
        <f>IFERROR((VLOOKUP(D62,Products!$A:$E,5,FALSE())-VLOOKUP(D62,Products!$A:$E,4,FALSE()))/VLOOKUP(D62,Products!$A:$E,5,FALSE()),"")</f>
        <v>0.51944444444444449</v>
      </c>
    </row>
    <row r="63" spans="1:18" x14ac:dyDescent="0.3">
      <c r="A63" s="22" t="s">
        <v>328</v>
      </c>
      <c r="B63" s="23">
        <v>45488</v>
      </c>
      <c r="C63" s="22" t="s">
        <v>329</v>
      </c>
      <c r="D63" s="22" t="s">
        <v>330</v>
      </c>
      <c r="E63" s="22" t="s">
        <v>331</v>
      </c>
      <c r="F63" s="24">
        <v>10</v>
      </c>
      <c r="G63" s="24">
        <v>3020</v>
      </c>
      <c r="H63" s="24">
        <v>25.4</v>
      </c>
      <c r="I63" s="24">
        <v>22529.200000000001</v>
      </c>
      <c r="J63" s="22" t="s">
        <v>104</v>
      </c>
      <c r="K63" s="22" t="s">
        <v>105</v>
      </c>
      <c r="L63" t="str">
        <f>VLOOKUP(D63,Products!A:F,3,FALSE())</f>
        <v>Beauty</v>
      </c>
      <c r="M63" t="str">
        <f>VLOOKUP(C63,Customers!A:F,5,FALSE())</f>
        <v>Retail</v>
      </c>
      <c r="O63" t="str">
        <f>IFERROR(VLOOKUP(E63,Sales_Reps!$A:$C,3,FALSE()),"")</f>
        <v/>
      </c>
      <c r="P63">
        <f>IFERROR(VLOOKUP(C63,Customers!$A:$C,3,FALSE()),"")</f>
        <v>44</v>
      </c>
      <c r="Q63" t="str">
        <f t="shared" si="0"/>
        <v>Jul-24</v>
      </c>
      <c r="R63">
        <f>IFERROR((VLOOKUP(D63,Products!$A:$E,5,FALSE())-VLOOKUP(D63,Products!$A:$E,4,FALSE()))/VLOOKUP(D63,Products!$A:$E,5,FALSE()),"")</f>
        <v>0.46158940397350995</v>
      </c>
    </row>
    <row r="64" spans="1:18" x14ac:dyDescent="0.3">
      <c r="A64" s="22" t="s">
        <v>332</v>
      </c>
      <c r="B64" s="23">
        <v>45465</v>
      </c>
      <c r="C64" s="22" t="s">
        <v>333</v>
      </c>
      <c r="D64" s="22" t="s">
        <v>334</v>
      </c>
      <c r="E64" s="22" t="s">
        <v>335</v>
      </c>
      <c r="F64" s="24">
        <v>7</v>
      </c>
      <c r="G64" s="24">
        <v>2660</v>
      </c>
      <c r="H64" s="24">
        <v>5.3</v>
      </c>
      <c r="I64" s="24">
        <v>17633.14</v>
      </c>
      <c r="J64" s="22" t="s">
        <v>104</v>
      </c>
      <c r="K64" s="22" t="s">
        <v>151</v>
      </c>
      <c r="L64" t="str">
        <f>VLOOKUP(D64,Products!A:F,3,FALSE())</f>
        <v>Electronics</v>
      </c>
      <c r="M64" t="str">
        <f>VLOOKUP(C64,Customers!A:F,5,FALSE())</f>
        <v>Corporate</v>
      </c>
      <c r="O64" t="str">
        <f>IFERROR(VLOOKUP(E64,Sales_Reps!$A:$C,3,FALSE()),"")</f>
        <v/>
      </c>
      <c r="P64">
        <f>IFERROR(VLOOKUP(C64,Customers!$A:$C,3,FALSE()),"")</f>
        <v>29</v>
      </c>
      <c r="Q64" t="str">
        <f t="shared" si="0"/>
        <v>Jun-24</v>
      </c>
      <c r="R64">
        <f>IFERROR((VLOOKUP(D64,Products!$A:$E,5,FALSE())-VLOOKUP(D64,Products!$A:$E,4,FALSE()))/VLOOKUP(D64,Products!$A:$E,5,FALSE()),"")</f>
        <v>0.52669172932330832</v>
      </c>
    </row>
    <row r="65" spans="1:18" x14ac:dyDescent="0.3">
      <c r="A65" s="22" t="s">
        <v>336</v>
      </c>
      <c r="B65" s="23">
        <v>45599</v>
      </c>
      <c r="C65" s="22" t="s">
        <v>337</v>
      </c>
      <c r="D65" s="22" t="s">
        <v>338</v>
      </c>
      <c r="E65" s="22" t="s">
        <v>339</v>
      </c>
      <c r="F65" s="24">
        <v>9</v>
      </c>
      <c r="G65" s="24">
        <v>300</v>
      </c>
      <c r="H65" s="24">
        <v>25.3</v>
      </c>
      <c r="I65" s="24">
        <v>2016.9</v>
      </c>
      <c r="J65" s="22" t="s">
        <v>104</v>
      </c>
      <c r="K65" s="22" t="s">
        <v>105</v>
      </c>
      <c r="L65" t="str">
        <f>VLOOKUP(D65,Products!A:F,3,FALSE())</f>
        <v>Electronics</v>
      </c>
      <c r="M65" t="str">
        <f>VLOOKUP(C65,Customers!A:F,5,FALSE())</f>
        <v>Retail</v>
      </c>
      <c r="O65" t="str">
        <f>IFERROR(VLOOKUP(E65,Sales_Reps!$A:$C,3,FALSE()),"")</f>
        <v/>
      </c>
      <c r="P65">
        <f>IFERROR(VLOOKUP(C65,Customers!$A:$C,3,FALSE()),"")</f>
        <v>25</v>
      </c>
      <c r="Q65" t="str">
        <f t="shared" si="0"/>
        <v>Nov-24</v>
      </c>
      <c r="R65">
        <f>IFERROR((VLOOKUP(D65,Products!$A:$E,5,FALSE())-VLOOKUP(D65,Products!$A:$E,4,FALSE()))/VLOOKUP(D65,Products!$A:$E,5,FALSE()),"")</f>
        <v>0.57333333333333336</v>
      </c>
    </row>
    <row r="66" spans="1:18" x14ac:dyDescent="0.3">
      <c r="A66" s="22" t="s">
        <v>340</v>
      </c>
      <c r="B66" s="23">
        <v>45317</v>
      </c>
      <c r="C66" s="22" t="s">
        <v>341</v>
      </c>
      <c r="D66" s="22" t="s">
        <v>153</v>
      </c>
      <c r="E66" s="22" t="s">
        <v>342</v>
      </c>
      <c r="F66" s="24">
        <v>10</v>
      </c>
      <c r="G66" s="24">
        <v>2640</v>
      </c>
      <c r="H66" s="24">
        <v>18.7</v>
      </c>
      <c r="I66" s="24">
        <v>21463.200000000001</v>
      </c>
      <c r="J66" s="22" t="s">
        <v>159</v>
      </c>
      <c r="K66" s="22" t="s">
        <v>111</v>
      </c>
      <c r="L66" t="str">
        <f>VLOOKUP(D66,Products!A:F,3,FALSE())</f>
        <v>Electronics</v>
      </c>
      <c r="M66" t="str">
        <f>VLOOKUP(C66,Customers!A:F,5,FALSE())</f>
        <v>Retail</v>
      </c>
      <c r="O66" t="str">
        <f>IFERROR(VLOOKUP(E66,Sales_Reps!$A:$C,3,FALSE()),"")</f>
        <v/>
      </c>
      <c r="P66">
        <f>IFERROR(VLOOKUP(C66,Customers!$A:$C,3,FALSE()),"")</f>
        <v>28</v>
      </c>
      <c r="Q66" t="str">
        <f t="shared" ref="Q66:Q129" si="1">TEXT(B66,"mmm-yy")</f>
        <v>Jan-24</v>
      </c>
      <c r="R66">
        <f>IFERROR((VLOOKUP(D66,Products!$A:$E,5,FALSE())-VLOOKUP(D66,Products!$A:$E,4,FALSE()))/VLOOKUP(D66,Products!$A:$E,5,FALSE()),"")</f>
        <v>0.56477272727272732</v>
      </c>
    </row>
    <row r="67" spans="1:18" x14ac:dyDescent="0.3">
      <c r="A67" s="22" t="s">
        <v>343</v>
      </c>
      <c r="B67" s="23">
        <v>45462</v>
      </c>
      <c r="C67" s="22" t="s">
        <v>255</v>
      </c>
      <c r="D67" s="22" t="s">
        <v>108</v>
      </c>
      <c r="E67" s="22" t="s">
        <v>344</v>
      </c>
      <c r="F67" s="24">
        <v>8</v>
      </c>
      <c r="G67" s="24">
        <v>820</v>
      </c>
      <c r="H67" s="24">
        <v>24</v>
      </c>
      <c r="I67" s="24">
        <v>4985.6000000000004</v>
      </c>
      <c r="J67" s="22" t="s">
        <v>104</v>
      </c>
      <c r="K67" s="22" t="s">
        <v>116</v>
      </c>
      <c r="L67" t="str">
        <f>VLOOKUP(D67,Products!A:F,3,FALSE())</f>
        <v>Apparel</v>
      </c>
      <c r="M67" t="str">
        <f>VLOOKUP(C67,Customers!A:F,5,FALSE())</f>
        <v>SMB</v>
      </c>
      <c r="O67" t="str">
        <f>IFERROR(VLOOKUP(E67,Sales_Reps!$A:$C,3,FALSE()),"")</f>
        <v/>
      </c>
      <c r="P67">
        <f>IFERROR(VLOOKUP(C67,Customers!$A:$C,3,FALSE()),"")</f>
        <v>50</v>
      </c>
      <c r="Q67" t="str">
        <f t="shared" si="1"/>
        <v>Jun-24</v>
      </c>
      <c r="R67">
        <f>IFERROR((VLOOKUP(D67,Products!$A:$E,5,FALSE())-VLOOKUP(D67,Products!$A:$E,4,FALSE()))/VLOOKUP(D67,Products!$A:$E,5,FALSE()),"")</f>
        <v>0.52317073170731709</v>
      </c>
    </row>
    <row r="68" spans="1:18" x14ac:dyDescent="0.3">
      <c r="A68" s="22" t="s">
        <v>345</v>
      </c>
      <c r="B68" s="23">
        <v>45499</v>
      </c>
      <c r="C68" s="22" t="s">
        <v>107</v>
      </c>
      <c r="D68" s="22" t="s">
        <v>231</v>
      </c>
      <c r="E68" s="22" t="s">
        <v>346</v>
      </c>
      <c r="F68" s="24">
        <v>1</v>
      </c>
      <c r="G68" s="24">
        <v>2760</v>
      </c>
      <c r="H68" s="24">
        <v>4.8</v>
      </c>
      <c r="I68" s="24">
        <v>2627.52</v>
      </c>
      <c r="J68" s="22" t="s">
        <v>104</v>
      </c>
      <c r="K68" s="22" t="s">
        <v>111</v>
      </c>
      <c r="L68" t="str">
        <f>VLOOKUP(D68,Products!A:F,3,FALSE())</f>
        <v>Grocery</v>
      </c>
      <c r="M68" t="str">
        <f>VLOOKUP(C68,Customers!A:F,5,FALSE())</f>
        <v>Retail</v>
      </c>
      <c r="O68" t="str">
        <f>IFERROR(VLOOKUP(E68,Sales_Reps!$A:$C,3,FALSE()),"")</f>
        <v/>
      </c>
      <c r="P68">
        <f>IFERROR(VLOOKUP(C68,Customers!$A:$C,3,FALSE()),"")</f>
        <v>39</v>
      </c>
      <c r="Q68" t="str">
        <f t="shared" si="1"/>
        <v>Jul-24</v>
      </c>
      <c r="R68">
        <f>IFERROR((VLOOKUP(D68,Products!$A:$E,5,FALSE())-VLOOKUP(D68,Products!$A:$E,4,FALSE()))/VLOOKUP(D68,Products!$A:$E,5,FALSE()),"")</f>
        <v>0.48007246376811596</v>
      </c>
    </row>
    <row r="69" spans="1:18" x14ac:dyDescent="0.3">
      <c r="A69" s="22" t="s">
        <v>347</v>
      </c>
      <c r="B69" s="23">
        <v>45328</v>
      </c>
      <c r="C69" s="22" t="s">
        <v>348</v>
      </c>
      <c r="D69" s="22" t="s">
        <v>102</v>
      </c>
      <c r="E69" s="22" t="s">
        <v>349</v>
      </c>
      <c r="F69" s="24">
        <v>2</v>
      </c>
      <c r="G69" s="24">
        <v>3620</v>
      </c>
      <c r="H69" s="24">
        <v>19.100000000000001</v>
      </c>
      <c r="I69" s="24">
        <v>5857.16</v>
      </c>
      <c r="J69" s="22" t="s">
        <v>104</v>
      </c>
      <c r="K69" s="22" t="s">
        <v>111</v>
      </c>
      <c r="L69" t="str">
        <f>VLOOKUP(D69,Products!A:F,3,FALSE())</f>
        <v>Apparel</v>
      </c>
      <c r="M69" t="str">
        <f>VLOOKUP(C69,Customers!A:F,5,FALSE())</f>
        <v>Retail</v>
      </c>
      <c r="O69" t="str">
        <f>IFERROR(VLOOKUP(E69,Sales_Reps!$A:$C,3,FALSE()),"")</f>
        <v/>
      </c>
      <c r="P69">
        <f>IFERROR(VLOOKUP(C69,Customers!$A:$C,3,FALSE()),"")</f>
        <v>38</v>
      </c>
      <c r="Q69" t="str">
        <f t="shared" si="1"/>
        <v>Feb-24</v>
      </c>
      <c r="R69">
        <f>IFERROR((VLOOKUP(D69,Products!$A:$E,5,FALSE())-VLOOKUP(D69,Products!$A:$E,4,FALSE()))/VLOOKUP(D69,Products!$A:$E,5,FALSE()),"")</f>
        <v>0.3069060773480663</v>
      </c>
    </row>
    <row r="70" spans="1:18" x14ac:dyDescent="0.3">
      <c r="A70" s="22" t="s">
        <v>350</v>
      </c>
      <c r="B70" s="23">
        <v>45459</v>
      </c>
      <c r="C70" s="22" t="s">
        <v>351</v>
      </c>
      <c r="D70" s="22" t="s">
        <v>352</v>
      </c>
      <c r="E70" s="22" t="s">
        <v>353</v>
      </c>
      <c r="F70" s="24">
        <v>1</v>
      </c>
      <c r="G70" s="24">
        <v>620</v>
      </c>
      <c r="H70" s="24">
        <v>1</v>
      </c>
      <c r="I70" s="24">
        <v>613.79999999999995</v>
      </c>
      <c r="J70" s="22" t="s">
        <v>104</v>
      </c>
      <c r="K70" s="22" t="s">
        <v>116</v>
      </c>
      <c r="L70" t="str">
        <f>VLOOKUP(D70,Products!A:F,3,FALSE())</f>
        <v>Apparel</v>
      </c>
      <c r="M70" t="str">
        <f>VLOOKUP(C70,Customers!A:F,5,FALSE())</f>
        <v>Retail</v>
      </c>
      <c r="O70" t="str">
        <f>IFERROR(VLOOKUP(E70,Sales_Reps!$A:$C,3,FALSE()),"")</f>
        <v/>
      </c>
      <c r="P70">
        <f>IFERROR(VLOOKUP(C70,Customers!$A:$C,3,FALSE()),"")</f>
        <v>35</v>
      </c>
      <c r="Q70" t="str">
        <f t="shared" si="1"/>
        <v>Jun-24</v>
      </c>
      <c r="R70">
        <f>IFERROR((VLOOKUP(D70,Products!$A:$E,5,FALSE())-VLOOKUP(D70,Products!$A:$E,4,FALSE()))/VLOOKUP(D70,Products!$A:$E,5,FALSE()),"")</f>
        <v>0.36129032258064514</v>
      </c>
    </row>
    <row r="71" spans="1:18" x14ac:dyDescent="0.3">
      <c r="A71" s="22" t="s">
        <v>354</v>
      </c>
      <c r="B71" s="23">
        <v>45398</v>
      </c>
      <c r="C71" s="22" t="s">
        <v>355</v>
      </c>
      <c r="D71" s="22" t="s">
        <v>356</v>
      </c>
      <c r="E71" s="22" t="s">
        <v>357</v>
      </c>
      <c r="F71" s="24">
        <v>1</v>
      </c>
      <c r="G71" s="24">
        <v>2030</v>
      </c>
      <c r="H71" s="24">
        <v>3.3</v>
      </c>
      <c r="I71" s="24">
        <v>1963.01</v>
      </c>
      <c r="J71" s="22" t="s">
        <v>104</v>
      </c>
      <c r="K71" s="22" t="s">
        <v>151</v>
      </c>
      <c r="L71" t="str">
        <f>VLOOKUP(D71,Products!A:F,3,FALSE())</f>
        <v>Home</v>
      </c>
      <c r="M71" t="str">
        <f>VLOOKUP(C71,Customers!A:F,5,FALSE())</f>
        <v>SMB</v>
      </c>
      <c r="O71" t="str">
        <f>IFERROR(VLOOKUP(E71,Sales_Reps!$A:$C,3,FALSE()),"")</f>
        <v/>
      </c>
      <c r="P71">
        <f>IFERROR(VLOOKUP(C71,Customers!$A:$C,3,FALSE()),"")</f>
        <v>43</v>
      </c>
      <c r="Q71" t="str">
        <f t="shared" si="1"/>
        <v>Apr-24</v>
      </c>
      <c r="R71">
        <f>IFERROR((VLOOKUP(D71,Products!$A:$E,5,FALSE())-VLOOKUP(D71,Products!$A:$E,4,FALSE()))/VLOOKUP(D71,Products!$A:$E,5,FALSE()),"")</f>
        <v>0.43694581280788175</v>
      </c>
    </row>
    <row r="72" spans="1:18" x14ac:dyDescent="0.3">
      <c r="A72" s="22" t="s">
        <v>358</v>
      </c>
      <c r="B72" s="23">
        <v>45470</v>
      </c>
      <c r="C72" s="22" t="s">
        <v>122</v>
      </c>
      <c r="D72" s="22" t="s">
        <v>123</v>
      </c>
      <c r="E72" s="22" t="s">
        <v>359</v>
      </c>
      <c r="F72" s="24">
        <v>10</v>
      </c>
      <c r="G72" s="24">
        <v>3160</v>
      </c>
      <c r="H72" s="24">
        <v>15.8</v>
      </c>
      <c r="I72" s="24">
        <v>26607.200000000001</v>
      </c>
      <c r="J72" s="22" t="s">
        <v>104</v>
      </c>
      <c r="K72" s="22" t="s">
        <v>111</v>
      </c>
      <c r="L72" t="str">
        <f>VLOOKUP(D72,Products!A:F,3,FALSE())</f>
        <v>Apparel</v>
      </c>
      <c r="M72" t="str">
        <f>VLOOKUP(C72,Customers!A:F,5,FALSE())</f>
        <v>Retail</v>
      </c>
      <c r="O72" t="str">
        <f>IFERROR(VLOOKUP(E72,Sales_Reps!$A:$C,3,FALSE()),"")</f>
        <v/>
      </c>
      <c r="P72">
        <f>IFERROR(VLOOKUP(C72,Customers!$A:$C,3,FALSE()),"")</f>
        <v>36</v>
      </c>
      <c r="Q72" t="str">
        <f t="shared" si="1"/>
        <v>Jun-24</v>
      </c>
      <c r="R72">
        <f>IFERROR((VLOOKUP(D72,Products!$A:$E,5,FALSE())-VLOOKUP(D72,Products!$A:$E,4,FALSE()))/VLOOKUP(D72,Products!$A:$E,5,FALSE()),"")</f>
        <v>0.4031645569620253</v>
      </c>
    </row>
    <row r="73" spans="1:18" x14ac:dyDescent="0.3">
      <c r="A73" s="22" t="s">
        <v>360</v>
      </c>
      <c r="B73" s="23">
        <v>45346</v>
      </c>
      <c r="C73" s="22" t="s">
        <v>361</v>
      </c>
      <c r="D73" s="22" t="s">
        <v>145</v>
      </c>
      <c r="E73" s="22" t="s">
        <v>362</v>
      </c>
      <c r="F73" s="24">
        <v>5</v>
      </c>
      <c r="G73" s="24">
        <v>970</v>
      </c>
      <c r="H73" s="24">
        <v>12.2</v>
      </c>
      <c r="I73" s="24">
        <v>4258.3</v>
      </c>
      <c r="J73" s="22" t="s">
        <v>104</v>
      </c>
      <c r="K73" s="22" t="s">
        <v>151</v>
      </c>
      <c r="L73" t="str">
        <f>VLOOKUP(D73,Products!A:F,3,FALSE())</f>
        <v>Grocery</v>
      </c>
      <c r="M73" t="str">
        <f>VLOOKUP(C73,Customers!A:F,5,FALSE())</f>
        <v>Retail</v>
      </c>
      <c r="O73" t="str">
        <f>IFERROR(VLOOKUP(E73,Sales_Reps!$A:$C,3,FALSE()),"")</f>
        <v/>
      </c>
      <c r="P73">
        <f>IFERROR(VLOOKUP(C73,Customers!$A:$C,3,FALSE()),"")</f>
        <v>29</v>
      </c>
      <c r="Q73" t="str">
        <f t="shared" si="1"/>
        <v>Feb-24</v>
      </c>
      <c r="R73">
        <f>IFERROR((VLOOKUP(D73,Products!$A:$E,5,FALSE())-VLOOKUP(D73,Products!$A:$E,4,FALSE()))/VLOOKUP(D73,Products!$A:$E,5,FALSE()),"")</f>
        <v>0.5525773195876289</v>
      </c>
    </row>
    <row r="74" spans="1:18" x14ac:dyDescent="0.3">
      <c r="A74" s="22" t="s">
        <v>363</v>
      </c>
      <c r="B74" s="23">
        <v>45483</v>
      </c>
      <c r="C74" s="22" t="s">
        <v>364</v>
      </c>
      <c r="D74" s="22" t="s">
        <v>205</v>
      </c>
      <c r="E74" s="22" t="s">
        <v>365</v>
      </c>
      <c r="F74" s="24">
        <v>9</v>
      </c>
      <c r="G74" s="24">
        <v>3350</v>
      </c>
      <c r="H74" s="24">
        <v>25.8</v>
      </c>
      <c r="I74" s="24">
        <v>22371.3</v>
      </c>
      <c r="J74" s="22" t="s">
        <v>110</v>
      </c>
      <c r="K74" s="22" t="s">
        <v>111</v>
      </c>
      <c r="L74" t="str">
        <f>VLOOKUP(D74,Products!A:F,3,FALSE())</f>
        <v>Beauty</v>
      </c>
      <c r="M74" t="str">
        <f>VLOOKUP(C74,Customers!A:F,5,FALSE())</f>
        <v>Retail</v>
      </c>
      <c r="O74" t="str">
        <f>IFERROR(VLOOKUP(E74,Sales_Reps!$A:$C,3,FALSE()),"")</f>
        <v/>
      </c>
      <c r="P74">
        <f>IFERROR(VLOOKUP(C74,Customers!$A:$C,3,FALSE()),"")</f>
        <v>41</v>
      </c>
      <c r="Q74" t="str">
        <f t="shared" si="1"/>
        <v>Jul-24</v>
      </c>
      <c r="R74">
        <f>IFERROR((VLOOKUP(D74,Products!$A:$E,5,FALSE())-VLOOKUP(D74,Products!$A:$E,4,FALSE()))/VLOOKUP(D74,Products!$A:$E,5,FALSE()),"")</f>
        <v>0.48417910447761192</v>
      </c>
    </row>
    <row r="75" spans="1:18" x14ac:dyDescent="0.3">
      <c r="A75" s="22" t="s">
        <v>366</v>
      </c>
      <c r="B75" s="23">
        <v>45585</v>
      </c>
      <c r="C75" s="22" t="s">
        <v>307</v>
      </c>
      <c r="D75" s="22" t="s">
        <v>127</v>
      </c>
      <c r="E75" s="22" t="s">
        <v>367</v>
      </c>
      <c r="F75" s="24">
        <v>1</v>
      </c>
      <c r="G75" s="24">
        <v>370</v>
      </c>
      <c r="H75" s="24">
        <v>28.9</v>
      </c>
      <c r="I75" s="24">
        <v>263.07</v>
      </c>
      <c r="J75" s="22" t="s">
        <v>104</v>
      </c>
      <c r="K75" s="22" t="s">
        <v>116</v>
      </c>
      <c r="L75" t="str">
        <f>VLOOKUP(D75,Products!A:F,3,FALSE())</f>
        <v>Home</v>
      </c>
      <c r="M75" t="str">
        <f>VLOOKUP(C75,Customers!A:F,5,FALSE())</f>
        <v>SMB</v>
      </c>
      <c r="O75" t="str">
        <f>IFERROR(VLOOKUP(E75,Sales_Reps!$A:$C,3,FALSE()),"")</f>
        <v/>
      </c>
      <c r="P75">
        <f>IFERROR(VLOOKUP(C75,Customers!$A:$C,3,FALSE()),"")</f>
        <v>55</v>
      </c>
      <c r="Q75" t="str">
        <f t="shared" si="1"/>
        <v>Oct-24</v>
      </c>
      <c r="R75">
        <f>IFERROR((VLOOKUP(D75,Products!$A:$E,5,FALSE())-VLOOKUP(D75,Products!$A:$E,4,FALSE()))/VLOOKUP(D75,Products!$A:$E,5,FALSE()),"")</f>
        <v>0.22162162162162163</v>
      </c>
    </row>
    <row r="76" spans="1:18" x14ac:dyDescent="0.3">
      <c r="A76" s="22" t="s">
        <v>368</v>
      </c>
      <c r="B76" s="23">
        <v>45500</v>
      </c>
      <c r="C76" s="22" t="s">
        <v>369</v>
      </c>
      <c r="D76" s="22" t="s">
        <v>145</v>
      </c>
      <c r="E76" s="22" t="s">
        <v>370</v>
      </c>
      <c r="F76" s="24">
        <v>3</v>
      </c>
      <c r="G76" s="24">
        <v>970</v>
      </c>
      <c r="H76" s="24">
        <v>4.3</v>
      </c>
      <c r="I76" s="24">
        <v>2784.87</v>
      </c>
      <c r="J76" s="22" t="s">
        <v>159</v>
      </c>
      <c r="K76" s="22" t="s">
        <v>151</v>
      </c>
      <c r="L76" t="str">
        <f>VLOOKUP(D76,Products!A:F,3,FALSE())</f>
        <v>Grocery</v>
      </c>
      <c r="M76" t="str">
        <f>VLOOKUP(C76,Customers!A:F,5,FALSE())</f>
        <v>Corporate</v>
      </c>
      <c r="O76" t="str">
        <f>IFERROR(VLOOKUP(E76,Sales_Reps!$A:$C,3,FALSE()),"")</f>
        <v/>
      </c>
      <c r="P76">
        <f>IFERROR(VLOOKUP(C76,Customers!$A:$C,3,FALSE()),"")</f>
        <v>46</v>
      </c>
      <c r="Q76" t="str">
        <f t="shared" si="1"/>
        <v>Jul-24</v>
      </c>
      <c r="R76">
        <f>IFERROR((VLOOKUP(D76,Products!$A:$E,5,FALSE())-VLOOKUP(D76,Products!$A:$E,4,FALSE()))/VLOOKUP(D76,Products!$A:$E,5,FALSE()),"")</f>
        <v>0.5525773195876289</v>
      </c>
    </row>
    <row r="77" spans="1:18" x14ac:dyDescent="0.3">
      <c r="A77" s="22" t="s">
        <v>371</v>
      </c>
      <c r="B77" s="23">
        <v>45375</v>
      </c>
      <c r="C77" s="22" t="s">
        <v>161</v>
      </c>
      <c r="D77" s="22" t="s">
        <v>231</v>
      </c>
      <c r="E77" s="22" t="s">
        <v>372</v>
      </c>
      <c r="F77" s="24">
        <v>6</v>
      </c>
      <c r="G77" s="24">
        <v>2760</v>
      </c>
      <c r="H77" s="24">
        <v>19.899999999999999</v>
      </c>
      <c r="I77" s="24">
        <v>13264.56</v>
      </c>
      <c r="J77" s="22" t="s">
        <v>110</v>
      </c>
      <c r="K77" s="22" t="s">
        <v>105</v>
      </c>
      <c r="L77" t="str">
        <f>VLOOKUP(D77,Products!A:F,3,FALSE())</f>
        <v>Grocery</v>
      </c>
      <c r="M77" t="str">
        <f>VLOOKUP(C77,Customers!A:F,5,FALSE())</f>
        <v>SMB</v>
      </c>
      <c r="O77" t="str">
        <f>IFERROR(VLOOKUP(E77,Sales_Reps!$A:$C,3,FALSE()),"")</f>
        <v/>
      </c>
      <c r="P77">
        <f>IFERROR(VLOOKUP(C77,Customers!$A:$C,3,FALSE()),"")</f>
        <v>39</v>
      </c>
      <c r="Q77" t="str">
        <f t="shared" si="1"/>
        <v>Mar-24</v>
      </c>
      <c r="R77">
        <f>IFERROR((VLOOKUP(D77,Products!$A:$E,5,FALSE())-VLOOKUP(D77,Products!$A:$E,4,FALSE()))/VLOOKUP(D77,Products!$A:$E,5,FALSE()),"")</f>
        <v>0.48007246376811596</v>
      </c>
    </row>
    <row r="78" spans="1:18" x14ac:dyDescent="0.3">
      <c r="A78" s="22" t="s">
        <v>373</v>
      </c>
      <c r="B78" s="23">
        <v>45443</v>
      </c>
      <c r="C78" s="22" t="s">
        <v>374</v>
      </c>
      <c r="D78" s="22" t="s">
        <v>231</v>
      </c>
      <c r="E78" s="22" t="s">
        <v>375</v>
      </c>
      <c r="F78" s="24">
        <v>7</v>
      </c>
      <c r="G78" s="24">
        <v>2760</v>
      </c>
      <c r="H78" s="24">
        <v>25.2</v>
      </c>
      <c r="I78" s="24">
        <v>14451.36</v>
      </c>
      <c r="J78" s="22" t="s">
        <v>104</v>
      </c>
      <c r="K78" s="22" t="s">
        <v>105</v>
      </c>
      <c r="L78" t="str">
        <f>VLOOKUP(D78,Products!A:F,3,FALSE())</f>
        <v>Grocery</v>
      </c>
      <c r="M78" t="str">
        <f>VLOOKUP(C78,Customers!A:F,5,FALSE())</f>
        <v>SMB</v>
      </c>
      <c r="O78" t="str">
        <f>IFERROR(VLOOKUP(E78,Sales_Reps!$A:$C,3,FALSE()),"")</f>
        <v/>
      </c>
      <c r="P78">
        <f>IFERROR(VLOOKUP(C78,Customers!$A:$C,3,FALSE()),"")</f>
        <v>54</v>
      </c>
      <c r="Q78" t="str">
        <f t="shared" si="1"/>
        <v>May-24</v>
      </c>
      <c r="R78">
        <f>IFERROR((VLOOKUP(D78,Products!$A:$E,5,FALSE())-VLOOKUP(D78,Products!$A:$E,4,FALSE()))/VLOOKUP(D78,Products!$A:$E,5,FALSE()),"")</f>
        <v>0.48007246376811596</v>
      </c>
    </row>
    <row r="79" spans="1:18" x14ac:dyDescent="0.3">
      <c r="A79" s="22" t="s">
        <v>376</v>
      </c>
      <c r="B79" s="23">
        <v>45390</v>
      </c>
      <c r="C79" s="22" t="s">
        <v>377</v>
      </c>
      <c r="D79" s="22" t="s">
        <v>319</v>
      </c>
      <c r="E79" s="22" t="s">
        <v>378</v>
      </c>
      <c r="F79" s="24">
        <v>4</v>
      </c>
      <c r="G79" s="24">
        <v>1220</v>
      </c>
      <c r="H79" s="24">
        <v>8.4</v>
      </c>
      <c r="I79" s="24">
        <v>4470.08</v>
      </c>
      <c r="J79" s="22" t="s">
        <v>104</v>
      </c>
      <c r="K79" s="22" t="s">
        <v>134</v>
      </c>
      <c r="L79" t="str">
        <f>VLOOKUP(D79,Products!A:F,3,FALSE())</f>
        <v>Electronics</v>
      </c>
      <c r="M79" t="str">
        <f>VLOOKUP(C79,Customers!A:F,5,FALSE())</f>
        <v>Retail</v>
      </c>
      <c r="O79" t="str">
        <f>IFERROR(VLOOKUP(E79,Sales_Reps!$A:$C,3,FALSE()),"")</f>
        <v/>
      </c>
      <c r="P79">
        <f>IFERROR(VLOOKUP(C79,Customers!$A:$C,3,FALSE()),"")</f>
        <v>42</v>
      </c>
      <c r="Q79" t="str">
        <f t="shared" si="1"/>
        <v>Apr-24</v>
      </c>
      <c r="R79">
        <f>IFERROR((VLOOKUP(D79,Products!$A:$E,5,FALSE())-VLOOKUP(D79,Products!$A:$E,4,FALSE()))/VLOOKUP(D79,Products!$A:$E,5,FALSE()),"")</f>
        <v>0.57622950819672136</v>
      </c>
    </row>
    <row r="80" spans="1:18" x14ac:dyDescent="0.3">
      <c r="A80" s="22" t="s">
        <v>379</v>
      </c>
      <c r="B80" s="23">
        <v>45615</v>
      </c>
      <c r="C80" s="22" t="s">
        <v>380</v>
      </c>
      <c r="D80" s="22" t="s">
        <v>157</v>
      </c>
      <c r="E80" s="22" t="s">
        <v>381</v>
      </c>
      <c r="F80" s="24">
        <v>2</v>
      </c>
      <c r="G80" s="24">
        <v>2600</v>
      </c>
      <c r="H80" s="24">
        <v>1.9</v>
      </c>
      <c r="I80" s="24">
        <v>5101.2</v>
      </c>
      <c r="J80" s="22" t="s">
        <v>110</v>
      </c>
      <c r="K80" s="22" t="s">
        <v>151</v>
      </c>
      <c r="L80" t="str">
        <f>VLOOKUP(D80,Products!A:F,3,FALSE())</f>
        <v>Electronics</v>
      </c>
      <c r="M80" t="str">
        <f>VLOOKUP(C80,Customers!A:F,5,FALSE())</f>
        <v>Retail</v>
      </c>
      <c r="O80" t="str">
        <f>IFERROR(VLOOKUP(E80,Sales_Reps!$A:$C,3,FALSE()),"")</f>
        <v/>
      </c>
      <c r="P80">
        <f>IFERROR(VLOOKUP(C80,Customers!$A:$C,3,FALSE()),"")</f>
        <v>46</v>
      </c>
      <c r="Q80" t="str">
        <f t="shared" si="1"/>
        <v>Nov-24</v>
      </c>
      <c r="R80">
        <f>IFERROR((VLOOKUP(D80,Products!$A:$E,5,FALSE())-VLOOKUP(D80,Products!$A:$E,4,FALSE()))/VLOOKUP(D80,Products!$A:$E,5,FALSE()),"")</f>
        <v>0.5953846153846154</v>
      </c>
    </row>
    <row r="81" spans="1:18" x14ac:dyDescent="0.3">
      <c r="A81" s="22" t="s">
        <v>382</v>
      </c>
      <c r="B81" s="23">
        <v>45498</v>
      </c>
      <c r="C81" s="22" t="s">
        <v>383</v>
      </c>
      <c r="D81" s="22" t="s">
        <v>315</v>
      </c>
      <c r="E81" s="22" t="s">
        <v>384</v>
      </c>
      <c r="F81" s="24">
        <v>9</v>
      </c>
      <c r="G81" s="24">
        <v>4070</v>
      </c>
      <c r="H81" s="24">
        <v>28.8</v>
      </c>
      <c r="I81" s="24">
        <v>26080.560000000001</v>
      </c>
      <c r="J81" s="22" t="s">
        <v>104</v>
      </c>
      <c r="K81" s="22" t="s">
        <v>105</v>
      </c>
      <c r="L81" t="str">
        <f>VLOOKUP(D81,Products!A:F,3,FALSE())</f>
        <v>Grocery</v>
      </c>
      <c r="M81" t="str">
        <f>VLOOKUP(C81,Customers!A:F,5,FALSE())</f>
        <v>Corporate</v>
      </c>
      <c r="O81" t="str">
        <f>IFERROR(VLOOKUP(E81,Sales_Reps!$A:$C,3,FALSE()),"")</f>
        <v/>
      </c>
      <c r="P81">
        <f>IFERROR(VLOOKUP(C81,Customers!$A:$C,3,FALSE()),"")</f>
        <v>33</v>
      </c>
      <c r="Q81" t="str">
        <f t="shared" si="1"/>
        <v>Jul-24</v>
      </c>
      <c r="R81">
        <f>IFERROR((VLOOKUP(D81,Products!$A:$E,5,FALSE())-VLOOKUP(D81,Products!$A:$E,4,FALSE()))/VLOOKUP(D81,Products!$A:$E,5,FALSE()),"")</f>
        <v>0.50196560196560192</v>
      </c>
    </row>
    <row r="82" spans="1:18" x14ac:dyDescent="0.3">
      <c r="A82" s="22" t="s">
        <v>385</v>
      </c>
      <c r="B82" s="23">
        <v>45515</v>
      </c>
      <c r="C82" s="22" t="s">
        <v>386</v>
      </c>
      <c r="D82" s="22" t="s">
        <v>149</v>
      </c>
      <c r="E82" s="22" t="s">
        <v>387</v>
      </c>
      <c r="F82" s="24">
        <v>2</v>
      </c>
      <c r="G82" s="24">
        <v>2270</v>
      </c>
      <c r="H82" s="24">
        <v>18</v>
      </c>
      <c r="I82" s="24">
        <v>3722.8</v>
      </c>
      <c r="J82" s="22" t="s">
        <v>164</v>
      </c>
      <c r="K82" s="22" t="s">
        <v>105</v>
      </c>
      <c r="L82" t="str">
        <f>VLOOKUP(D82,Products!A:F,3,FALSE())</f>
        <v>Grocery</v>
      </c>
      <c r="M82" t="str">
        <f>VLOOKUP(C82,Customers!A:F,5,FALSE())</f>
        <v>SMB</v>
      </c>
      <c r="O82" t="str">
        <f>IFERROR(VLOOKUP(E82,Sales_Reps!$A:$C,3,FALSE()),"")</f>
        <v/>
      </c>
      <c r="P82">
        <f>IFERROR(VLOOKUP(C82,Customers!$A:$C,3,FALSE()),"")</f>
        <v>60</v>
      </c>
      <c r="Q82" t="str">
        <f t="shared" si="1"/>
        <v>Aug-24</v>
      </c>
      <c r="R82">
        <f>IFERROR((VLOOKUP(D82,Products!$A:$E,5,FALSE())-VLOOKUP(D82,Products!$A:$E,4,FALSE()))/VLOOKUP(D82,Products!$A:$E,5,FALSE()),"")</f>
        <v>0.47004405286343615</v>
      </c>
    </row>
    <row r="83" spans="1:18" x14ac:dyDescent="0.3">
      <c r="A83" s="22" t="s">
        <v>388</v>
      </c>
      <c r="B83" s="23">
        <v>45528</v>
      </c>
      <c r="C83" s="22" t="s">
        <v>389</v>
      </c>
      <c r="D83" s="22" t="s">
        <v>123</v>
      </c>
      <c r="E83" s="22" t="s">
        <v>390</v>
      </c>
      <c r="F83" s="24">
        <v>2</v>
      </c>
      <c r="G83" s="24">
        <v>3160</v>
      </c>
      <c r="H83" s="24">
        <v>18.3</v>
      </c>
      <c r="I83" s="24">
        <v>5163.4399999999996</v>
      </c>
      <c r="J83" s="22" t="s">
        <v>104</v>
      </c>
      <c r="K83" s="22" t="s">
        <v>111</v>
      </c>
      <c r="L83" t="str">
        <f>VLOOKUP(D83,Products!A:F,3,FALSE())</f>
        <v>Apparel</v>
      </c>
      <c r="M83" t="str">
        <f>VLOOKUP(C83,Customers!A:F,5,FALSE())</f>
        <v>SMB</v>
      </c>
      <c r="O83" t="str">
        <f>IFERROR(VLOOKUP(E83,Sales_Reps!$A:$C,3,FALSE()),"")</f>
        <v/>
      </c>
      <c r="P83">
        <f>IFERROR(VLOOKUP(C83,Customers!$A:$C,3,FALSE()),"")</f>
        <v>57</v>
      </c>
      <c r="Q83" t="str">
        <f t="shared" si="1"/>
        <v>Aug-24</v>
      </c>
      <c r="R83">
        <f>IFERROR((VLOOKUP(D83,Products!$A:$E,5,FALSE())-VLOOKUP(D83,Products!$A:$E,4,FALSE()))/VLOOKUP(D83,Products!$A:$E,5,FALSE()),"")</f>
        <v>0.4031645569620253</v>
      </c>
    </row>
    <row r="84" spans="1:18" x14ac:dyDescent="0.3">
      <c r="A84" s="22" t="s">
        <v>391</v>
      </c>
      <c r="B84" s="23">
        <v>45402</v>
      </c>
      <c r="C84" s="22" t="s">
        <v>392</v>
      </c>
      <c r="D84" s="22" t="s">
        <v>190</v>
      </c>
      <c r="E84" s="22" t="s">
        <v>393</v>
      </c>
      <c r="F84" s="24">
        <v>4</v>
      </c>
      <c r="G84" s="24">
        <v>2480</v>
      </c>
      <c r="H84" s="24">
        <v>1.1000000000000001</v>
      </c>
      <c r="I84" s="24">
        <v>9810.8799999999992</v>
      </c>
      <c r="J84" s="22" t="s">
        <v>110</v>
      </c>
      <c r="K84" s="22" t="s">
        <v>151</v>
      </c>
      <c r="L84" t="str">
        <f>VLOOKUP(D84,Products!A:F,3,FALSE())</f>
        <v>Apparel</v>
      </c>
      <c r="M84" t="str">
        <f>VLOOKUP(C84,Customers!A:F,5,FALSE())</f>
        <v>SMB</v>
      </c>
      <c r="O84" t="str">
        <f>IFERROR(VLOOKUP(E84,Sales_Reps!$A:$C,3,FALSE()),"")</f>
        <v/>
      </c>
      <c r="P84">
        <f>IFERROR(VLOOKUP(C84,Customers!$A:$C,3,FALSE()),"")</f>
        <v>36</v>
      </c>
      <c r="Q84" t="str">
        <f t="shared" si="1"/>
        <v>Apr-24</v>
      </c>
      <c r="R84">
        <f>IFERROR((VLOOKUP(D84,Products!$A:$E,5,FALSE())-VLOOKUP(D84,Products!$A:$E,4,FALSE()))/VLOOKUP(D84,Products!$A:$E,5,FALSE()),"")</f>
        <v>0.52701612903225803</v>
      </c>
    </row>
    <row r="85" spans="1:18" x14ac:dyDescent="0.3">
      <c r="A85" s="22" t="s">
        <v>394</v>
      </c>
      <c r="B85" s="23">
        <v>45547</v>
      </c>
      <c r="C85" s="22" t="s">
        <v>395</v>
      </c>
      <c r="D85" s="22" t="s">
        <v>334</v>
      </c>
      <c r="E85" s="22" t="s">
        <v>396</v>
      </c>
      <c r="F85" s="24">
        <v>1</v>
      </c>
      <c r="G85" s="24">
        <v>2660</v>
      </c>
      <c r="H85" s="24">
        <v>21</v>
      </c>
      <c r="I85" s="24">
        <v>2101.4</v>
      </c>
      <c r="J85" s="22" t="s">
        <v>104</v>
      </c>
      <c r="K85" s="22" t="s">
        <v>116</v>
      </c>
      <c r="L85" t="str">
        <f>VLOOKUP(D85,Products!A:F,3,FALSE())</f>
        <v>Electronics</v>
      </c>
      <c r="M85" t="str">
        <f>VLOOKUP(C85,Customers!A:F,5,FALSE())</f>
        <v>Retail</v>
      </c>
      <c r="O85" t="str">
        <f>IFERROR(VLOOKUP(E85,Sales_Reps!$A:$C,3,FALSE()),"")</f>
        <v/>
      </c>
      <c r="P85">
        <f>IFERROR(VLOOKUP(C85,Customers!$A:$C,3,FALSE()),"")</f>
        <v>31</v>
      </c>
      <c r="Q85" t="str">
        <f t="shared" si="1"/>
        <v>Sep-24</v>
      </c>
      <c r="R85">
        <f>IFERROR((VLOOKUP(D85,Products!$A:$E,5,FALSE())-VLOOKUP(D85,Products!$A:$E,4,FALSE()))/VLOOKUP(D85,Products!$A:$E,5,FALSE()),"")</f>
        <v>0.52669172932330832</v>
      </c>
    </row>
    <row r="86" spans="1:18" x14ac:dyDescent="0.3">
      <c r="A86" s="22" t="s">
        <v>397</v>
      </c>
      <c r="B86" s="23">
        <v>45424</v>
      </c>
      <c r="C86" s="22" t="s">
        <v>398</v>
      </c>
      <c r="D86" s="22" t="s">
        <v>330</v>
      </c>
      <c r="E86" s="22" t="s">
        <v>399</v>
      </c>
      <c r="F86" s="24">
        <v>5</v>
      </c>
      <c r="G86" s="24">
        <v>3020</v>
      </c>
      <c r="H86" s="24">
        <v>22.2</v>
      </c>
      <c r="I86" s="24">
        <v>11747.8</v>
      </c>
      <c r="J86" s="22" t="s">
        <v>104</v>
      </c>
      <c r="K86" s="22" t="s">
        <v>151</v>
      </c>
      <c r="L86" t="str">
        <f>VLOOKUP(D86,Products!A:F,3,FALSE())</f>
        <v>Beauty</v>
      </c>
      <c r="M86" t="str">
        <f>VLOOKUP(C86,Customers!A:F,5,FALSE())</f>
        <v>Retail</v>
      </c>
      <c r="O86" t="str">
        <f>IFERROR(VLOOKUP(E86,Sales_Reps!$A:$C,3,FALSE()),"")</f>
        <v/>
      </c>
      <c r="P86">
        <f>IFERROR(VLOOKUP(C86,Customers!$A:$C,3,FALSE()),"")</f>
        <v>28</v>
      </c>
      <c r="Q86" t="str">
        <f t="shared" si="1"/>
        <v>May-24</v>
      </c>
      <c r="R86">
        <f>IFERROR((VLOOKUP(D86,Products!$A:$E,5,FALSE())-VLOOKUP(D86,Products!$A:$E,4,FALSE()))/VLOOKUP(D86,Products!$A:$E,5,FALSE()),"")</f>
        <v>0.46158940397350995</v>
      </c>
    </row>
    <row r="87" spans="1:18" x14ac:dyDescent="0.3">
      <c r="A87" s="22" t="s">
        <v>400</v>
      </c>
      <c r="B87" s="23">
        <v>45461</v>
      </c>
      <c r="C87" s="22" t="s">
        <v>223</v>
      </c>
      <c r="D87" s="22" t="s">
        <v>352</v>
      </c>
      <c r="E87" s="22" t="s">
        <v>401</v>
      </c>
      <c r="F87" s="24">
        <v>9</v>
      </c>
      <c r="G87" s="24">
        <v>620</v>
      </c>
      <c r="H87" s="24">
        <v>23.3</v>
      </c>
      <c r="I87" s="24">
        <v>4279.8599999999997</v>
      </c>
      <c r="J87" s="22" t="s">
        <v>104</v>
      </c>
      <c r="K87" s="22" t="s">
        <v>105</v>
      </c>
      <c r="L87" t="str">
        <f>VLOOKUP(D87,Products!A:F,3,FALSE())</f>
        <v>Apparel</v>
      </c>
      <c r="M87" t="str">
        <f>VLOOKUP(C87,Customers!A:F,5,FALSE())</f>
        <v>SMB</v>
      </c>
      <c r="O87" t="str">
        <f>IFERROR(VLOOKUP(E87,Sales_Reps!$A:$C,3,FALSE()),"")</f>
        <v/>
      </c>
      <c r="P87">
        <f>IFERROR(VLOOKUP(C87,Customers!$A:$C,3,FALSE()),"")</f>
        <v>44</v>
      </c>
      <c r="Q87" t="str">
        <f t="shared" si="1"/>
        <v>Jun-24</v>
      </c>
      <c r="R87">
        <f>IFERROR((VLOOKUP(D87,Products!$A:$E,5,FALSE())-VLOOKUP(D87,Products!$A:$E,4,FALSE()))/VLOOKUP(D87,Products!$A:$E,5,FALSE()),"")</f>
        <v>0.36129032258064514</v>
      </c>
    </row>
    <row r="88" spans="1:18" x14ac:dyDescent="0.3">
      <c r="A88" s="22" t="s">
        <v>402</v>
      </c>
      <c r="B88" s="23">
        <v>45600</v>
      </c>
      <c r="C88" s="22" t="s">
        <v>403</v>
      </c>
      <c r="D88" s="22" t="s">
        <v>114</v>
      </c>
      <c r="E88" s="22" t="s">
        <v>404</v>
      </c>
      <c r="F88" s="24">
        <v>2</v>
      </c>
      <c r="G88" s="24">
        <v>470</v>
      </c>
      <c r="H88" s="24">
        <v>5.4</v>
      </c>
      <c r="I88" s="24">
        <v>889.24</v>
      </c>
      <c r="J88" s="22" t="s">
        <v>104</v>
      </c>
      <c r="K88" s="22" t="s">
        <v>111</v>
      </c>
      <c r="L88" t="str">
        <f>VLOOKUP(D88,Products!A:F,3,FALSE())</f>
        <v>Sports</v>
      </c>
      <c r="M88" t="str">
        <f>VLOOKUP(C88,Customers!A:F,5,FALSE())</f>
        <v>Retail</v>
      </c>
      <c r="O88" t="str">
        <f>IFERROR(VLOOKUP(E88,Sales_Reps!$A:$C,3,FALSE()),"")</f>
        <v/>
      </c>
      <c r="P88">
        <f>IFERROR(VLOOKUP(C88,Customers!$A:$C,3,FALSE()),"")</f>
        <v>28</v>
      </c>
      <c r="Q88" t="str">
        <f t="shared" si="1"/>
        <v>Nov-24</v>
      </c>
      <c r="R88">
        <f>IFERROR((VLOOKUP(D88,Products!$A:$E,5,FALSE())-VLOOKUP(D88,Products!$A:$E,4,FALSE()))/VLOOKUP(D88,Products!$A:$E,5,FALSE()),"")</f>
        <v>0.35744680851063831</v>
      </c>
    </row>
    <row r="89" spans="1:18" x14ac:dyDescent="0.3">
      <c r="A89" s="22" t="s">
        <v>405</v>
      </c>
      <c r="B89" s="23">
        <v>45587</v>
      </c>
      <c r="C89" s="22" t="s">
        <v>196</v>
      </c>
      <c r="D89" s="22" t="s">
        <v>137</v>
      </c>
      <c r="E89" s="22" t="s">
        <v>406</v>
      </c>
      <c r="F89" s="24">
        <v>3</v>
      </c>
      <c r="G89" s="24">
        <v>1430</v>
      </c>
      <c r="H89" s="24">
        <v>6.5</v>
      </c>
      <c r="I89" s="24">
        <v>4011.15</v>
      </c>
      <c r="J89" s="22" t="s">
        <v>104</v>
      </c>
      <c r="K89" s="22" t="s">
        <v>105</v>
      </c>
      <c r="L89" t="str">
        <f>VLOOKUP(D89,Products!A:F,3,FALSE())</f>
        <v>Electronics</v>
      </c>
      <c r="M89" t="str">
        <f>VLOOKUP(C89,Customers!A:F,5,FALSE())</f>
        <v>Retail</v>
      </c>
      <c r="O89" t="str">
        <f>IFERROR(VLOOKUP(E89,Sales_Reps!$A:$C,3,FALSE()),"")</f>
        <v/>
      </c>
      <c r="P89">
        <f>IFERROR(VLOOKUP(C89,Customers!$A:$C,3,FALSE()),"")</f>
        <v>50</v>
      </c>
      <c r="Q89" t="str">
        <f t="shared" si="1"/>
        <v>Oct-24</v>
      </c>
      <c r="R89">
        <f>IFERROR((VLOOKUP(D89,Products!$A:$E,5,FALSE())-VLOOKUP(D89,Products!$A:$E,4,FALSE()))/VLOOKUP(D89,Products!$A:$E,5,FALSE()),"")</f>
        <v>0.39790209790209791</v>
      </c>
    </row>
    <row r="90" spans="1:18" x14ac:dyDescent="0.3">
      <c r="A90" s="22" t="s">
        <v>407</v>
      </c>
      <c r="B90" s="23">
        <v>45518</v>
      </c>
      <c r="C90" s="22" t="s">
        <v>408</v>
      </c>
      <c r="D90" s="22" t="s">
        <v>352</v>
      </c>
      <c r="E90" s="22" t="s">
        <v>409</v>
      </c>
      <c r="F90" s="24">
        <v>6</v>
      </c>
      <c r="G90" s="24">
        <v>620</v>
      </c>
      <c r="H90" s="24">
        <v>2.6</v>
      </c>
      <c r="I90" s="24">
        <v>3623.28</v>
      </c>
      <c r="J90" s="22" t="s">
        <v>104</v>
      </c>
      <c r="K90" s="22" t="s">
        <v>134</v>
      </c>
      <c r="L90" t="str">
        <f>VLOOKUP(D90,Products!A:F,3,FALSE())</f>
        <v>Apparel</v>
      </c>
      <c r="M90" t="str">
        <f>VLOOKUP(C90,Customers!A:F,5,FALSE())</f>
        <v>Corporate</v>
      </c>
      <c r="O90" t="str">
        <f>IFERROR(VLOOKUP(E90,Sales_Reps!$A:$C,3,FALSE()),"")</f>
        <v/>
      </c>
      <c r="P90">
        <f>IFERROR(VLOOKUP(C90,Customers!$A:$C,3,FALSE()),"")</f>
        <v>59</v>
      </c>
      <c r="Q90" t="str">
        <f t="shared" si="1"/>
        <v>Aug-24</v>
      </c>
      <c r="R90">
        <f>IFERROR((VLOOKUP(D90,Products!$A:$E,5,FALSE())-VLOOKUP(D90,Products!$A:$E,4,FALSE()))/VLOOKUP(D90,Products!$A:$E,5,FALSE()),"")</f>
        <v>0.36129032258064514</v>
      </c>
    </row>
    <row r="91" spans="1:18" x14ac:dyDescent="0.3">
      <c r="A91" s="22" t="s">
        <v>410</v>
      </c>
      <c r="B91" s="23">
        <v>45533</v>
      </c>
      <c r="C91" s="22" t="s">
        <v>411</v>
      </c>
      <c r="D91" s="22" t="s">
        <v>216</v>
      </c>
      <c r="E91" s="22" t="s">
        <v>412</v>
      </c>
      <c r="F91" s="24">
        <v>4</v>
      </c>
      <c r="G91" s="24">
        <v>3570</v>
      </c>
      <c r="H91" s="24">
        <v>4.5</v>
      </c>
      <c r="I91" s="24">
        <v>13637.4</v>
      </c>
      <c r="J91" s="22" t="s">
        <v>110</v>
      </c>
      <c r="K91" s="22" t="s">
        <v>151</v>
      </c>
      <c r="L91" t="str">
        <f>VLOOKUP(D91,Products!A:F,3,FALSE())</f>
        <v>Electronics</v>
      </c>
      <c r="M91" t="str">
        <f>VLOOKUP(C91,Customers!A:F,5,FALSE())</f>
        <v>SMB</v>
      </c>
      <c r="O91" t="str">
        <f>IFERROR(VLOOKUP(E91,Sales_Reps!$A:$C,3,FALSE()),"")</f>
        <v/>
      </c>
      <c r="P91">
        <f>IFERROR(VLOOKUP(C91,Customers!$A:$C,3,FALSE()),"")</f>
        <v>65</v>
      </c>
      <c r="Q91" t="str">
        <f t="shared" si="1"/>
        <v>Aug-24</v>
      </c>
      <c r="R91">
        <f>IFERROR((VLOOKUP(D91,Products!$A:$E,5,FALSE())-VLOOKUP(D91,Products!$A:$E,4,FALSE()))/VLOOKUP(D91,Products!$A:$E,5,FALSE()),"")</f>
        <v>0.53361344537815125</v>
      </c>
    </row>
    <row r="92" spans="1:18" x14ac:dyDescent="0.3">
      <c r="A92" s="22" t="s">
        <v>413</v>
      </c>
      <c r="B92" s="23">
        <v>45622</v>
      </c>
      <c r="C92" s="22" t="s">
        <v>369</v>
      </c>
      <c r="D92" s="22" t="s">
        <v>289</v>
      </c>
      <c r="E92" s="22" t="s">
        <v>414</v>
      </c>
      <c r="F92" s="24">
        <v>6</v>
      </c>
      <c r="G92" s="24">
        <v>2270</v>
      </c>
      <c r="H92" s="24">
        <v>2</v>
      </c>
      <c r="I92" s="24">
        <v>13347.6</v>
      </c>
      <c r="J92" s="22" t="s">
        <v>104</v>
      </c>
      <c r="K92" s="22" t="s">
        <v>151</v>
      </c>
      <c r="L92" t="str">
        <f>VLOOKUP(D92,Products!A:F,3,FALSE())</f>
        <v>Grocery</v>
      </c>
      <c r="M92" t="str">
        <f>VLOOKUP(C92,Customers!A:F,5,FALSE())</f>
        <v>Corporate</v>
      </c>
      <c r="O92" t="str">
        <f>IFERROR(VLOOKUP(E92,Sales_Reps!$A:$C,3,FALSE()),"")</f>
        <v/>
      </c>
      <c r="P92">
        <f>IFERROR(VLOOKUP(C92,Customers!$A:$C,3,FALSE()),"")</f>
        <v>46</v>
      </c>
      <c r="Q92" t="str">
        <f t="shared" si="1"/>
        <v>Nov-24</v>
      </c>
      <c r="R92">
        <f>IFERROR((VLOOKUP(D92,Products!$A:$E,5,FALSE())-VLOOKUP(D92,Products!$A:$E,4,FALSE()))/VLOOKUP(D92,Products!$A:$E,5,FALSE()),"")</f>
        <v>0.37797356828193834</v>
      </c>
    </row>
    <row r="93" spans="1:18" x14ac:dyDescent="0.3">
      <c r="A93" s="22" t="s">
        <v>415</v>
      </c>
      <c r="B93" s="23">
        <v>45328</v>
      </c>
      <c r="C93" s="22" t="s">
        <v>416</v>
      </c>
      <c r="D93" s="22" t="s">
        <v>197</v>
      </c>
      <c r="E93" s="22" t="s">
        <v>417</v>
      </c>
      <c r="F93" s="24">
        <v>7</v>
      </c>
      <c r="G93" s="24">
        <v>2720</v>
      </c>
      <c r="H93" s="24">
        <v>15.4</v>
      </c>
      <c r="I93" s="24">
        <v>16107.84</v>
      </c>
      <c r="J93" s="22" t="s">
        <v>104</v>
      </c>
      <c r="K93" s="22" t="s">
        <v>129</v>
      </c>
      <c r="L93" t="str">
        <f>VLOOKUP(D93,Products!A:F,3,FALSE())</f>
        <v>Apparel</v>
      </c>
      <c r="M93" t="str">
        <f>VLOOKUP(C93,Customers!A:F,5,FALSE())</f>
        <v>Retail</v>
      </c>
      <c r="O93" t="str">
        <f>IFERROR(VLOOKUP(E93,Sales_Reps!$A:$C,3,FALSE()),"")</f>
        <v/>
      </c>
      <c r="P93">
        <f>IFERROR(VLOOKUP(C93,Customers!$A:$C,3,FALSE()),"")</f>
        <v>49</v>
      </c>
      <c r="Q93" t="str">
        <f t="shared" si="1"/>
        <v>Feb-24</v>
      </c>
      <c r="R93">
        <f>IFERROR((VLOOKUP(D93,Products!$A:$E,5,FALSE())-VLOOKUP(D93,Products!$A:$E,4,FALSE()))/VLOOKUP(D93,Products!$A:$E,5,FALSE()),"")</f>
        <v>0.2786764705882353</v>
      </c>
    </row>
    <row r="94" spans="1:18" x14ac:dyDescent="0.3">
      <c r="A94" s="22" t="s">
        <v>418</v>
      </c>
      <c r="B94" s="23">
        <v>45380</v>
      </c>
      <c r="C94" s="22" t="s">
        <v>348</v>
      </c>
      <c r="D94" s="22" t="s">
        <v>419</v>
      </c>
      <c r="E94" s="22" t="s">
        <v>420</v>
      </c>
      <c r="F94" s="24">
        <v>9</v>
      </c>
      <c r="G94" s="24">
        <v>2210</v>
      </c>
      <c r="H94" s="24">
        <v>12.4</v>
      </c>
      <c r="I94" s="24">
        <v>17423.64</v>
      </c>
      <c r="J94" s="22" t="s">
        <v>104</v>
      </c>
      <c r="K94" s="22" t="s">
        <v>111</v>
      </c>
      <c r="L94" t="str">
        <f>VLOOKUP(D94,Products!A:F,3,FALSE())</f>
        <v>Grocery</v>
      </c>
      <c r="M94" t="str">
        <f>VLOOKUP(C94,Customers!A:F,5,FALSE())</f>
        <v>Retail</v>
      </c>
      <c r="O94" t="str">
        <f>IFERROR(VLOOKUP(E94,Sales_Reps!$A:$C,3,FALSE()),"")</f>
        <v/>
      </c>
      <c r="P94">
        <f>IFERROR(VLOOKUP(C94,Customers!$A:$C,3,FALSE()),"")</f>
        <v>38</v>
      </c>
      <c r="Q94" t="str">
        <f t="shared" si="1"/>
        <v>Mar-24</v>
      </c>
      <c r="R94">
        <f>IFERROR((VLOOKUP(D94,Products!$A:$E,5,FALSE())-VLOOKUP(D94,Products!$A:$E,4,FALSE()))/VLOOKUP(D94,Products!$A:$E,5,FALSE()),"")</f>
        <v>0.54298642533936647</v>
      </c>
    </row>
    <row r="95" spans="1:18" x14ac:dyDescent="0.3">
      <c r="A95" s="22" t="s">
        <v>421</v>
      </c>
      <c r="B95" s="23">
        <v>45648</v>
      </c>
      <c r="C95" s="22" t="s">
        <v>422</v>
      </c>
      <c r="D95" s="22" t="s">
        <v>167</v>
      </c>
      <c r="E95" s="22" t="s">
        <v>423</v>
      </c>
      <c r="F95" s="24">
        <v>6</v>
      </c>
      <c r="G95" s="24">
        <v>190</v>
      </c>
      <c r="H95" s="24">
        <v>19.2</v>
      </c>
      <c r="I95" s="24">
        <v>921.12</v>
      </c>
      <c r="J95" s="22" t="s">
        <v>104</v>
      </c>
      <c r="K95" s="22" t="s">
        <v>105</v>
      </c>
      <c r="L95" t="str">
        <f>VLOOKUP(D95,Products!A:F,3,FALSE())</f>
        <v>Sports</v>
      </c>
      <c r="M95" t="str">
        <f>VLOOKUP(C95,Customers!A:F,5,FALSE())</f>
        <v>Retail</v>
      </c>
      <c r="O95" t="str">
        <f>IFERROR(VLOOKUP(E95,Sales_Reps!$A:$C,3,FALSE()),"")</f>
        <v/>
      </c>
      <c r="P95">
        <f>IFERROR(VLOOKUP(C95,Customers!$A:$C,3,FALSE()),"")</f>
        <v>25</v>
      </c>
      <c r="Q95" t="str">
        <f t="shared" si="1"/>
        <v>Dec-24</v>
      </c>
      <c r="R95">
        <f>IFERROR((VLOOKUP(D95,Products!$A:$E,5,FALSE())-VLOOKUP(D95,Products!$A:$E,4,FALSE()))/VLOOKUP(D95,Products!$A:$E,5,FALSE()),"")</f>
        <v>0.22631578947368422</v>
      </c>
    </row>
    <row r="96" spans="1:18" x14ac:dyDescent="0.3">
      <c r="A96" s="22" t="s">
        <v>424</v>
      </c>
      <c r="B96" s="23">
        <v>45607</v>
      </c>
      <c r="C96" s="22" t="s">
        <v>425</v>
      </c>
      <c r="D96" s="22" t="s">
        <v>220</v>
      </c>
      <c r="E96" s="22" t="s">
        <v>426</v>
      </c>
      <c r="F96" s="24">
        <v>10</v>
      </c>
      <c r="G96" s="24">
        <v>5100</v>
      </c>
      <c r="H96" s="24">
        <v>25.4</v>
      </c>
      <c r="I96" s="24">
        <v>38046</v>
      </c>
      <c r="J96" s="22" t="s">
        <v>164</v>
      </c>
      <c r="K96" s="22" t="s">
        <v>111</v>
      </c>
      <c r="L96" t="str">
        <f>VLOOKUP(D96,Products!A:F,3,FALSE())</f>
        <v>Beauty</v>
      </c>
      <c r="M96" t="str">
        <f>VLOOKUP(C96,Customers!A:F,5,FALSE())</f>
        <v>Retail</v>
      </c>
      <c r="O96" t="str">
        <f>IFERROR(VLOOKUP(E96,Sales_Reps!$A:$C,3,FALSE()),"")</f>
        <v/>
      </c>
      <c r="P96">
        <f>IFERROR(VLOOKUP(C96,Customers!$A:$C,3,FALSE()),"")</f>
        <v>26</v>
      </c>
      <c r="Q96" t="str">
        <f t="shared" si="1"/>
        <v>Nov-24</v>
      </c>
      <c r="R96">
        <f>IFERROR((VLOOKUP(D96,Products!$A:$E,5,FALSE())-VLOOKUP(D96,Products!$A:$E,4,FALSE()))/VLOOKUP(D96,Products!$A:$E,5,FALSE()),"")</f>
        <v>0.56137254901960787</v>
      </c>
    </row>
    <row r="97" spans="1:18" x14ac:dyDescent="0.3">
      <c r="A97" s="22" t="s">
        <v>427</v>
      </c>
      <c r="B97" s="23">
        <v>45414</v>
      </c>
      <c r="C97" s="22" t="s">
        <v>428</v>
      </c>
      <c r="D97" s="22" t="s">
        <v>209</v>
      </c>
      <c r="E97" s="22" t="s">
        <v>429</v>
      </c>
      <c r="F97" s="24">
        <v>5</v>
      </c>
      <c r="G97" s="24">
        <v>1010</v>
      </c>
      <c r="H97" s="24">
        <v>1.6</v>
      </c>
      <c r="I97" s="24">
        <v>4969.2</v>
      </c>
      <c r="J97" s="22" t="s">
        <v>104</v>
      </c>
      <c r="K97" s="22" t="s">
        <v>111</v>
      </c>
      <c r="L97" t="str">
        <f>VLOOKUP(D97,Products!A:F,3,FALSE())</f>
        <v>Sports</v>
      </c>
      <c r="M97" t="str">
        <f>VLOOKUP(C97,Customers!A:F,5,FALSE())</f>
        <v>Corporate</v>
      </c>
      <c r="O97" t="str">
        <f>IFERROR(VLOOKUP(E97,Sales_Reps!$A:$C,3,FALSE()),"")</f>
        <v/>
      </c>
      <c r="P97">
        <f>IFERROR(VLOOKUP(C97,Customers!$A:$C,3,FALSE()),"")</f>
        <v>38</v>
      </c>
      <c r="Q97" t="str">
        <f t="shared" si="1"/>
        <v>May-24</v>
      </c>
      <c r="R97">
        <f>IFERROR((VLOOKUP(D97,Products!$A:$E,5,FALSE())-VLOOKUP(D97,Products!$A:$E,4,FALSE()))/VLOOKUP(D97,Products!$A:$E,5,FALSE()),"")</f>
        <v>0.4891089108910891</v>
      </c>
    </row>
    <row r="98" spans="1:18" x14ac:dyDescent="0.3">
      <c r="A98" s="22" t="s">
        <v>430</v>
      </c>
      <c r="B98" s="23">
        <v>45328</v>
      </c>
      <c r="C98" s="22" t="s">
        <v>314</v>
      </c>
      <c r="D98" s="22" t="s">
        <v>265</v>
      </c>
      <c r="E98" s="22" t="s">
        <v>431</v>
      </c>
      <c r="F98" s="24">
        <v>1</v>
      </c>
      <c r="G98" s="24">
        <v>3730</v>
      </c>
      <c r="H98" s="24">
        <v>22.7</v>
      </c>
      <c r="I98" s="24">
        <v>2883.29</v>
      </c>
      <c r="J98" s="22" t="s">
        <v>104</v>
      </c>
      <c r="K98" s="22" t="s">
        <v>151</v>
      </c>
      <c r="L98" t="str">
        <f>VLOOKUP(D98,Products!A:F,3,FALSE())</f>
        <v>Home</v>
      </c>
      <c r="M98" t="str">
        <f>VLOOKUP(C98,Customers!A:F,5,FALSE())</f>
        <v>Retail</v>
      </c>
      <c r="O98" t="str">
        <f>IFERROR(VLOOKUP(E98,Sales_Reps!$A:$C,3,FALSE()),"")</f>
        <v/>
      </c>
      <c r="P98">
        <f>IFERROR(VLOOKUP(C98,Customers!$A:$C,3,FALSE()),"")</f>
        <v>53</v>
      </c>
      <c r="Q98" t="str">
        <f t="shared" si="1"/>
        <v>Feb-24</v>
      </c>
      <c r="R98">
        <f>IFERROR((VLOOKUP(D98,Products!$A:$E,5,FALSE())-VLOOKUP(D98,Products!$A:$E,4,FALSE()))/VLOOKUP(D98,Products!$A:$E,5,FALSE()),"")</f>
        <v>0.42761394101876676</v>
      </c>
    </row>
    <row r="99" spans="1:18" x14ac:dyDescent="0.3">
      <c r="A99" s="22" t="s">
        <v>432</v>
      </c>
      <c r="B99" s="23">
        <v>45373</v>
      </c>
      <c r="C99" s="22" t="s">
        <v>364</v>
      </c>
      <c r="D99" s="22" t="s">
        <v>157</v>
      </c>
      <c r="E99" s="22" t="s">
        <v>433</v>
      </c>
      <c r="F99" s="24">
        <v>10</v>
      </c>
      <c r="G99" s="24">
        <v>2600</v>
      </c>
      <c r="H99" s="24">
        <v>20.7</v>
      </c>
      <c r="I99" s="24">
        <v>20618</v>
      </c>
      <c r="J99" s="22" t="s">
        <v>104</v>
      </c>
      <c r="K99" s="22" t="s">
        <v>111</v>
      </c>
      <c r="L99" t="str">
        <f>VLOOKUP(D99,Products!A:F,3,FALSE())</f>
        <v>Electronics</v>
      </c>
      <c r="M99" t="str">
        <f>VLOOKUP(C99,Customers!A:F,5,FALSE())</f>
        <v>Retail</v>
      </c>
      <c r="O99" t="str">
        <f>IFERROR(VLOOKUP(E99,Sales_Reps!$A:$C,3,FALSE()),"")</f>
        <v/>
      </c>
      <c r="P99">
        <f>IFERROR(VLOOKUP(C99,Customers!$A:$C,3,FALSE()),"")</f>
        <v>41</v>
      </c>
      <c r="Q99" t="str">
        <f t="shared" si="1"/>
        <v>Mar-24</v>
      </c>
      <c r="R99">
        <f>IFERROR((VLOOKUP(D99,Products!$A:$E,5,FALSE())-VLOOKUP(D99,Products!$A:$E,4,FALSE()))/VLOOKUP(D99,Products!$A:$E,5,FALSE()),"")</f>
        <v>0.5953846153846154</v>
      </c>
    </row>
    <row r="100" spans="1:18" x14ac:dyDescent="0.3">
      <c r="A100" s="22" t="s">
        <v>434</v>
      </c>
      <c r="B100" s="23">
        <v>45458</v>
      </c>
      <c r="C100" s="22" t="s">
        <v>435</v>
      </c>
      <c r="D100" s="22" t="s">
        <v>436</v>
      </c>
      <c r="E100" s="22" t="s">
        <v>437</v>
      </c>
      <c r="F100" s="24">
        <v>4</v>
      </c>
      <c r="G100" s="24">
        <v>4060</v>
      </c>
      <c r="H100" s="24">
        <v>13.9</v>
      </c>
      <c r="I100" s="24">
        <v>13982.64</v>
      </c>
      <c r="J100" s="22" t="s">
        <v>104</v>
      </c>
      <c r="K100" s="22" t="s">
        <v>129</v>
      </c>
      <c r="L100" t="str">
        <f>VLOOKUP(D100,Products!A:F,3,FALSE())</f>
        <v>Grocery</v>
      </c>
      <c r="M100" t="str">
        <f>VLOOKUP(C100,Customers!A:F,5,FALSE())</f>
        <v>SMB</v>
      </c>
      <c r="O100" t="str">
        <f>IFERROR(VLOOKUP(E100,Sales_Reps!$A:$C,3,FALSE()),"")</f>
        <v/>
      </c>
      <c r="P100">
        <f>IFERROR(VLOOKUP(C100,Customers!$A:$C,3,FALSE()),"")</f>
        <v>22</v>
      </c>
      <c r="Q100" t="str">
        <f t="shared" si="1"/>
        <v>Jun-24</v>
      </c>
      <c r="R100">
        <f>IFERROR((VLOOKUP(D100,Products!$A:$E,5,FALSE())-VLOOKUP(D100,Products!$A:$E,4,FALSE()))/VLOOKUP(D100,Products!$A:$E,5,FALSE()),"")</f>
        <v>0.28300492610837441</v>
      </c>
    </row>
    <row r="101" spans="1:18" x14ac:dyDescent="0.3">
      <c r="A101" s="22" t="s">
        <v>438</v>
      </c>
      <c r="B101" s="23">
        <v>45426</v>
      </c>
      <c r="C101" s="22" t="s">
        <v>439</v>
      </c>
      <c r="D101" s="22" t="s">
        <v>283</v>
      </c>
      <c r="E101" s="22" t="s">
        <v>440</v>
      </c>
      <c r="F101" s="24">
        <v>6</v>
      </c>
      <c r="G101" s="24">
        <v>6080</v>
      </c>
      <c r="H101" s="24">
        <v>16.5</v>
      </c>
      <c r="I101" s="24">
        <v>30460.799999999999</v>
      </c>
      <c r="J101" s="22" t="s">
        <v>104</v>
      </c>
      <c r="K101" s="22" t="s">
        <v>111</v>
      </c>
      <c r="L101" t="str">
        <f>VLOOKUP(D101,Products!A:F,3,FALSE())</f>
        <v>Beauty</v>
      </c>
      <c r="M101" t="str">
        <f>VLOOKUP(C101,Customers!A:F,5,FALSE())</f>
        <v>Retail</v>
      </c>
      <c r="O101" t="str">
        <f>IFERROR(VLOOKUP(E101,Sales_Reps!$A:$C,3,FALSE()),"")</f>
        <v/>
      </c>
      <c r="P101">
        <f>IFERROR(VLOOKUP(C101,Customers!$A:$C,3,FALSE()),"")</f>
        <v>60</v>
      </c>
      <c r="Q101" t="str">
        <f t="shared" si="1"/>
        <v>May-24</v>
      </c>
      <c r="R101">
        <f>IFERROR((VLOOKUP(D101,Products!$A:$E,5,FALSE())-VLOOKUP(D101,Products!$A:$E,4,FALSE()))/VLOOKUP(D101,Products!$A:$E,5,FALSE()),"")</f>
        <v>0.56957236842105263</v>
      </c>
    </row>
    <row r="102" spans="1:18" x14ac:dyDescent="0.3">
      <c r="A102" s="22" t="s">
        <v>441</v>
      </c>
      <c r="B102" s="23">
        <v>45557</v>
      </c>
      <c r="C102" s="22" t="s">
        <v>223</v>
      </c>
      <c r="D102" s="22" t="s">
        <v>442</v>
      </c>
      <c r="E102" s="22" t="s">
        <v>443</v>
      </c>
      <c r="F102" s="24">
        <v>6</v>
      </c>
      <c r="G102" s="24">
        <v>2510</v>
      </c>
      <c r="H102" s="24">
        <v>11.7</v>
      </c>
      <c r="I102" s="24">
        <v>13297.98</v>
      </c>
      <c r="J102" s="22" t="s">
        <v>104</v>
      </c>
      <c r="K102" s="22" t="s">
        <v>105</v>
      </c>
      <c r="L102" t="str">
        <f>VLOOKUP(D102,Products!A:F,3,FALSE())</f>
        <v>Apparel</v>
      </c>
      <c r="M102" t="str">
        <f>VLOOKUP(C102,Customers!A:F,5,FALSE())</f>
        <v>SMB</v>
      </c>
      <c r="O102" t="str">
        <f>IFERROR(VLOOKUP(E102,Sales_Reps!$A:$C,3,FALSE()),"")</f>
        <v/>
      </c>
      <c r="P102">
        <f>IFERROR(VLOOKUP(C102,Customers!$A:$C,3,FALSE()),"")</f>
        <v>44</v>
      </c>
      <c r="Q102" t="str">
        <f t="shared" si="1"/>
        <v>Sep-24</v>
      </c>
      <c r="R102">
        <f>IFERROR((VLOOKUP(D102,Products!$A:$E,5,FALSE())-VLOOKUP(D102,Products!$A:$E,4,FALSE()))/VLOOKUP(D102,Products!$A:$E,5,FALSE()),"")</f>
        <v>0.57171314741035861</v>
      </c>
    </row>
    <row r="103" spans="1:18" x14ac:dyDescent="0.3">
      <c r="A103" s="22" t="s">
        <v>444</v>
      </c>
      <c r="B103" s="23">
        <v>45509</v>
      </c>
      <c r="C103" s="22" t="s">
        <v>445</v>
      </c>
      <c r="D103" s="22" t="s">
        <v>162</v>
      </c>
      <c r="E103" s="22" t="s">
        <v>446</v>
      </c>
      <c r="F103" s="24">
        <v>5</v>
      </c>
      <c r="G103" s="24">
        <v>3250</v>
      </c>
      <c r="H103" s="24">
        <v>18.399999999999999</v>
      </c>
      <c r="I103" s="24">
        <v>13260</v>
      </c>
      <c r="J103" s="22" t="s">
        <v>104</v>
      </c>
      <c r="K103" s="22" t="s">
        <v>116</v>
      </c>
      <c r="L103" t="str">
        <f>VLOOKUP(D103,Products!A:F,3,FALSE())</f>
        <v>Home</v>
      </c>
      <c r="M103" t="str">
        <f>VLOOKUP(C103,Customers!A:F,5,FALSE())</f>
        <v>SMB</v>
      </c>
      <c r="O103" t="str">
        <f>IFERROR(VLOOKUP(E103,Sales_Reps!$A:$C,3,FALSE()),"")</f>
        <v/>
      </c>
      <c r="P103">
        <f>IFERROR(VLOOKUP(C103,Customers!$A:$C,3,FALSE()),"")</f>
        <v>38</v>
      </c>
      <c r="Q103" t="str">
        <f t="shared" si="1"/>
        <v>Aug-24</v>
      </c>
      <c r="R103">
        <f>IFERROR((VLOOKUP(D103,Products!$A:$E,5,FALSE())-VLOOKUP(D103,Products!$A:$E,4,FALSE()))/VLOOKUP(D103,Products!$A:$E,5,FALSE()),"")</f>
        <v>0.52123076923076928</v>
      </c>
    </row>
    <row r="104" spans="1:18" x14ac:dyDescent="0.3">
      <c r="A104" s="22" t="s">
        <v>447</v>
      </c>
      <c r="B104" s="23">
        <v>45329</v>
      </c>
      <c r="C104" s="22" t="s">
        <v>448</v>
      </c>
      <c r="D104" s="22" t="s">
        <v>449</v>
      </c>
      <c r="E104" s="22" t="s">
        <v>450</v>
      </c>
      <c r="F104" s="24">
        <v>4</v>
      </c>
      <c r="G104" s="24">
        <v>5410</v>
      </c>
      <c r="H104" s="24">
        <v>9.8000000000000007</v>
      </c>
      <c r="I104" s="24">
        <v>19519.28</v>
      </c>
      <c r="J104" s="22" t="s">
        <v>159</v>
      </c>
      <c r="K104" s="22" t="s">
        <v>116</v>
      </c>
      <c r="L104" t="str">
        <f>VLOOKUP(D104,Products!A:F,3,FALSE())</f>
        <v>Sports</v>
      </c>
      <c r="M104" t="str">
        <f>VLOOKUP(C104,Customers!A:F,5,FALSE())</f>
        <v>SMB</v>
      </c>
      <c r="O104" t="str">
        <f>IFERROR(VLOOKUP(E104,Sales_Reps!$A:$C,3,FALSE()),"")</f>
        <v/>
      </c>
      <c r="P104">
        <f>IFERROR(VLOOKUP(C104,Customers!$A:$C,3,FALSE()),"")</f>
        <v>28</v>
      </c>
      <c r="Q104" t="str">
        <f t="shared" si="1"/>
        <v>Feb-24</v>
      </c>
      <c r="R104">
        <f>IFERROR((VLOOKUP(D104,Products!$A:$E,5,FALSE())-VLOOKUP(D104,Products!$A:$E,4,FALSE()))/VLOOKUP(D104,Products!$A:$E,5,FALSE()),"")</f>
        <v>0.58133086876155271</v>
      </c>
    </row>
    <row r="105" spans="1:18" x14ac:dyDescent="0.3">
      <c r="A105" s="22" t="s">
        <v>451</v>
      </c>
      <c r="B105" s="23">
        <v>45411</v>
      </c>
      <c r="C105" s="22" t="s">
        <v>452</v>
      </c>
      <c r="D105" s="22" t="s">
        <v>216</v>
      </c>
      <c r="E105" s="22" t="s">
        <v>453</v>
      </c>
      <c r="F105" s="24">
        <v>8</v>
      </c>
      <c r="G105" s="24">
        <v>3570</v>
      </c>
      <c r="H105" s="24">
        <v>11.1</v>
      </c>
      <c r="I105" s="24">
        <v>25389.84</v>
      </c>
      <c r="J105" s="22" t="s">
        <v>104</v>
      </c>
      <c r="K105" s="22" t="s">
        <v>111</v>
      </c>
      <c r="L105" t="str">
        <f>VLOOKUP(D105,Products!A:F,3,FALSE())</f>
        <v>Electronics</v>
      </c>
      <c r="M105" t="str">
        <f>VLOOKUP(C105,Customers!A:F,5,FALSE())</f>
        <v>Corporate</v>
      </c>
      <c r="O105" t="str">
        <f>IFERROR(VLOOKUP(E105,Sales_Reps!$A:$C,3,FALSE()),"")</f>
        <v/>
      </c>
      <c r="P105">
        <f>IFERROR(VLOOKUP(C105,Customers!$A:$C,3,FALSE()),"")</f>
        <v>51</v>
      </c>
      <c r="Q105" t="str">
        <f t="shared" si="1"/>
        <v>Apr-24</v>
      </c>
      <c r="R105">
        <f>IFERROR((VLOOKUP(D105,Products!$A:$E,5,FALSE())-VLOOKUP(D105,Products!$A:$E,4,FALSE()))/VLOOKUP(D105,Products!$A:$E,5,FALSE()),"")</f>
        <v>0.53361344537815125</v>
      </c>
    </row>
    <row r="106" spans="1:18" x14ac:dyDescent="0.3">
      <c r="A106" s="22" t="s">
        <v>454</v>
      </c>
      <c r="B106" s="23">
        <v>45297</v>
      </c>
      <c r="C106" s="22" t="s">
        <v>435</v>
      </c>
      <c r="D106" s="22" t="s">
        <v>455</v>
      </c>
      <c r="E106" s="22" t="s">
        <v>456</v>
      </c>
      <c r="F106" s="24">
        <v>10</v>
      </c>
      <c r="G106" s="24">
        <v>5330</v>
      </c>
      <c r="H106" s="24">
        <v>21.2</v>
      </c>
      <c r="I106" s="24">
        <v>42000.4</v>
      </c>
      <c r="J106" s="22" t="s">
        <v>104</v>
      </c>
      <c r="K106" s="22" t="s">
        <v>129</v>
      </c>
      <c r="L106" t="str">
        <f>VLOOKUP(D106,Products!A:F,3,FALSE())</f>
        <v>Electronics</v>
      </c>
      <c r="M106" t="str">
        <f>VLOOKUP(C106,Customers!A:F,5,FALSE())</f>
        <v>SMB</v>
      </c>
      <c r="O106" t="str">
        <f>IFERROR(VLOOKUP(E106,Sales_Reps!$A:$C,3,FALSE()),"")</f>
        <v/>
      </c>
      <c r="P106">
        <f>IFERROR(VLOOKUP(C106,Customers!$A:$C,3,FALSE()),"")</f>
        <v>22</v>
      </c>
      <c r="Q106" t="str">
        <f t="shared" si="1"/>
        <v>Jan-24</v>
      </c>
      <c r="R106">
        <f>IFERROR((VLOOKUP(D106,Products!$A:$E,5,FALSE())-VLOOKUP(D106,Products!$A:$E,4,FALSE()))/VLOOKUP(D106,Products!$A:$E,5,FALSE()),"")</f>
        <v>0.54878048780487809</v>
      </c>
    </row>
    <row r="107" spans="1:18" x14ac:dyDescent="0.3">
      <c r="A107" s="22" t="s">
        <v>457</v>
      </c>
      <c r="B107" s="23">
        <v>45640</v>
      </c>
      <c r="C107" s="22" t="s">
        <v>458</v>
      </c>
      <c r="D107" s="22" t="s">
        <v>459</v>
      </c>
      <c r="E107" s="22" t="s">
        <v>460</v>
      </c>
      <c r="F107" s="24">
        <v>4</v>
      </c>
      <c r="G107" s="24">
        <v>2380</v>
      </c>
      <c r="H107" s="24">
        <v>26.2</v>
      </c>
      <c r="I107" s="24">
        <v>7025.76</v>
      </c>
      <c r="J107" s="22" t="s">
        <v>104</v>
      </c>
      <c r="K107" s="22" t="s">
        <v>129</v>
      </c>
      <c r="L107" t="str">
        <f>VLOOKUP(D107,Products!A:F,3,FALSE())</f>
        <v>Grocery</v>
      </c>
      <c r="M107" t="str">
        <f>VLOOKUP(C107,Customers!A:F,5,FALSE())</f>
        <v>Retail</v>
      </c>
      <c r="O107" t="str">
        <f>IFERROR(VLOOKUP(E107,Sales_Reps!$A:$C,3,FALSE()),"")</f>
        <v/>
      </c>
      <c r="P107">
        <f>IFERROR(VLOOKUP(C107,Customers!$A:$C,3,FALSE()),"")</f>
        <v>25</v>
      </c>
      <c r="Q107" t="str">
        <f t="shared" si="1"/>
        <v>Dec-24</v>
      </c>
      <c r="R107">
        <f>IFERROR((VLOOKUP(D107,Products!$A:$E,5,FALSE())-VLOOKUP(D107,Products!$A:$E,4,FALSE()))/VLOOKUP(D107,Products!$A:$E,5,FALSE()),"")</f>
        <v>0.50336134453781511</v>
      </c>
    </row>
    <row r="108" spans="1:18" x14ac:dyDescent="0.3">
      <c r="A108" s="22" t="s">
        <v>461</v>
      </c>
      <c r="B108" s="23">
        <v>45322</v>
      </c>
      <c r="C108" s="22" t="s">
        <v>462</v>
      </c>
      <c r="D108" s="22" t="s">
        <v>209</v>
      </c>
      <c r="E108" s="22" t="s">
        <v>463</v>
      </c>
      <c r="F108" s="24">
        <v>1</v>
      </c>
      <c r="G108" s="24">
        <v>1010</v>
      </c>
      <c r="H108" s="24">
        <v>19.5</v>
      </c>
      <c r="I108" s="24">
        <v>813.05</v>
      </c>
      <c r="J108" s="22" t="s">
        <v>159</v>
      </c>
      <c r="K108" s="22" t="s">
        <v>111</v>
      </c>
      <c r="L108" t="str">
        <f>VLOOKUP(D108,Products!A:F,3,FALSE())</f>
        <v>Sports</v>
      </c>
      <c r="M108" t="str">
        <f>VLOOKUP(C108,Customers!A:F,5,FALSE())</f>
        <v>SMB</v>
      </c>
      <c r="O108" t="str">
        <f>IFERROR(VLOOKUP(E108,Sales_Reps!$A:$C,3,FALSE()),"")</f>
        <v/>
      </c>
      <c r="P108">
        <f>IFERROR(VLOOKUP(C108,Customers!$A:$C,3,FALSE()),"")</f>
        <v>62</v>
      </c>
      <c r="Q108" t="str">
        <f t="shared" si="1"/>
        <v>Jan-24</v>
      </c>
      <c r="R108">
        <f>IFERROR((VLOOKUP(D108,Products!$A:$E,5,FALSE())-VLOOKUP(D108,Products!$A:$E,4,FALSE()))/VLOOKUP(D108,Products!$A:$E,5,FALSE()),"")</f>
        <v>0.4891089108910891</v>
      </c>
    </row>
    <row r="109" spans="1:18" x14ac:dyDescent="0.3">
      <c r="A109" s="22" t="s">
        <v>464</v>
      </c>
      <c r="B109" s="23">
        <v>45414</v>
      </c>
      <c r="C109" s="22" t="s">
        <v>465</v>
      </c>
      <c r="D109" s="22" t="s">
        <v>119</v>
      </c>
      <c r="E109" s="22" t="s">
        <v>466</v>
      </c>
      <c r="F109" s="24">
        <v>1</v>
      </c>
      <c r="G109" s="24">
        <v>3660</v>
      </c>
      <c r="H109" s="24">
        <v>1.3</v>
      </c>
      <c r="I109" s="24">
        <v>3612.42</v>
      </c>
      <c r="J109" s="22" t="s">
        <v>104</v>
      </c>
      <c r="K109" s="22" t="s">
        <v>129</v>
      </c>
      <c r="L109" t="str">
        <f>VLOOKUP(D109,Products!A:F,3,FALSE())</f>
        <v>Grocery</v>
      </c>
      <c r="M109" t="str">
        <f>VLOOKUP(C109,Customers!A:F,5,FALSE())</f>
        <v>Retail</v>
      </c>
      <c r="O109" t="str">
        <f>IFERROR(VLOOKUP(E109,Sales_Reps!$A:$C,3,FALSE()),"")</f>
        <v/>
      </c>
      <c r="P109">
        <f>IFERROR(VLOOKUP(C109,Customers!$A:$C,3,FALSE()),"")</f>
        <v>42</v>
      </c>
      <c r="Q109" t="str">
        <f t="shared" si="1"/>
        <v>May-24</v>
      </c>
      <c r="R109">
        <f>IFERROR((VLOOKUP(D109,Products!$A:$E,5,FALSE())-VLOOKUP(D109,Products!$A:$E,4,FALSE()))/VLOOKUP(D109,Products!$A:$E,5,FALSE()),"")</f>
        <v>0.39508196721311473</v>
      </c>
    </row>
    <row r="110" spans="1:18" x14ac:dyDescent="0.3">
      <c r="A110" s="22" t="s">
        <v>467</v>
      </c>
      <c r="B110" s="23">
        <v>45592</v>
      </c>
      <c r="C110" s="22" t="s">
        <v>468</v>
      </c>
      <c r="D110" s="22" t="s">
        <v>315</v>
      </c>
      <c r="E110" s="22" t="s">
        <v>469</v>
      </c>
      <c r="F110" s="24">
        <v>2</v>
      </c>
      <c r="G110" s="24">
        <v>4070</v>
      </c>
      <c r="H110" s="24">
        <v>29</v>
      </c>
      <c r="I110" s="24">
        <v>5779.4</v>
      </c>
      <c r="J110" s="22" t="s">
        <v>159</v>
      </c>
      <c r="K110" s="22" t="s">
        <v>105</v>
      </c>
      <c r="L110" t="str">
        <f>VLOOKUP(D110,Products!A:F,3,FALSE())</f>
        <v>Grocery</v>
      </c>
      <c r="M110" t="str">
        <f>VLOOKUP(C110,Customers!A:F,5,FALSE())</f>
        <v>Retail</v>
      </c>
      <c r="O110" t="str">
        <f>IFERROR(VLOOKUP(E110,Sales_Reps!$A:$C,3,FALSE()),"")</f>
        <v/>
      </c>
      <c r="P110">
        <f>IFERROR(VLOOKUP(C110,Customers!$A:$C,3,FALSE()),"")</f>
        <v>43</v>
      </c>
      <c r="Q110" t="str">
        <f t="shared" si="1"/>
        <v>Oct-24</v>
      </c>
      <c r="R110">
        <f>IFERROR((VLOOKUP(D110,Products!$A:$E,5,FALSE())-VLOOKUP(D110,Products!$A:$E,4,FALSE()))/VLOOKUP(D110,Products!$A:$E,5,FALSE()),"")</f>
        <v>0.50196560196560192</v>
      </c>
    </row>
    <row r="111" spans="1:18" x14ac:dyDescent="0.3">
      <c r="A111" s="22" t="s">
        <v>470</v>
      </c>
      <c r="B111" s="23">
        <v>45439</v>
      </c>
      <c r="C111" s="22" t="s">
        <v>219</v>
      </c>
      <c r="D111" s="22" t="s">
        <v>234</v>
      </c>
      <c r="E111" s="22" t="s">
        <v>471</v>
      </c>
      <c r="F111" s="24">
        <v>6</v>
      </c>
      <c r="G111" s="24">
        <v>660</v>
      </c>
      <c r="H111" s="24">
        <v>20.2</v>
      </c>
      <c r="I111" s="24">
        <v>3160.08</v>
      </c>
      <c r="J111" s="22" t="s">
        <v>110</v>
      </c>
      <c r="K111" s="22" t="s">
        <v>151</v>
      </c>
      <c r="L111" t="str">
        <f>VLOOKUP(D111,Products!A:F,3,FALSE())</f>
        <v>Home</v>
      </c>
      <c r="M111" t="str">
        <f>VLOOKUP(C111,Customers!A:F,5,FALSE())</f>
        <v>Corporate</v>
      </c>
      <c r="O111" t="str">
        <f>IFERROR(VLOOKUP(E111,Sales_Reps!$A:$C,3,FALSE()),"")</f>
        <v/>
      </c>
      <c r="P111">
        <f>IFERROR(VLOOKUP(C111,Customers!$A:$C,3,FALSE()),"")</f>
        <v>56</v>
      </c>
      <c r="Q111" t="str">
        <f t="shared" si="1"/>
        <v>May-24</v>
      </c>
      <c r="R111">
        <f>IFERROR((VLOOKUP(D111,Products!$A:$E,5,FALSE())-VLOOKUP(D111,Products!$A:$E,4,FALSE()))/VLOOKUP(D111,Products!$A:$E,5,FALSE()),"")</f>
        <v>0.50151515151515147</v>
      </c>
    </row>
    <row r="112" spans="1:18" x14ac:dyDescent="0.3">
      <c r="A112" s="22" t="s">
        <v>472</v>
      </c>
      <c r="B112" s="23">
        <v>45486</v>
      </c>
      <c r="C112" s="22" t="s">
        <v>473</v>
      </c>
      <c r="D112" s="22" t="s">
        <v>186</v>
      </c>
      <c r="E112" s="22" t="s">
        <v>474</v>
      </c>
      <c r="F112" s="24">
        <v>3</v>
      </c>
      <c r="G112" s="24">
        <v>1080</v>
      </c>
      <c r="H112" s="24">
        <v>29.7</v>
      </c>
      <c r="I112" s="24">
        <v>2277.7199999999998</v>
      </c>
      <c r="J112" s="22" t="s">
        <v>104</v>
      </c>
      <c r="K112" s="22" t="s">
        <v>134</v>
      </c>
      <c r="L112" t="str">
        <f>VLOOKUP(D112,Products!A:F,3,FALSE())</f>
        <v>Home</v>
      </c>
      <c r="M112" t="str">
        <f>VLOOKUP(C112,Customers!A:F,5,FALSE())</f>
        <v>SMB</v>
      </c>
      <c r="O112" t="str">
        <f>IFERROR(VLOOKUP(E112,Sales_Reps!$A:$C,3,FALSE()),"")</f>
        <v/>
      </c>
      <c r="P112">
        <f>IFERROR(VLOOKUP(C112,Customers!$A:$C,3,FALSE()),"")</f>
        <v>44</v>
      </c>
      <c r="Q112" t="str">
        <f t="shared" si="1"/>
        <v>Jul-24</v>
      </c>
      <c r="R112">
        <f>IFERROR((VLOOKUP(D112,Products!$A:$E,5,FALSE())-VLOOKUP(D112,Products!$A:$E,4,FALSE()))/VLOOKUP(D112,Products!$A:$E,5,FALSE()),"")</f>
        <v>0.51944444444444449</v>
      </c>
    </row>
    <row r="113" spans="1:18" x14ac:dyDescent="0.3">
      <c r="A113" s="22" t="s">
        <v>475</v>
      </c>
      <c r="B113" s="23">
        <v>45629</v>
      </c>
      <c r="C113" s="22" t="s">
        <v>476</v>
      </c>
      <c r="D113" s="22" t="s">
        <v>108</v>
      </c>
      <c r="E113" s="22" t="s">
        <v>477</v>
      </c>
      <c r="F113" s="24">
        <v>7</v>
      </c>
      <c r="G113" s="24">
        <v>820</v>
      </c>
      <c r="H113" s="24">
        <v>13.5</v>
      </c>
      <c r="I113" s="24">
        <v>4965.1000000000004</v>
      </c>
      <c r="J113" s="22" t="s">
        <v>159</v>
      </c>
      <c r="K113" s="22" t="s">
        <v>111</v>
      </c>
      <c r="L113" t="str">
        <f>VLOOKUP(D113,Products!A:F,3,FALSE())</f>
        <v>Apparel</v>
      </c>
      <c r="M113" t="str">
        <f>VLOOKUP(C113,Customers!A:F,5,FALSE())</f>
        <v>SMB</v>
      </c>
      <c r="O113" t="str">
        <f>IFERROR(VLOOKUP(E113,Sales_Reps!$A:$C,3,FALSE()),"")</f>
        <v/>
      </c>
      <c r="P113">
        <f>IFERROR(VLOOKUP(C113,Customers!$A:$C,3,FALSE()),"")</f>
        <v>53</v>
      </c>
      <c r="Q113" t="str">
        <f t="shared" si="1"/>
        <v>Dec-24</v>
      </c>
      <c r="R113">
        <f>IFERROR((VLOOKUP(D113,Products!$A:$E,5,FALSE())-VLOOKUP(D113,Products!$A:$E,4,FALSE()))/VLOOKUP(D113,Products!$A:$E,5,FALSE()),"")</f>
        <v>0.52317073170731709</v>
      </c>
    </row>
    <row r="114" spans="1:18" x14ac:dyDescent="0.3">
      <c r="A114" s="22" t="s">
        <v>478</v>
      </c>
      <c r="B114" s="23">
        <v>45394</v>
      </c>
      <c r="C114" s="22" t="s">
        <v>156</v>
      </c>
      <c r="D114" s="22" t="s">
        <v>479</v>
      </c>
      <c r="E114" s="22" t="s">
        <v>480</v>
      </c>
      <c r="F114" s="24">
        <v>4</v>
      </c>
      <c r="G114" s="24">
        <v>960</v>
      </c>
      <c r="H114" s="24">
        <v>26</v>
      </c>
      <c r="I114" s="24">
        <v>2841.6</v>
      </c>
      <c r="J114" s="22" t="s">
        <v>104</v>
      </c>
      <c r="K114" s="22" t="s">
        <v>116</v>
      </c>
      <c r="L114" t="str">
        <f>VLOOKUP(D114,Products!A:F,3,FALSE())</f>
        <v>Beauty</v>
      </c>
      <c r="M114" t="str">
        <f>VLOOKUP(C114,Customers!A:F,5,FALSE())</f>
        <v>SMB</v>
      </c>
      <c r="O114" t="str">
        <f>IFERROR(VLOOKUP(E114,Sales_Reps!$A:$C,3,FALSE()),"")</f>
        <v/>
      </c>
      <c r="P114">
        <f>IFERROR(VLOOKUP(C114,Customers!$A:$C,3,FALSE()),"")</f>
        <v>27</v>
      </c>
      <c r="Q114" t="str">
        <f t="shared" si="1"/>
        <v>Apr-24</v>
      </c>
      <c r="R114">
        <f>IFERROR((VLOOKUP(D114,Products!$A:$E,5,FALSE())-VLOOKUP(D114,Products!$A:$E,4,FALSE()))/VLOOKUP(D114,Products!$A:$E,5,FALSE()),"")</f>
        <v>0.296875</v>
      </c>
    </row>
    <row r="115" spans="1:18" x14ac:dyDescent="0.3">
      <c r="A115" s="22" t="s">
        <v>481</v>
      </c>
      <c r="B115" s="23">
        <v>45453</v>
      </c>
      <c r="C115" s="22" t="s">
        <v>482</v>
      </c>
      <c r="D115" s="22" t="s">
        <v>157</v>
      </c>
      <c r="E115" s="22" t="s">
        <v>483</v>
      </c>
      <c r="F115" s="24">
        <v>3</v>
      </c>
      <c r="G115" s="24">
        <v>2600</v>
      </c>
      <c r="H115" s="24">
        <v>18.2</v>
      </c>
      <c r="I115" s="24">
        <v>6380.4</v>
      </c>
      <c r="J115" s="22" t="s">
        <v>104</v>
      </c>
      <c r="K115" s="22" t="s">
        <v>116</v>
      </c>
      <c r="L115" t="str">
        <f>VLOOKUP(D115,Products!A:F,3,FALSE())</f>
        <v>Electronics</v>
      </c>
      <c r="M115" t="str">
        <f>VLOOKUP(C115,Customers!A:F,5,FALSE())</f>
        <v>Corporate</v>
      </c>
      <c r="O115" t="str">
        <f>IFERROR(VLOOKUP(E115,Sales_Reps!$A:$C,3,FALSE()),"")</f>
        <v/>
      </c>
      <c r="P115">
        <f>IFERROR(VLOOKUP(C115,Customers!$A:$C,3,FALSE()),"")</f>
        <v>27</v>
      </c>
      <c r="Q115" t="str">
        <f t="shared" si="1"/>
        <v>Jun-24</v>
      </c>
      <c r="R115">
        <f>IFERROR((VLOOKUP(D115,Products!$A:$E,5,FALSE())-VLOOKUP(D115,Products!$A:$E,4,FALSE()))/VLOOKUP(D115,Products!$A:$E,5,FALSE()),"")</f>
        <v>0.5953846153846154</v>
      </c>
    </row>
    <row r="116" spans="1:18" x14ac:dyDescent="0.3">
      <c r="A116" s="22" t="s">
        <v>484</v>
      </c>
      <c r="B116" s="23">
        <v>45370</v>
      </c>
      <c r="C116" s="22" t="s">
        <v>170</v>
      </c>
      <c r="D116" s="22" t="s">
        <v>356</v>
      </c>
      <c r="E116" s="22" t="s">
        <v>485</v>
      </c>
      <c r="F116" s="24">
        <v>9</v>
      </c>
      <c r="G116" s="24">
        <v>2030</v>
      </c>
      <c r="H116" s="24">
        <v>26.1</v>
      </c>
      <c r="I116" s="24">
        <v>13501.53</v>
      </c>
      <c r="J116" s="22" t="s">
        <v>104</v>
      </c>
      <c r="K116" s="22" t="s">
        <v>105</v>
      </c>
      <c r="L116" t="str">
        <f>VLOOKUP(D116,Products!A:F,3,FALSE())</f>
        <v>Home</v>
      </c>
      <c r="M116" t="str">
        <f>VLOOKUP(C116,Customers!A:F,5,FALSE())</f>
        <v>Retail</v>
      </c>
      <c r="O116" t="str">
        <f>IFERROR(VLOOKUP(E116,Sales_Reps!$A:$C,3,FALSE()),"")</f>
        <v/>
      </c>
      <c r="P116">
        <f>IFERROR(VLOOKUP(C116,Customers!$A:$C,3,FALSE()),"")</f>
        <v>63</v>
      </c>
      <c r="Q116" t="str">
        <f t="shared" si="1"/>
        <v>Mar-24</v>
      </c>
      <c r="R116">
        <f>IFERROR((VLOOKUP(D116,Products!$A:$E,5,FALSE())-VLOOKUP(D116,Products!$A:$E,4,FALSE()))/VLOOKUP(D116,Products!$A:$E,5,FALSE()),"")</f>
        <v>0.43694581280788175</v>
      </c>
    </row>
    <row r="117" spans="1:18" x14ac:dyDescent="0.3">
      <c r="A117" s="22" t="s">
        <v>486</v>
      </c>
      <c r="B117" s="23">
        <v>45597</v>
      </c>
      <c r="C117" s="22" t="s">
        <v>487</v>
      </c>
      <c r="D117" s="22" t="s">
        <v>488</v>
      </c>
      <c r="E117" s="22" t="s">
        <v>489</v>
      </c>
      <c r="F117" s="24">
        <v>8</v>
      </c>
      <c r="G117" s="24">
        <v>2290</v>
      </c>
      <c r="H117" s="24">
        <v>20.8</v>
      </c>
      <c r="I117" s="24">
        <v>14509.44</v>
      </c>
      <c r="J117" s="22" t="s">
        <v>104</v>
      </c>
      <c r="K117" s="22" t="s">
        <v>134</v>
      </c>
      <c r="L117" t="str">
        <f>VLOOKUP(D117,Products!A:F,3,FALSE())</f>
        <v>Beauty</v>
      </c>
      <c r="M117" t="str">
        <f>VLOOKUP(C117,Customers!A:F,5,FALSE())</f>
        <v>Retail</v>
      </c>
      <c r="O117" t="str">
        <f>IFERROR(VLOOKUP(E117,Sales_Reps!$A:$C,3,FALSE()),"")</f>
        <v/>
      </c>
      <c r="P117">
        <f>IFERROR(VLOOKUP(C117,Customers!$A:$C,3,FALSE()),"")</f>
        <v>23</v>
      </c>
      <c r="Q117" t="str">
        <f t="shared" si="1"/>
        <v>Nov-24</v>
      </c>
      <c r="R117">
        <f>IFERROR((VLOOKUP(D117,Products!$A:$E,5,FALSE())-VLOOKUP(D117,Products!$A:$E,4,FALSE()))/VLOOKUP(D117,Products!$A:$E,5,FALSE()),"")</f>
        <v>0.46768558951965067</v>
      </c>
    </row>
    <row r="118" spans="1:18" x14ac:dyDescent="0.3">
      <c r="A118" s="22" t="s">
        <v>490</v>
      </c>
      <c r="B118" s="23">
        <v>45531</v>
      </c>
      <c r="C118" s="22" t="s">
        <v>491</v>
      </c>
      <c r="D118" s="22" t="s">
        <v>265</v>
      </c>
      <c r="E118" s="22" t="s">
        <v>492</v>
      </c>
      <c r="F118" s="24">
        <v>3</v>
      </c>
      <c r="G118" s="24">
        <v>3730</v>
      </c>
      <c r="H118" s="24">
        <v>7.9</v>
      </c>
      <c r="I118" s="24">
        <v>10305.99</v>
      </c>
      <c r="J118" s="22" t="s">
        <v>104</v>
      </c>
      <c r="K118" s="22" t="s">
        <v>151</v>
      </c>
      <c r="L118" t="str">
        <f>VLOOKUP(D118,Products!A:F,3,FALSE())</f>
        <v>Home</v>
      </c>
      <c r="M118" t="str">
        <f>VLOOKUP(C118,Customers!A:F,5,FALSE())</f>
        <v>Retail</v>
      </c>
      <c r="O118" t="str">
        <f>IFERROR(VLOOKUP(E118,Sales_Reps!$A:$C,3,FALSE()),"")</f>
        <v/>
      </c>
      <c r="P118">
        <f>IFERROR(VLOOKUP(C118,Customers!$A:$C,3,FALSE()),"")</f>
        <v>44</v>
      </c>
      <c r="Q118" t="str">
        <f t="shared" si="1"/>
        <v>Aug-24</v>
      </c>
      <c r="R118">
        <f>IFERROR((VLOOKUP(D118,Products!$A:$E,5,FALSE())-VLOOKUP(D118,Products!$A:$E,4,FALSE()))/VLOOKUP(D118,Products!$A:$E,5,FALSE()),"")</f>
        <v>0.42761394101876676</v>
      </c>
    </row>
    <row r="119" spans="1:18" x14ac:dyDescent="0.3">
      <c r="A119" s="22" t="s">
        <v>493</v>
      </c>
      <c r="B119" s="23">
        <v>45596</v>
      </c>
      <c r="C119" s="22" t="s">
        <v>494</v>
      </c>
      <c r="D119" s="22" t="s">
        <v>338</v>
      </c>
      <c r="E119" s="22" t="s">
        <v>495</v>
      </c>
      <c r="F119" s="24">
        <v>1</v>
      </c>
      <c r="G119" s="24">
        <v>300</v>
      </c>
      <c r="H119" s="24">
        <v>16.899999999999999</v>
      </c>
      <c r="I119" s="24">
        <v>249.3</v>
      </c>
      <c r="J119" s="22" t="s">
        <v>110</v>
      </c>
      <c r="K119" s="22" t="s">
        <v>105</v>
      </c>
      <c r="L119" t="str">
        <f>VLOOKUP(D119,Products!A:F,3,FALSE())</f>
        <v>Electronics</v>
      </c>
      <c r="M119" t="str">
        <f>VLOOKUP(C119,Customers!A:F,5,FALSE())</f>
        <v>SMB</v>
      </c>
      <c r="O119" t="str">
        <f>IFERROR(VLOOKUP(E119,Sales_Reps!$A:$C,3,FALSE()),"")</f>
        <v/>
      </c>
      <c r="P119">
        <f>IFERROR(VLOOKUP(C119,Customers!$A:$C,3,FALSE()),"")</f>
        <v>54</v>
      </c>
      <c r="Q119" t="str">
        <f t="shared" si="1"/>
        <v>Oct-24</v>
      </c>
      <c r="R119">
        <f>IFERROR((VLOOKUP(D119,Products!$A:$E,5,FALSE())-VLOOKUP(D119,Products!$A:$E,4,FALSE()))/VLOOKUP(D119,Products!$A:$E,5,FALSE()),"")</f>
        <v>0.57333333333333336</v>
      </c>
    </row>
    <row r="120" spans="1:18" x14ac:dyDescent="0.3">
      <c r="A120" s="22" t="s">
        <v>496</v>
      </c>
      <c r="B120" s="23">
        <v>45420</v>
      </c>
      <c r="C120" s="22" t="s">
        <v>497</v>
      </c>
      <c r="D120" s="22" t="s">
        <v>338</v>
      </c>
      <c r="E120" s="22" t="s">
        <v>498</v>
      </c>
      <c r="F120" s="24">
        <v>3</v>
      </c>
      <c r="G120" s="24">
        <v>300</v>
      </c>
      <c r="H120" s="24">
        <v>0.6</v>
      </c>
      <c r="I120" s="24">
        <v>894.6</v>
      </c>
      <c r="J120" s="22" t="s">
        <v>104</v>
      </c>
      <c r="K120" s="22" t="s">
        <v>129</v>
      </c>
      <c r="L120" t="str">
        <f>VLOOKUP(D120,Products!A:F,3,FALSE())</f>
        <v>Electronics</v>
      </c>
      <c r="M120" t="str">
        <f>VLOOKUP(C120,Customers!A:F,5,FALSE())</f>
        <v>Retail</v>
      </c>
      <c r="O120" t="str">
        <f>IFERROR(VLOOKUP(E120,Sales_Reps!$A:$C,3,FALSE()),"")</f>
        <v/>
      </c>
      <c r="P120">
        <f>IFERROR(VLOOKUP(C120,Customers!$A:$C,3,FALSE()),"")</f>
        <v>50</v>
      </c>
      <c r="Q120" t="str">
        <f t="shared" si="1"/>
        <v>May-24</v>
      </c>
      <c r="R120">
        <f>IFERROR((VLOOKUP(D120,Products!$A:$E,5,FALSE())-VLOOKUP(D120,Products!$A:$E,4,FALSE()))/VLOOKUP(D120,Products!$A:$E,5,FALSE()),"")</f>
        <v>0.57333333333333336</v>
      </c>
    </row>
    <row r="121" spans="1:18" x14ac:dyDescent="0.3">
      <c r="A121" s="22" t="s">
        <v>499</v>
      </c>
      <c r="B121" s="23">
        <v>45329</v>
      </c>
      <c r="C121" s="22" t="s">
        <v>500</v>
      </c>
      <c r="D121" s="22" t="s">
        <v>205</v>
      </c>
      <c r="E121" s="22" t="s">
        <v>501</v>
      </c>
      <c r="F121" s="24">
        <v>6</v>
      </c>
      <c r="G121" s="24">
        <v>3350</v>
      </c>
      <c r="H121" s="24">
        <v>2.2999999999999998</v>
      </c>
      <c r="I121" s="24">
        <v>19637.7</v>
      </c>
      <c r="J121" s="22" t="s">
        <v>159</v>
      </c>
      <c r="K121" s="22" t="s">
        <v>134</v>
      </c>
      <c r="L121" t="str">
        <f>VLOOKUP(D121,Products!A:F,3,FALSE())</f>
        <v>Beauty</v>
      </c>
      <c r="M121" t="str">
        <f>VLOOKUP(C121,Customers!A:F,5,FALSE())</f>
        <v>SMB</v>
      </c>
      <c r="O121" t="str">
        <f>IFERROR(VLOOKUP(E121,Sales_Reps!$A:$C,3,FALSE()),"")</f>
        <v/>
      </c>
      <c r="P121">
        <f>IFERROR(VLOOKUP(C121,Customers!$A:$C,3,FALSE()),"")</f>
        <v>28</v>
      </c>
      <c r="Q121" t="str">
        <f t="shared" si="1"/>
        <v>Feb-24</v>
      </c>
      <c r="R121">
        <f>IFERROR((VLOOKUP(D121,Products!$A:$E,5,FALSE())-VLOOKUP(D121,Products!$A:$E,4,FALSE()))/VLOOKUP(D121,Products!$A:$E,5,FALSE()),"")</f>
        <v>0.48417910447761192</v>
      </c>
    </row>
    <row r="122" spans="1:18" x14ac:dyDescent="0.3">
      <c r="A122" s="22" t="s">
        <v>502</v>
      </c>
      <c r="B122" s="23">
        <v>45416</v>
      </c>
      <c r="C122" s="22" t="s">
        <v>174</v>
      </c>
      <c r="D122" s="22" t="s">
        <v>455</v>
      </c>
      <c r="E122" s="22" t="s">
        <v>503</v>
      </c>
      <c r="F122" s="24">
        <v>4</v>
      </c>
      <c r="G122" s="24">
        <v>5330</v>
      </c>
      <c r="H122" s="24">
        <v>29.3</v>
      </c>
      <c r="I122" s="24">
        <v>15073.24</v>
      </c>
      <c r="J122" s="22" t="s">
        <v>104</v>
      </c>
      <c r="K122" s="22" t="s">
        <v>134</v>
      </c>
      <c r="L122" t="str">
        <f>VLOOKUP(D122,Products!A:F,3,FALSE())</f>
        <v>Electronics</v>
      </c>
      <c r="M122" t="str">
        <f>VLOOKUP(C122,Customers!A:F,5,FALSE())</f>
        <v>SMB</v>
      </c>
      <c r="O122" t="str">
        <f>IFERROR(VLOOKUP(E122,Sales_Reps!$A:$C,3,FALSE()),"")</f>
        <v/>
      </c>
      <c r="P122">
        <f>IFERROR(VLOOKUP(C122,Customers!$A:$C,3,FALSE()),"")</f>
        <v>46</v>
      </c>
      <c r="Q122" t="str">
        <f t="shared" si="1"/>
        <v>May-24</v>
      </c>
      <c r="R122">
        <f>IFERROR((VLOOKUP(D122,Products!$A:$E,5,FALSE())-VLOOKUP(D122,Products!$A:$E,4,FALSE()))/VLOOKUP(D122,Products!$A:$E,5,FALSE()),"")</f>
        <v>0.54878048780487809</v>
      </c>
    </row>
    <row r="123" spans="1:18" x14ac:dyDescent="0.3">
      <c r="A123" s="22" t="s">
        <v>504</v>
      </c>
      <c r="B123" s="23">
        <v>45614</v>
      </c>
      <c r="C123" s="22" t="s">
        <v>505</v>
      </c>
      <c r="D123" s="22" t="s">
        <v>102</v>
      </c>
      <c r="E123" s="22" t="s">
        <v>506</v>
      </c>
      <c r="F123" s="24">
        <v>6</v>
      </c>
      <c r="G123" s="24">
        <v>3620</v>
      </c>
      <c r="H123" s="24">
        <v>10.8</v>
      </c>
      <c r="I123" s="24">
        <v>19374.240000000002</v>
      </c>
      <c r="J123" s="22" t="s">
        <v>104</v>
      </c>
      <c r="K123" s="22" t="s">
        <v>116</v>
      </c>
      <c r="L123" t="str">
        <f>VLOOKUP(D123,Products!A:F,3,FALSE())</f>
        <v>Apparel</v>
      </c>
      <c r="M123" t="str">
        <f>VLOOKUP(C123,Customers!A:F,5,FALSE())</f>
        <v>Retail</v>
      </c>
      <c r="O123" t="str">
        <f>IFERROR(VLOOKUP(E123,Sales_Reps!$A:$C,3,FALSE()),"")</f>
        <v/>
      </c>
      <c r="P123">
        <f>IFERROR(VLOOKUP(C123,Customers!$A:$C,3,FALSE()),"")</f>
        <v>30</v>
      </c>
      <c r="Q123" t="str">
        <f t="shared" si="1"/>
        <v>Nov-24</v>
      </c>
      <c r="R123">
        <f>IFERROR((VLOOKUP(D123,Products!$A:$E,5,FALSE())-VLOOKUP(D123,Products!$A:$E,4,FALSE()))/VLOOKUP(D123,Products!$A:$E,5,FALSE()),"")</f>
        <v>0.3069060773480663</v>
      </c>
    </row>
    <row r="124" spans="1:18" x14ac:dyDescent="0.3">
      <c r="A124" s="22" t="s">
        <v>507</v>
      </c>
      <c r="B124" s="23">
        <v>45593</v>
      </c>
      <c r="C124" s="22" t="s">
        <v>508</v>
      </c>
      <c r="D124" s="22" t="s">
        <v>102</v>
      </c>
      <c r="E124" s="22" t="s">
        <v>509</v>
      </c>
      <c r="F124" s="24">
        <v>6</v>
      </c>
      <c r="G124" s="24">
        <v>3620</v>
      </c>
      <c r="H124" s="24">
        <v>21.7</v>
      </c>
      <c r="I124" s="24">
        <v>17006.759999999998</v>
      </c>
      <c r="J124" s="22" t="s">
        <v>104</v>
      </c>
      <c r="K124" s="22" t="s">
        <v>116</v>
      </c>
      <c r="L124" t="str">
        <f>VLOOKUP(D124,Products!A:F,3,FALSE())</f>
        <v>Apparel</v>
      </c>
      <c r="M124" t="str">
        <f>VLOOKUP(C124,Customers!A:F,5,FALSE())</f>
        <v>SMB</v>
      </c>
      <c r="O124" t="str">
        <f>IFERROR(VLOOKUP(E124,Sales_Reps!$A:$C,3,FALSE()),"")</f>
        <v/>
      </c>
      <c r="P124">
        <f>IFERROR(VLOOKUP(C124,Customers!$A:$C,3,FALSE()),"")</f>
        <v>53</v>
      </c>
      <c r="Q124" t="str">
        <f t="shared" si="1"/>
        <v>Oct-24</v>
      </c>
      <c r="R124">
        <f>IFERROR((VLOOKUP(D124,Products!$A:$E,5,FALSE())-VLOOKUP(D124,Products!$A:$E,4,FALSE()))/VLOOKUP(D124,Products!$A:$E,5,FALSE()),"")</f>
        <v>0.3069060773480663</v>
      </c>
    </row>
    <row r="125" spans="1:18" x14ac:dyDescent="0.3">
      <c r="A125" s="22" t="s">
        <v>510</v>
      </c>
      <c r="B125" s="23">
        <v>45360</v>
      </c>
      <c r="C125" s="22" t="s">
        <v>511</v>
      </c>
      <c r="D125" s="22" t="s">
        <v>132</v>
      </c>
      <c r="E125" s="22" t="s">
        <v>512</v>
      </c>
      <c r="F125" s="24">
        <v>8</v>
      </c>
      <c r="G125" s="24">
        <v>960</v>
      </c>
      <c r="H125" s="24">
        <v>27.9</v>
      </c>
      <c r="I125" s="24">
        <v>5537.28</v>
      </c>
      <c r="J125" s="22" t="s">
        <v>104</v>
      </c>
      <c r="K125" s="22" t="s">
        <v>111</v>
      </c>
      <c r="L125" t="str">
        <f>VLOOKUP(D125,Products!A:F,3,FALSE())</f>
        <v>Sports</v>
      </c>
      <c r="M125" t="str">
        <f>VLOOKUP(C125,Customers!A:F,5,FALSE())</f>
        <v>SMB</v>
      </c>
      <c r="O125" t="str">
        <f>IFERROR(VLOOKUP(E125,Sales_Reps!$A:$C,3,FALSE()),"")</f>
        <v/>
      </c>
      <c r="P125">
        <f>IFERROR(VLOOKUP(C125,Customers!$A:$C,3,FALSE()),"")</f>
        <v>51</v>
      </c>
      <c r="Q125" t="str">
        <f t="shared" si="1"/>
        <v>Mar-24</v>
      </c>
      <c r="R125">
        <f>IFERROR((VLOOKUP(D125,Products!$A:$E,5,FALSE())-VLOOKUP(D125,Products!$A:$E,4,FALSE()))/VLOOKUP(D125,Products!$A:$E,5,FALSE()),"")</f>
        <v>0.265625</v>
      </c>
    </row>
    <row r="126" spans="1:18" x14ac:dyDescent="0.3">
      <c r="A126" s="22" t="s">
        <v>513</v>
      </c>
      <c r="B126" s="23">
        <v>45628</v>
      </c>
      <c r="C126" s="22" t="s">
        <v>514</v>
      </c>
      <c r="D126" s="22" t="s">
        <v>201</v>
      </c>
      <c r="E126" s="22" t="s">
        <v>515</v>
      </c>
      <c r="F126" s="24">
        <v>5</v>
      </c>
      <c r="G126" s="24">
        <v>1650</v>
      </c>
      <c r="H126" s="24">
        <v>4.9000000000000004</v>
      </c>
      <c r="I126" s="24">
        <v>7845.75</v>
      </c>
      <c r="J126" s="22" t="s">
        <v>104</v>
      </c>
      <c r="K126" s="22" t="s">
        <v>134</v>
      </c>
      <c r="L126" t="str">
        <f>VLOOKUP(D126,Products!A:F,3,FALSE())</f>
        <v>Beauty</v>
      </c>
      <c r="M126" t="str">
        <f>VLOOKUP(C126,Customers!A:F,5,FALSE())</f>
        <v>Retail</v>
      </c>
      <c r="O126" t="str">
        <f>IFERROR(VLOOKUP(E126,Sales_Reps!$A:$C,3,FALSE()),"")</f>
        <v/>
      </c>
      <c r="P126">
        <f>IFERROR(VLOOKUP(C126,Customers!$A:$C,3,FALSE()),"")</f>
        <v>59</v>
      </c>
      <c r="Q126" t="str">
        <f t="shared" si="1"/>
        <v>Dec-24</v>
      </c>
      <c r="R126">
        <f>IFERROR((VLOOKUP(D126,Products!$A:$E,5,FALSE())-VLOOKUP(D126,Products!$A:$E,4,FALSE()))/VLOOKUP(D126,Products!$A:$E,5,FALSE()),"")</f>
        <v>0.2593939393939394</v>
      </c>
    </row>
    <row r="127" spans="1:18" x14ac:dyDescent="0.3">
      <c r="A127" s="22" t="s">
        <v>516</v>
      </c>
      <c r="B127" s="23">
        <v>45592</v>
      </c>
      <c r="C127" s="22" t="s">
        <v>517</v>
      </c>
      <c r="D127" s="22" t="s">
        <v>479</v>
      </c>
      <c r="E127" s="22" t="s">
        <v>518</v>
      </c>
      <c r="F127" s="24">
        <v>9</v>
      </c>
      <c r="G127" s="24">
        <v>960</v>
      </c>
      <c r="H127" s="24">
        <v>25.1</v>
      </c>
      <c r="I127" s="24">
        <v>6471.36</v>
      </c>
      <c r="J127" s="22" t="s">
        <v>164</v>
      </c>
      <c r="K127" s="22" t="s">
        <v>111</v>
      </c>
      <c r="L127" t="str">
        <f>VLOOKUP(D127,Products!A:F,3,FALSE())</f>
        <v>Beauty</v>
      </c>
      <c r="M127" t="str">
        <f>VLOOKUP(C127,Customers!A:F,5,FALSE())</f>
        <v>Corporate</v>
      </c>
      <c r="O127" t="str">
        <f>IFERROR(VLOOKUP(E127,Sales_Reps!$A:$C,3,FALSE()),"")</f>
        <v/>
      </c>
      <c r="P127">
        <f>IFERROR(VLOOKUP(C127,Customers!$A:$C,3,FALSE()),"")</f>
        <v>24</v>
      </c>
      <c r="Q127" t="str">
        <f t="shared" si="1"/>
        <v>Oct-24</v>
      </c>
      <c r="R127">
        <f>IFERROR((VLOOKUP(D127,Products!$A:$E,5,FALSE())-VLOOKUP(D127,Products!$A:$E,4,FALSE()))/VLOOKUP(D127,Products!$A:$E,5,FALSE()),"")</f>
        <v>0.296875</v>
      </c>
    </row>
    <row r="128" spans="1:18" x14ac:dyDescent="0.3">
      <c r="A128" s="22" t="s">
        <v>519</v>
      </c>
      <c r="B128" s="23">
        <v>45453</v>
      </c>
      <c r="C128" s="22" t="s">
        <v>520</v>
      </c>
      <c r="D128" s="22" t="s">
        <v>521</v>
      </c>
      <c r="E128" s="22" t="s">
        <v>522</v>
      </c>
      <c r="F128" s="24">
        <v>7</v>
      </c>
      <c r="G128" s="24">
        <v>3970</v>
      </c>
      <c r="H128" s="24">
        <v>13.8</v>
      </c>
      <c r="I128" s="24">
        <v>23954.98</v>
      </c>
      <c r="J128" s="22" t="s">
        <v>110</v>
      </c>
      <c r="K128" s="22" t="s">
        <v>105</v>
      </c>
      <c r="L128" t="str">
        <f>VLOOKUP(D128,Products!A:F,3,FALSE())</f>
        <v>Electronics</v>
      </c>
      <c r="M128" t="str">
        <f>VLOOKUP(C128,Customers!A:F,5,FALSE())</f>
        <v>SMB</v>
      </c>
      <c r="O128" t="str">
        <f>IFERROR(VLOOKUP(E128,Sales_Reps!$A:$C,3,FALSE()),"")</f>
        <v/>
      </c>
      <c r="P128">
        <f>IFERROR(VLOOKUP(C128,Customers!$A:$C,3,FALSE()),"")</f>
        <v>53</v>
      </c>
      <c r="Q128" t="str">
        <f t="shared" si="1"/>
        <v>Jun-24</v>
      </c>
      <c r="R128">
        <f>IFERROR((VLOOKUP(D128,Products!$A:$E,5,FALSE())-VLOOKUP(D128,Products!$A:$E,4,FALSE()))/VLOOKUP(D128,Products!$A:$E,5,FALSE()),"")</f>
        <v>0.27833753148614609</v>
      </c>
    </row>
    <row r="129" spans="1:18" x14ac:dyDescent="0.3">
      <c r="A129" s="22" t="s">
        <v>523</v>
      </c>
      <c r="B129" s="23">
        <v>45612</v>
      </c>
      <c r="C129" s="22" t="s">
        <v>361</v>
      </c>
      <c r="D129" s="22" t="s">
        <v>145</v>
      </c>
      <c r="E129" s="22" t="s">
        <v>524</v>
      </c>
      <c r="F129" s="24">
        <v>7</v>
      </c>
      <c r="G129" s="24">
        <v>970</v>
      </c>
      <c r="H129" s="24">
        <v>21.6</v>
      </c>
      <c r="I129" s="24">
        <v>5323.36</v>
      </c>
      <c r="J129" s="22" t="s">
        <v>110</v>
      </c>
      <c r="K129" s="22" t="s">
        <v>151</v>
      </c>
      <c r="L129" t="str">
        <f>VLOOKUP(D129,Products!A:F,3,FALSE())</f>
        <v>Grocery</v>
      </c>
      <c r="M129" t="str">
        <f>VLOOKUP(C129,Customers!A:F,5,FALSE())</f>
        <v>Retail</v>
      </c>
      <c r="O129" t="str">
        <f>IFERROR(VLOOKUP(E129,Sales_Reps!$A:$C,3,FALSE()),"")</f>
        <v/>
      </c>
      <c r="P129">
        <f>IFERROR(VLOOKUP(C129,Customers!$A:$C,3,FALSE()),"")</f>
        <v>29</v>
      </c>
      <c r="Q129" t="str">
        <f t="shared" si="1"/>
        <v>Nov-24</v>
      </c>
      <c r="R129">
        <f>IFERROR((VLOOKUP(D129,Products!$A:$E,5,FALSE())-VLOOKUP(D129,Products!$A:$E,4,FALSE()))/VLOOKUP(D129,Products!$A:$E,5,FALSE()),"")</f>
        <v>0.5525773195876289</v>
      </c>
    </row>
    <row r="130" spans="1:18" x14ac:dyDescent="0.3">
      <c r="A130" s="22" t="s">
        <v>525</v>
      </c>
      <c r="B130" s="23">
        <v>45541</v>
      </c>
      <c r="C130" s="22" t="s">
        <v>526</v>
      </c>
      <c r="D130" s="22" t="s">
        <v>356</v>
      </c>
      <c r="E130" s="22" t="s">
        <v>527</v>
      </c>
      <c r="F130" s="24">
        <v>10</v>
      </c>
      <c r="G130" s="24">
        <v>2030</v>
      </c>
      <c r="H130" s="24">
        <v>1.2</v>
      </c>
      <c r="I130" s="24">
        <v>20056.400000000001</v>
      </c>
      <c r="J130" s="22" t="s">
        <v>104</v>
      </c>
      <c r="K130" s="22" t="s">
        <v>129</v>
      </c>
      <c r="L130" t="str">
        <f>VLOOKUP(D130,Products!A:F,3,FALSE())</f>
        <v>Home</v>
      </c>
      <c r="M130" t="str">
        <f>VLOOKUP(C130,Customers!A:F,5,FALSE())</f>
        <v>Retail</v>
      </c>
      <c r="O130" t="str">
        <f>IFERROR(VLOOKUP(E130,Sales_Reps!$A:$C,3,FALSE()),"")</f>
        <v/>
      </c>
      <c r="P130">
        <f>IFERROR(VLOOKUP(C130,Customers!$A:$C,3,FALSE()),"")</f>
        <v>61</v>
      </c>
      <c r="Q130" t="str">
        <f t="shared" ref="Q130:Q193" si="2">TEXT(B130,"mmm-yy")</f>
        <v>Sep-24</v>
      </c>
      <c r="R130">
        <f>IFERROR((VLOOKUP(D130,Products!$A:$E,5,FALSE())-VLOOKUP(D130,Products!$A:$E,4,FALSE()))/VLOOKUP(D130,Products!$A:$E,5,FALSE()),"")</f>
        <v>0.43694581280788175</v>
      </c>
    </row>
    <row r="131" spans="1:18" x14ac:dyDescent="0.3">
      <c r="A131" s="22" t="s">
        <v>528</v>
      </c>
      <c r="B131" s="23">
        <v>45640</v>
      </c>
      <c r="C131" s="22" t="s">
        <v>529</v>
      </c>
      <c r="D131" s="22" t="s">
        <v>149</v>
      </c>
      <c r="E131" s="22" t="s">
        <v>530</v>
      </c>
      <c r="F131" s="24">
        <v>9</v>
      </c>
      <c r="G131" s="24">
        <v>2270</v>
      </c>
      <c r="H131" s="24">
        <v>13.2</v>
      </c>
      <c r="I131" s="24">
        <v>17733.240000000002</v>
      </c>
      <c r="J131" s="22" t="s">
        <v>110</v>
      </c>
      <c r="K131" s="22" t="s">
        <v>105</v>
      </c>
      <c r="L131" t="str">
        <f>VLOOKUP(D131,Products!A:F,3,FALSE())</f>
        <v>Grocery</v>
      </c>
      <c r="M131" t="str">
        <f>VLOOKUP(C131,Customers!A:F,5,FALSE())</f>
        <v>Retail</v>
      </c>
      <c r="O131" t="str">
        <f>IFERROR(VLOOKUP(E131,Sales_Reps!$A:$C,3,FALSE()),"")</f>
        <v/>
      </c>
      <c r="P131">
        <f>IFERROR(VLOOKUP(C131,Customers!$A:$C,3,FALSE()),"")</f>
        <v>22</v>
      </c>
      <c r="Q131" t="str">
        <f t="shared" si="2"/>
        <v>Dec-24</v>
      </c>
      <c r="R131">
        <f>IFERROR((VLOOKUP(D131,Products!$A:$E,5,FALSE())-VLOOKUP(D131,Products!$A:$E,4,FALSE()))/VLOOKUP(D131,Products!$A:$E,5,FALSE()),"")</f>
        <v>0.47004405286343615</v>
      </c>
    </row>
    <row r="132" spans="1:18" x14ac:dyDescent="0.3">
      <c r="A132" s="22" t="s">
        <v>531</v>
      </c>
      <c r="B132" s="23">
        <v>45524</v>
      </c>
      <c r="C132" s="22" t="s">
        <v>177</v>
      </c>
      <c r="D132" s="22" t="s">
        <v>212</v>
      </c>
      <c r="E132" s="22" t="s">
        <v>532</v>
      </c>
      <c r="F132" s="24">
        <v>8</v>
      </c>
      <c r="G132" s="24">
        <v>4880</v>
      </c>
      <c r="H132" s="24">
        <v>13.4</v>
      </c>
      <c r="I132" s="24">
        <v>33808.639999999999</v>
      </c>
      <c r="J132" s="22" t="s">
        <v>104</v>
      </c>
      <c r="K132" s="22" t="s">
        <v>151</v>
      </c>
      <c r="L132" t="str">
        <f>VLOOKUP(D132,Products!A:F,3,FALSE())</f>
        <v>Beauty</v>
      </c>
      <c r="M132" t="str">
        <f>VLOOKUP(C132,Customers!A:F,5,FALSE())</f>
        <v>Corporate</v>
      </c>
      <c r="O132" t="str">
        <f>IFERROR(VLOOKUP(E132,Sales_Reps!$A:$C,3,FALSE()),"")</f>
        <v/>
      </c>
      <c r="P132">
        <f>IFERROR(VLOOKUP(C132,Customers!$A:$C,3,FALSE()),"")</f>
        <v>32</v>
      </c>
      <c r="Q132" t="str">
        <f t="shared" si="2"/>
        <v>Aug-24</v>
      </c>
      <c r="R132">
        <f>IFERROR((VLOOKUP(D132,Products!$A:$E,5,FALSE())-VLOOKUP(D132,Products!$A:$E,4,FALSE()))/VLOOKUP(D132,Products!$A:$E,5,FALSE()),"")</f>
        <v>0.43278688524590164</v>
      </c>
    </row>
    <row r="133" spans="1:18" x14ac:dyDescent="0.3">
      <c r="A133" s="22" t="s">
        <v>533</v>
      </c>
      <c r="B133" s="23">
        <v>45344</v>
      </c>
      <c r="C133" s="22" t="s">
        <v>534</v>
      </c>
      <c r="D133" s="22" t="s">
        <v>293</v>
      </c>
      <c r="E133" s="22" t="s">
        <v>535</v>
      </c>
      <c r="F133" s="24">
        <v>10</v>
      </c>
      <c r="G133" s="24">
        <v>3870</v>
      </c>
      <c r="H133" s="24">
        <v>23.9</v>
      </c>
      <c r="I133" s="24">
        <v>29450.7</v>
      </c>
      <c r="J133" s="22" t="s">
        <v>104</v>
      </c>
      <c r="K133" s="22" t="s">
        <v>134</v>
      </c>
      <c r="L133" t="str">
        <f>VLOOKUP(D133,Products!A:F,3,FALSE())</f>
        <v>Electronics</v>
      </c>
      <c r="M133" t="str">
        <f>VLOOKUP(C133,Customers!A:F,5,FALSE())</f>
        <v>Corporate</v>
      </c>
      <c r="O133" t="str">
        <f>IFERROR(VLOOKUP(E133,Sales_Reps!$A:$C,3,FALSE()),"")</f>
        <v/>
      </c>
      <c r="P133">
        <f>IFERROR(VLOOKUP(C133,Customers!$A:$C,3,FALSE()),"")</f>
        <v>42</v>
      </c>
      <c r="Q133" t="str">
        <f t="shared" si="2"/>
        <v>Feb-24</v>
      </c>
      <c r="R133">
        <f>IFERROR((VLOOKUP(D133,Products!$A:$E,5,FALSE())-VLOOKUP(D133,Products!$A:$E,4,FALSE()))/VLOOKUP(D133,Products!$A:$E,5,FALSE()),"")</f>
        <v>0.59715762273901807</v>
      </c>
    </row>
    <row r="134" spans="1:18" x14ac:dyDescent="0.3">
      <c r="A134" s="22" t="s">
        <v>536</v>
      </c>
      <c r="B134" s="23">
        <v>45463</v>
      </c>
      <c r="C134" s="22" t="s">
        <v>537</v>
      </c>
      <c r="D134" s="22" t="s">
        <v>488</v>
      </c>
      <c r="E134" s="22" t="s">
        <v>538</v>
      </c>
      <c r="F134" s="24">
        <v>4</v>
      </c>
      <c r="G134" s="24">
        <v>2290</v>
      </c>
      <c r="H134" s="24">
        <v>15.2</v>
      </c>
      <c r="I134" s="24">
        <v>7767.68</v>
      </c>
      <c r="J134" s="22" t="s">
        <v>104</v>
      </c>
      <c r="K134" s="22" t="s">
        <v>151</v>
      </c>
      <c r="L134" t="str">
        <f>VLOOKUP(D134,Products!A:F,3,FALSE())</f>
        <v>Beauty</v>
      </c>
      <c r="M134" t="str">
        <f>VLOOKUP(C134,Customers!A:F,5,FALSE())</f>
        <v>Retail</v>
      </c>
      <c r="O134" t="str">
        <f>IFERROR(VLOOKUP(E134,Sales_Reps!$A:$C,3,FALSE()),"")</f>
        <v/>
      </c>
      <c r="P134">
        <f>IFERROR(VLOOKUP(C134,Customers!$A:$C,3,FALSE()),"")</f>
        <v>22</v>
      </c>
      <c r="Q134" t="str">
        <f t="shared" si="2"/>
        <v>Jun-24</v>
      </c>
      <c r="R134">
        <f>IFERROR((VLOOKUP(D134,Products!$A:$E,5,FALSE())-VLOOKUP(D134,Products!$A:$E,4,FALSE()))/VLOOKUP(D134,Products!$A:$E,5,FALSE()),"")</f>
        <v>0.46768558951965067</v>
      </c>
    </row>
    <row r="135" spans="1:18" x14ac:dyDescent="0.3">
      <c r="A135" s="22" t="s">
        <v>539</v>
      </c>
      <c r="B135" s="23">
        <v>45443</v>
      </c>
      <c r="C135" s="22" t="s">
        <v>540</v>
      </c>
      <c r="D135" s="22" t="s">
        <v>459</v>
      </c>
      <c r="E135" s="22" t="s">
        <v>541</v>
      </c>
      <c r="F135" s="24">
        <v>8</v>
      </c>
      <c r="G135" s="24">
        <v>2380</v>
      </c>
      <c r="H135" s="24">
        <v>4.2</v>
      </c>
      <c r="I135" s="24">
        <v>18240.32</v>
      </c>
      <c r="J135" s="22" t="s">
        <v>104</v>
      </c>
      <c r="K135" s="22" t="s">
        <v>116</v>
      </c>
      <c r="L135" t="str">
        <f>VLOOKUP(D135,Products!A:F,3,FALSE())</f>
        <v>Grocery</v>
      </c>
      <c r="M135" t="str">
        <f>VLOOKUP(C135,Customers!A:F,5,FALSE())</f>
        <v>Retail</v>
      </c>
      <c r="O135" t="str">
        <f>IFERROR(VLOOKUP(E135,Sales_Reps!$A:$C,3,FALSE()),"")</f>
        <v/>
      </c>
      <c r="P135">
        <f>IFERROR(VLOOKUP(C135,Customers!$A:$C,3,FALSE()),"")</f>
        <v>44</v>
      </c>
      <c r="Q135" t="str">
        <f t="shared" si="2"/>
        <v>May-24</v>
      </c>
      <c r="R135">
        <f>IFERROR((VLOOKUP(D135,Products!$A:$E,5,FALSE())-VLOOKUP(D135,Products!$A:$E,4,FALSE()))/VLOOKUP(D135,Products!$A:$E,5,FALSE()),"")</f>
        <v>0.50336134453781511</v>
      </c>
    </row>
    <row r="136" spans="1:18" x14ac:dyDescent="0.3">
      <c r="A136" s="22" t="s">
        <v>542</v>
      </c>
      <c r="B136" s="23">
        <v>45301</v>
      </c>
      <c r="C136" s="22" t="s">
        <v>543</v>
      </c>
      <c r="D136" s="22" t="s">
        <v>419</v>
      </c>
      <c r="E136" s="22" t="s">
        <v>544</v>
      </c>
      <c r="F136" s="24">
        <v>8</v>
      </c>
      <c r="G136" s="24">
        <v>2210</v>
      </c>
      <c r="H136" s="24">
        <v>11.5</v>
      </c>
      <c r="I136" s="24">
        <v>15646.8</v>
      </c>
      <c r="J136" s="22" t="s">
        <v>104</v>
      </c>
      <c r="K136" s="22" t="s">
        <v>111</v>
      </c>
      <c r="L136" t="str">
        <f>VLOOKUP(D136,Products!A:F,3,FALSE())</f>
        <v>Grocery</v>
      </c>
      <c r="M136" t="str">
        <f>VLOOKUP(C136,Customers!A:F,5,FALSE())</f>
        <v>SMB</v>
      </c>
      <c r="O136" t="str">
        <f>IFERROR(VLOOKUP(E136,Sales_Reps!$A:$C,3,FALSE()),"")</f>
        <v/>
      </c>
      <c r="P136">
        <f>IFERROR(VLOOKUP(C136,Customers!$A:$C,3,FALSE()),"")</f>
        <v>64</v>
      </c>
      <c r="Q136" t="str">
        <f t="shared" si="2"/>
        <v>Jan-24</v>
      </c>
      <c r="R136">
        <f>IFERROR((VLOOKUP(D136,Products!$A:$E,5,FALSE())-VLOOKUP(D136,Products!$A:$E,4,FALSE()))/VLOOKUP(D136,Products!$A:$E,5,FALSE()),"")</f>
        <v>0.54298642533936647</v>
      </c>
    </row>
    <row r="137" spans="1:18" x14ac:dyDescent="0.3">
      <c r="A137" s="22" t="s">
        <v>545</v>
      </c>
      <c r="B137" s="23">
        <v>45360</v>
      </c>
      <c r="C137" s="22" t="s">
        <v>274</v>
      </c>
      <c r="D137" s="22" t="s">
        <v>455</v>
      </c>
      <c r="E137" s="22" t="s">
        <v>546</v>
      </c>
      <c r="F137" s="24">
        <v>4</v>
      </c>
      <c r="G137" s="24">
        <v>5330</v>
      </c>
      <c r="H137" s="24">
        <v>22.6</v>
      </c>
      <c r="I137" s="24">
        <v>16501.68</v>
      </c>
      <c r="J137" s="22" t="s">
        <v>110</v>
      </c>
      <c r="K137" s="22" t="s">
        <v>105</v>
      </c>
      <c r="L137" t="str">
        <f>VLOOKUP(D137,Products!A:F,3,FALSE())</f>
        <v>Electronics</v>
      </c>
      <c r="M137" t="str">
        <f>VLOOKUP(C137,Customers!A:F,5,FALSE())</f>
        <v>SMB</v>
      </c>
      <c r="O137" t="str">
        <f>IFERROR(VLOOKUP(E137,Sales_Reps!$A:$C,3,FALSE()),"")</f>
        <v/>
      </c>
      <c r="P137">
        <f>IFERROR(VLOOKUP(C137,Customers!$A:$C,3,FALSE()),"")</f>
        <v>29</v>
      </c>
      <c r="Q137" t="str">
        <f t="shared" si="2"/>
        <v>Mar-24</v>
      </c>
      <c r="R137">
        <f>IFERROR((VLOOKUP(D137,Products!$A:$E,5,FALSE())-VLOOKUP(D137,Products!$A:$E,4,FALSE()))/VLOOKUP(D137,Products!$A:$E,5,FALSE()),"")</f>
        <v>0.54878048780487809</v>
      </c>
    </row>
    <row r="138" spans="1:18" x14ac:dyDescent="0.3">
      <c r="A138" s="22" t="s">
        <v>547</v>
      </c>
      <c r="B138" s="23">
        <v>45559</v>
      </c>
      <c r="C138" s="22" t="s">
        <v>548</v>
      </c>
      <c r="D138" s="22" t="s">
        <v>521</v>
      </c>
      <c r="E138" s="22" t="s">
        <v>549</v>
      </c>
      <c r="F138" s="24">
        <v>8</v>
      </c>
      <c r="G138" s="24">
        <v>3970</v>
      </c>
      <c r="H138" s="24">
        <v>21.8</v>
      </c>
      <c r="I138" s="24">
        <v>24836.32</v>
      </c>
      <c r="J138" s="22" t="s">
        <v>104</v>
      </c>
      <c r="K138" s="22" t="s">
        <v>111</v>
      </c>
      <c r="L138" t="str">
        <f>VLOOKUP(D138,Products!A:F,3,FALSE())</f>
        <v>Electronics</v>
      </c>
      <c r="M138" t="str">
        <f>VLOOKUP(C138,Customers!A:F,5,FALSE())</f>
        <v>SMB</v>
      </c>
      <c r="O138" t="str">
        <f>IFERROR(VLOOKUP(E138,Sales_Reps!$A:$C,3,FALSE()),"")</f>
        <v/>
      </c>
      <c r="P138">
        <f>IFERROR(VLOOKUP(C138,Customers!$A:$C,3,FALSE()),"")</f>
        <v>64</v>
      </c>
      <c r="Q138" t="str">
        <f t="shared" si="2"/>
        <v>Sep-24</v>
      </c>
      <c r="R138">
        <f>IFERROR((VLOOKUP(D138,Products!$A:$E,5,FALSE())-VLOOKUP(D138,Products!$A:$E,4,FALSE()))/VLOOKUP(D138,Products!$A:$E,5,FALSE()),"")</f>
        <v>0.27833753148614609</v>
      </c>
    </row>
    <row r="139" spans="1:18" x14ac:dyDescent="0.3">
      <c r="A139" s="22" t="s">
        <v>550</v>
      </c>
      <c r="B139" s="23">
        <v>45546</v>
      </c>
      <c r="C139" s="22" t="s">
        <v>551</v>
      </c>
      <c r="D139" s="22" t="s">
        <v>123</v>
      </c>
      <c r="E139" s="22" t="s">
        <v>552</v>
      </c>
      <c r="F139" s="24">
        <v>10</v>
      </c>
      <c r="G139" s="24">
        <v>3160</v>
      </c>
      <c r="H139" s="24">
        <v>16.100000000000001</v>
      </c>
      <c r="I139" s="24">
        <v>26512.400000000001</v>
      </c>
      <c r="J139" s="22" t="s">
        <v>159</v>
      </c>
      <c r="K139" s="22" t="s">
        <v>105</v>
      </c>
      <c r="L139" t="str">
        <f>VLOOKUP(D139,Products!A:F,3,FALSE())</f>
        <v>Apparel</v>
      </c>
      <c r="M139" t="str">
        <f>VLOOKUP(C139,Customers!A:F,5,FALSE())</f>
        <v>Corporate</v>
      </c>
      <c r="O139" t="str">
        <f>IFERROR(VLOOKUP(E139,Sales_Reps!$A:$C,3,FALSE()),"")</f>
        <v/>
      </c>
      <c r="P139">
        <f>IFERROR(VLOOKUP(C139,Customers!$A:$C,3,FALSE()),"")</f>
        <v>48</v>
      </c>
      <c r="Q139" t="str">
        <f t="shared" si="2"/>
        <v>Sep-24</v>
      </c>
      <c r="R139">
        <f>IFERROR((VLOOKUP(D139,Products!$A:$E,5,FALSE())-VLOOKUP(D139,Products!$A:$E,4,FALSE()))/VLOOKUP(D139,Products!$A:$E,5,FALSE()),"")</f>
        <v>0.4031645569620253</v>
      </c>
    </row>
    <row r="140" spans="1:18" x14ac:dyDescent="0.3">
      <c r="A140" s="22" t="s">
        <v>553</v>
      </c>
      <c r="B140" s="23">
        <v>45425</v>
      </c>
      <c r="C140" s="22" t="s">
        <v>554</v>
      </c>
      <c r="D140" s="22" t="s">
        <v>167</v>
      </c>
      <c r="E140" s="22" t="s">
        <v>555</v>
      </c>
      <c r="F140" s="24">
        <v>5</v>
      </c>
      <c r="G140" s="24">
        <v>190</v>
      </c>
      <c r="H140" s="24">
        <v>14.8</v>
      </c>
      <c r="I140" s="24">
        <v>809.4</v>
      </c>
      <c r="J140" s="22" t="s">
        <v>104</v>
      </c>
      <c r="K140" s="22" t="s">
        <v>134</v>
      </c>
      <c r="L140" t="str">
        <f>VLOOKUP(D140,Products!A:F,3,FALSE())</f>
        <v>Sports</v>
      </c>
      <c r="M140" t="str">
        <f>VLOOKUP(C140,Customers!A:F,5,FALSE())</f>
        <v>Retail</v>
      </c>
      <c r="O140" t="str">
        <f>IFERROR(VLOOKUP(E140,Sales_Reps!$A:$C,3,FALSE()),"")</f>
        <v/>
      </c>
      <c r="P140">
        <f>IFERROR(VLOOKUP(C140,Customers!$A:$C,3,FALSE()),"")</f>
        <v>55</v>
      </c>
      <c r="Q140" t="str">
        <f t="shared" si="2"/>
        <v>May-24</v>
      </c>
      <c r="R140">
        <f>IFERROR((VLOOKUP(D140,Products!$A:$E,5,FALSE())-VLOOKUP(D140,Products!$A:$E,4,FALSE()))/VLOOKUP(D140,Products!$A:$E,5,FALSE()),"")</f>
        <v>0.22631578947368422</v>
      </c>
    </row>
    <row r="141" spans="1:18" x14ac:dyDescent="0.3">
      <c r="A141" s="22" t="s">
        <v>556</v>
      </c>
      <c r="B141" s="23">
        <v>45351</v>
      </c>
      <c r="C141" s="22" t="s">
        <v>395</v>
      </c>
      <c r="D141" s="22" t="s">
        <v>231</v>
      </c>
      <c r="E141" s="22" t="s">
        <v>557</v>
      </c>
      <c r="F141" s="24">
        <v>6</v>
      </c>
      <c r="G141" s="24">
        <v>2760</v>
      </c>
      <c r="H141" s="24">
        <v>19.8</v>
      </c>
      <c r="I141" s="24">
        <v>13281.12</v>
      </c>
      <c r="J141" s="22" t="s">
        <v>104</v>
      </c>
      <c r="K141" s="22" t="s">
        <v>116</v>
      </c>
      <c r="L141" t="str">
        <f>VLOOKUP(D141,Products!A:F,3,FALSE())</f>
        <v>Grocery</v>
      </c>
      <c r="M141" t="str">
        <f>VLOOKUP(C141,Customers!A:F,5,FALSE())</f>
        <v>Retail</v>
      </c>
      <c r="O141" t="str">
        <f>IFERROR(VLOOKUP(E141,Sales_Reps!$A:$C,3,FALSE()),"")</f>
        <v/>
      </c>
      <c r="P141">
        <f>IFERROR(VLOOKUP(C141,Customers!$A:$C,3,FALSE()),"")</f>
        <v>31</v>
      </c>
      <c r="Q141" t="str">
        <f t="shared" si="2"/>
        <v>Feb-24</v>
      </c>
      <c r="R141">
        <f>IFERROR((VLOOKUP(D141,Products!$A:$E,5,FALSE())-VLOOKUP(D141,Products!$A:$E,4,FALSE()))/VLOOKUP(D141,Products!$A:$E,5,FALSE()),"")</f>
        <v>0.48007246376811596</v>
      </c>
    </row>
    <row r="142" spans="1:18" x14ac:dyDescent="0.3">
      <c r="A142" s="22" t="s">
        <v>558</v>
      </c>
      <c r="B142" s="23">
        <v>45604</v>
      </c>
      <c r="C142" s="22" t="s">
        <v>465</v>
      </c>
      <c r="D142" s="22" t="s">
        <v>289</v>
      </c>
      <c r="E142" s="22" t="s">
        <v>559</v>
      </c>
      <c r="F142" s="24">
        <v>9</v>
      </c>
      <c r="G142" s="24">
        <v>2270</v>
      </c>
      <c r="H142" s="24">
        <v>20.8</v>
      </c>
      <c r="I142" s="24">
        <v>16180.56</v>
      </c>
      <c r="J142" s="22" t="s">
        <v>159</v>
      </c>
      <c r="K142" s="22" t="s">
        <v>129</v>
      </c>
      <c r="L142" t="str">
        <f>VLOOKUP(D142,Products!A:F,3,FALSE())</f>
        <v>Grocery</v>
      </c>
      <c r="M142" t="str">
        <f>VLOOKUP(C142,Customers!A:F,5,FALSE())</f>
        <v>Retail</v>
      </c>
      <c r="O142" t="str">
        <f>IFERROR(VLOOKUP(E142,Sales_Reps!$A:$C,3,FALSE()),"")</f>
        <v/>
      </c>
      <c r="P142">
        <f>IFERROR(VLOOKUP(C142,Customers!$A:$C,3,FALSE()),"")</f>
        <v>42</v>
      </c>
      <c r="Q142" t="str">
        <f t="shared" si="2"/>
        <v>Nov-24</v>
      </c>
      <c r="R142">
        <f>IFERROR((VLOOKUP(D142,Products!$A:$E,5,FALSE())-VLOOKUP(D142,Products!$A:$E,4,FALSE()))/VLOOKUP(D142,Products!$A:$E,5,FALSE()),"")</f>
        <v>0.37797356828193834</v>
      </c>
    </row>
    <row r="143" spans="1:18" x14ac:dyDescent="0.3">
      <c r="A143" s="22" t="s">
        <v>560</v>
      </c>
      <c r="B143" s="23">
        <v>45328</v>
      </c>
      <c r="C143" s="22" t="s">
        <v>189</v>
      </c>
      <c r="D143" s="22" t="s">
        <v>449</v>
      </c>
      <c r="E143" s="22" t="s">
        <v>561</v>
      </c>
      <c r="F143" s="24">
        <v>8</v>
      </c>
      <c r="G143" s="24">
        <v>5410</v>
      </c>
      <c r="H143" s="24">
        <v>12.9</v>
      </c>
      <c r="I143" s="24">
        <v>37696.879999999997</v>
      </c>
      <c r="J143" s="22" t="s">
        <v>104</v>
      </c>
      <c r="K143" s="22" t="s">
        <v>151</v>
      </c>
      <c r="L143" t="str">
        <f>VLOOKUP(D143,Products!A:F,3,FALSE())</f>
        <v>Sports</v>
      </c>
      <c r="M143" t="str">
        <f>VLOOKUP(C143,Customers!A:F,5,FALSE())</f>
        <v>Retail</v>
      </c>
      <c r="O143" t="str">
        <f>IFERROR(VLOOKUP(E143,Sales_Reps!$A:$C,3,FALSE()),"")</f>
        <v/>
      </c>
      <c r="P143">
        <f>IFERROR(VLOOKUP(C143,Customers!$A:$C,3,FALSE()),"")</f>
        <v>32</v>
      </c>
      <c r="Q143" t="str">
        <f t="shared" si="2"/>
        <v>Feb-24</v>
      </c>
      <c r="R143">
        <f>IFERROR((VLOOKUP(D143,Products!$A:$E,5,FALSE())-VLOOKUP(D143,Products!$A:$E,4,FALSE()))/VLOOKUP(D143,Products!$A:$E,5,FALSE()),"")</f>
        <v>0.58133086876155271</v>
      </c>
    </row>
    <row r="144" spans="1:18" x14ac:dyDescent="0.3">
      <c r="A144" s="22" t="s">
        <v>562</v>
      </c>
      <c r="B144" s="23">
        <v>45508</v>
      </c>
      <c r="C144" s="22" t="s">
        <v>563</v>
      </c>
      <c r="D144" s="22" t="s">
        <v>149</v>
      </c>
      <c r="E144" s="22" t="s">
        <v>564</v>
      </c>
      <c r="F144" s="24">
        <v>9</v>
      </c>
      <c r="G144" s="24">
        <v>2270</v>
      </c>
      <c r="H144" s="24">
        <v>6.8</v>
      </c>
      <c r="I144" s="24">
        <v>19040.759999999998</v>
      </c>
      <c r="J144" s="22" t="s">
        <v>104</v>
      </c>
      <c r="K144" s="22" t="s">
        <v>116</v>
      </c>
      <c r="L144" t="str">
        <f>VLOOKUP(D144,Products!A:F,3,FALSE())</f>
        <v>Grocery</v>
      </c>
      <c r="M144" t="str">
        <f>VLOOKUP(C144,Customers!A:F,5,FALSE())</f>
        <v>Corporate</v>
      </c>
      <c r="O144" t="str">
        <f>IFERROR(VLOOKUP(E144,Sales_Reps!$A:$C,3,FALSE()),"")</f>
        <v/>
      </c>
      <c r="P144">
        <f>IFERROR(VLOOKUP(C144,Customers!$A:$C,3,FALSE()),"")</f>
        <v>31</v>
      </c>
      <c r="Q144" t="str">
        <f t="shared" si="2"/>
        <v>Aug-24</v>
      </c>
      <c r="R144">
        <f>IFERROR((VLOOKUP(D144,Products!$A:$E,5,FALSE())-VLOOKUP(D144,Products!$A:$E,4,FALSE()))/VLOOKUP(D144,Products!$A:$E,5,FALSE()),"")</f>
        <v>0.47004405286343615</v>
      </c>
    </row>
    <row r="145" spans="1:18" x14ac:dyDescent="0.3">
      <c r="A145" s="22" t="s">
        <v>565</v>
      </c>
      <c r="B145" s="23">
        <v>45309</v>
      </c>
      <c r="C145" s="22" t="s">
        <v>156</v>
      </c>
      <c r="D145" s="22" t="s">
        <v>123</v>
      </c>
      <c r="E145" s="22" t="s">
        <v>566</v>
      </c>
      <c r="F145" s="24">
        <v>3</v>
      </c>
      <c r="G145" s="24">
        <v>3160</v>
      </c>
      <c r="H145" s="24">
        <v>12.8</v>
      </c>
      <c r="I145" s="24">
        <v>8266.56</v>
      </c>
      <c r="J145" s="22" t="s">
        <v>104</v>
      </c>
      <c r="K145" s="22" t="s">
        <v>116</v>
      </c>
      <c r="L145" t="str">
        <f>VLOOKUP(D145,Products!A:F,3,FALSE())</f>
        <v>Apparel</v>
      </c>
      <c r="M145" t="str">
        <f>VLOOKUP(C145,Customers!A:F,5,FALSE())</f>
        <v>SMB</v>
      </c>
      <c r="O145" t="str">
        <f>IFERROR(VLOOKUP(E145,Sales_Reps!$A:$C,3,FALSE()),"")</f>
        <v/>
      </c>
      <c r="P145">
        <f>IFERROR(VLOOKUP(C145,Customers!$A:$C,3,FALSE()),"")</f>
        <v>27</v>
      </c>
      <c r="Q145" t="str">
        <f t="shared" si="2"/>
        <v>Jan-24</v>
      </c>
      <c r="R145">
        <f>IFERROR((VLOOKUP(D145,Products!$A:$E,5,FALSE())-VLOOKUP(D145,Products!$A:$E,4,FALSE()))/VLOOKUP(D145,Products!$A:$E,5,FALSE()),"")</f>
        <v>0.4031645569620253</v>
      </c>
    </row>
    <row r="146" spans="1:18" x14ac:dyDescent="0.3">
      <c r="A146" s="22" t="s">
        <v>567</v>
      </c>
      <c r="B146" s="23">
        <v>45448</v>
      </c>
      <c r="C146" s="22" t="s">
        <v>274</v>
      </c>
      <c r="D146" s="22" t="s">
        <v>436</v>
      </c>
      <c r="E146" s="22" t="s">
        <v>568</v>
      </c>
      <c r="F146" s="24">
        <v>8</v>
      </c>
      <c r="G146" s="24">
        <v>4060</v>
      </c>
      <c r="H146" s="24">
        <v>20.9</v>
      </c>
      <c r="I146" s="24">
        <v>25691.68</v>
      </c>
      <c r="J146" s="22" t="s">
        <v>104</v>
      </c>
      <c r="K146" s="22" t="s">
        <v>105</v>
      </c>
      <c r="L146" t="str">
        <f>VLOOKUP(D146,Products!A:F,3,FALSE())</f>
        <v>Grocery</v>
      </c>
      <c r="M146" t="str">
        <f>VLOOKUP(C146,Customers!A:F,5,FALSE())</f>
        <v>SMB</v>
      </c>
      <c r="O146" t="str">
        <f>IFERROR(VLOOKUP(E146,Sales_Reps!$A:$C,3,FALSE()),"")</f>
        <v/>
      </c>
      <c r="P146">
        <f>IFERROR(VLOOKUP(C146,Customers!$A:$C,3,FALSE()),"")</f>
        <v>29</v>
      </c>
      <c r="Q146" t="str">
        <f t="shared" si="2"/>
        <v>Jun-24</v>
      </c>
      <c r="R146">
        <f>IFERROR((VLOOKUP(D146,Products!$A:$E,5,FALSE())-VLOOKUP(D146,Products!$A:$E,4,FALSE()))/VLOOKUP(D146,Products!$A:$E,5,FALSE()),"")</f>
        <v>0.28300492610837441</v>
      </c>
    </row>
    <row r="147" spans="1:18" x14ac:dyDescent="0.3">
      <c r="A147" s="22" t="s">
        <v>569</v>
      </c>
      <c r="B147" s="23">
        <v>45449</v>
      </c>
      <c r="C147" s="22" t="s">
        <v>570</v>
      </c>
      <c r="D147" s="22" t="s">
        <v>108</v>
      </c>
      <c r="E147" s="22" t="s">
        <v>571</v>
      </c>
      <c r="F147" s="24">
        <v>5</v>
      </c>
      <c r="G147" s="24">
        <v>820</v>
      </c>
      <c r="H147" s="24">
        <v>9.1</v>
      </c>
      <c r="I147" s="24">
        <v>3726.9</v>
      </c>
      <c r="J147" s="22" t="s">
        <v>164</v>
      </c>
      <c r="K147" s="22" t="s">
        <v>105</v>
      </c>
      <c r="L147" t="str">
        <f>VLOOKUP(D147,Products!A:F,3,FALSE())</f>
        <v>Apparel</v>
      </c>
      <c r="M147" t="e">
        <f>VLOOKUP(C147,Customers!A:F,5,FALSE())</f>
        <v>#N/A</v>
      </c>
      <c r="O147" t="str">
        <f>IFERROR(VLOOKUP(E147,Sales_Reps!$A:$C,3,FALSE()),"")</f>
        <v/>
      </c>
      <c r="P147" t="str">
        <f>IFERROR(VLOOKUP(C147,Customers!$A:$C,3,FALSE()),"")</f>
        <v/>
      </c>
      <c r="Q147" t="str">
        <f t="shared" si="2"/>
        <v>Jun-24</v>
      </c>
      <c r="R147">
        <f>IFERROR((VLOOKUP(D147,Products!$A:$E,5,FALSE())-VLOOKUP(D147,Products!$A:$E,4,FALSE()))/VLOOKUP(D147,Products!$A:$E,5,FALSE()),"")</f>
        <v>0.52317073170731709</v>
      </c>
    </row>
    <row r="148" spans="1:18" x14ac:dyDescent="0.3">
      <c r="A148" s="22" t="s">
        <v>572</v>
      </c>
      <c r="B148" s="23">
        <v>45555</v>
      </c>
      <c r="C148" s="22" t="s">
        <v>573</v>
      </c>
      <c r="D148" s="22" t="s">
        <v>127</v>
      </c>
      <c r="E148" s="22" t="s">
        <v>574</v>
      </c>
      <c r="F148" s="24">
        <v>5</v>
      </c>
      <c r="G148" s="24">
        <v>370</v>
      </c>
      <c r="H148" s="24">
        <v>11.5</v>
      </c>
      <c r="I148" s="24">
        <v>1637.25</v>
      </c>
      <c r="J148" s="22" t="s">
        <v>104</v>
      </c>
      <c r="K148" s="22" t="s">
        <v>105</v>
      </c>
      <c r="L148" t="str">
        <f>VLOOKUP(D148,Products!A:F,3,FALSE())</f>
        <v>Home</v>
      </c>
      <c r="M148" t="str">
        <f>VLOOKUP(C148,Customers!A:F,5,FALSE())</f>
        <v>SMB</v>
      </c>
      <c r="O148" t="str">
        <f>IFERROR(VLOOKUP(E148,Sales_Reps!$A:$C,3,FALSE()),"")</f>
        <v/>
      </c>
      <c r="P148">
        <f>IFERROR(VLOOKUP(C148,Customers!$A:$C,3,FALSE()),"")</f>
        <v>30</v>
      </c>
      <c r="Q148" t="str">
        <f t="shared" si="2"/>
        <v>Sep-24</v>
      </c>
      <c r="R148">
        <f>IFERROR((VLOOKUP(D148,Products!$A:$E,5,FALSE())-VLOOKUP(D148,Products!$A:$E,4,FALSE()))/VLOOKUP(D148,Products!$A:$E,5,FALSE()),"")</f>
        <v>0.22162162162162163</v>
      </c>
    </row>
    <row r="149" spans="1:18" x14ac:dyDescent="0.3">
      <c r="A149" s="22" t="s">
        <v>575</v>
      </c>
      <c r="B149" s="23">
        <v>45341</v>
      </c>
      <c r="C149" s="22" t="s">
        <v>576</v>
      </c>
      <c r="D149" s="22" t="s">
        <v>577</v>
      </c>
      <c r="E149" s="22" t="s">
        <v>578</v>
      </c>
      <c r="F149" s="24">
        <v>9</v>
      </c>
      <c r="G149" s="24">
        <v>5080</v>
      </c>
      <c r="H149" s="24">
        <v>27.5</v>
      </c>
      <c r="I149" s="24">
        <v>33147</v>
      </c>
      <c r="J149" s="22" t="s">
        <v>104</v>
      </c>
      <c r="K149" s="22" t="s">
        <v>105</v>
      </c>
      <c r="L149" t="str">
        <f>VLOOKUP(D149,Products!A:F,3,FALSE())</f>
        <v>Home</v>
      </c>
      <c r="M149" t="str">
        <f>VLOOKUP(C149,Customers!A:F,5,FALSE())</f>
        <v>Retail</v>
      </c>
      <c r="O149" t="str">
        <f>IFERROR(VLOOKUP(E149,Sales_Reps!$A:$C,3,FALSE()),"")</f>
        <v/>
      </c>
      <c r="P149">
        <f>IFERROR(VLOOKUP(C149,Customers!$A:$C,3,FALSE()),"")</f>
        <v>65</v>
      </c>
      <c r="Q149" t="str">
        <f t="shared" si="2"/>
        <v>Feb-24</v>
      </c>
      <c r="R149">
        <f>IFERROR((VLOOKUP(D149,Products!$A:$E,5,FALSE())-VLOOKUP(D149,Products!$A:$E,4,FALSE()))/VLOOKUP(D149,Products!$A:$E,5,FALSE()),"")</f>
        <v>0.51594488188976373</v>
      </c>
    </row>
    <row r="150" spans="1:18" x14ac:dyDescent="0.3">
      <c r="A150" s="22" t="s">
        <v>579</v>
      </c>
      <c r="B150" s="23">
        <v>45422</v>
      </c>
      <c r="C150" s="22" t="s">
        <v>374</v>
      </c>
      <c r="D150" s="22" t="s">
        <v>315</v>
      </c>
      <c r="E150" s="22" t="s">
        <v>580</v>
      </c>
      <c r="F150" s="24">
        <v>6</v>
      </c>
      <c r="G150" s="24">
        <v>4070</v>
      </c>
      <c r="H150" s="24">
        <v>12.5</v>
      </c>
      <c r="I150" s="24">
        <v>21367.5</v>
      </c>
      <c r="J150" s="22" t="s">
        <v>104</v>
      </c>
      <c r="K150" s="22" t="s">
        <v>105</v>
      </c>
      <c r="L150" t="str">
        <f>VLOOKUP(D150,Products!A:F,3,FALSE())</f>
        <v>Grocery</v>
      </c>
      <c r="M150" t="str">
        <f>VLOOKUP(C150,Customers!A:F,5,FALSE())</f>
        <v>SMB</v>
      </c>
      <c r="O150" t="str">
        <f>IFERROR(VLOOKUP(E150,Sales_Reps!$A:$C,3,FALSE()),"")</f>
        <v/>
      </c>
      <c r="P150">
        <f>IFERROR(VLOOKUP(C150,Customers!$A:$C,3,FALSE()),"")</f>
        <v>54</v>
      </c>
      <c r="Q150" t="str">
        <f t="shared" si="2"/>
        <v>May-24</v>
      </c>
      <c r="R150">
        <f>IFERROR((VLOOKUP(D150,Products!$A:$E,5,FALSE())-VLOOKUP(D150,Products!$A:$E,4,FALSE()))/VLOOKUP(D150,Products!$A:$E,5,FALSE()),"")</f>
        <v>0.50196560196560192</v>
      </c>
    </row>
    <row r="151" spans="1:18" x14ac:dyDescent="0.3">
      <c r="A151" s="22" t="s">
        <v>581</v>
      </c>
      <c r="B151" s="23">
        <v>45346</v>
      </c>
      <c r="C151" s="22" t="s">
        <v>573</v>
      </c>
      <c r="D151" s="22" t="s">
        <v>338</v>
      </c>
      <c r="E151" s="22" t="s">
        <v>582</v>
      </c>
      <c r="F151" s="24">
        <v>5</v>
      </c>
      <c r="G151" s="24">
        <v>300</v>
      </c>
      <c r="H151" s="24">
        <v>25.8</v>
      </c>
      <c r="I151" s="24">
        <v>1113</v>
      </c>
      <c r="J151" s="22" t="s">
        <v>104</v>
      </c>
      <c r="K151" s="22" t="s">
        <v>105</v>
      </c>
      <c r="L151" t="str">
        <f>VLOOKUP(D151,Products!A:F,3,FALSE())</f>
        <v>Electronics</v>
      </c>
      <c r="M151" t="str">
        <f>VLOOKUP(C151,Customers!A:F,5,FALSE())</f>
        <v>SMB</v>
      </c>
      <c r="O151" t="str">
        <f>IFERROR(VLOOKUP(E151,Sales_Reps!$A:$C,3,FALSE()),"")</f>
        <v/>
      </c>
      <c r="P151">
        <f>IFERROR(VLOOKUP(C151,Customers!$A:$C,3,FALSE()),"")</f>
        <v>30</v>
      </c>
      <c r="Q151" t="str">
        <f t="shared" si="2"/>
        <v>Feb-24</v>
      </c>
      <c r="R151">
        <f>IFERROR((VLOOKUP(D151,Products!$A:$E,5,FALSE())-VLOOKUP(D151,Products!$A:$E,4,FALSE()))/VLOOKUP(D151,Products!$A:$E,5,FALSE()),"")</f>
        <v>0.57333333333333336</v>
      </c>
    </row>
    <row r="152" spans="1:18" x14ac:dyDescent="0.3">
      <c r="A152" s="22" t="s">
        <v>583</v>
      </c>
      <c r="B152" s="23">
        <v>45318</v>
      </c>
      <c r="C152" s="22" t="s">
        <v>584</v>
      </c>
      <c r="D152" s="22" t="s">
        <v>220</v>
      </c>
      <c r="E152" s="22" t="s">
        <v>585</v>
      </c>
      <c r="F152" s="24">
        <v>7</v>
      </c>
      <c r="G152" s="24">
        <v>5100</v>
      </c>
      <c r="H152" s="24">
        <v>28.8</v>
      </c>
      <c r="I152" s="24">
        <v>25418.400000000001</v>
      </c>
      <c r="J152" s="22" t="s">
        <v>104</v>
      </c>
      <c r="K152" s="22" t="s">
        <v>586</v>
      </c>
      <c r="L152" t="str">
        <f>VLOOKUP(D152,Products!A:F,3,FALSE())</f>
        <v>Beauty</v>
      </c>
      <c r="M152" t="str">
        <f>VLOOKUP(C152,Customers!A:F,5,FALSE())</f>
        <v>Retail</v>
      </c>
      <c r="O152" t="str">
        <f>IFERROR(VLOOKUP(E152,Sales_Reps!$A:$C,3,FALSE()),"")</f>
        <v/>
      </c>
      <c r="P152">
        <f>IFERROR(VLOOKUP(C152,Customers!$A:$C,3,FALSE()),"")</f>
        <v>41</v>
      </c>
      <c r="Q152" t="str">
        <f t="shared" si="2"/>
        <v>Jan-24</v>
      </c>
      <c r="R152">
        <f>IFERROR((VLOOKUP(D152,Products!$A:$E,5,FALSE())-VLOOKUP(D152,Products!$A:$E,4,FALSE()))/VLOOKUP(D152,Products!$A:$E,5,FALSE()),"")</f>
        <v>0.56137254901960787</v>
      </c>
    </row>
    <row r="153" spans="1:18" x14ac:dyDescent="0.3">
      <c r="A153" s="22" t="s">
        <v>587</v>
      </c>
      <c r="B153" s="23">
        <v>45521</v>
      </c>
      <c r="C153" s="22" t="s">
        <v>264</v>
      </c>
      <c r="D153" s="22" t="s">
        <v>141</v>
      </c>
      <c r="E153" s="22" t="s">
        <v>588</v>
      </c>
      <c r="F153" s="24">
        <v>2</v>
      </c>
      <c r="G153" s="24">
        <v>5490</v>
      </c>
      <c r="H153" s="24">
        <v>5.5</v>
      </c>
      <c r="I153" s="24">
        <v>10376.1</v>
      </c>
      <c r="J153" s="22" t="s">
        <v>104</v>
      </c>
      <c r="K153" s="22" t="s">
        <v>111</v>
      </c>
      <c r="L153" t="str">
        <f>VLOOKUP(D153,Products!A:F,3,FALSE())</f>
        <v>Home</v>
      </c>
      <c r="M153" t="str">
        <f>VLOOKUP(C153,Customers!A:F,5,FALSE())</f>
        <v>Retail</v>
      </c>
      <c r="O153" t="str">
        <f>IFERROR(VLOOKUP(E153,Sales_Reps!$A:$C,3,FALSE()),"")</f>
        <v/>
      </c>
      <c r="P153">
        <f>IFERROR(VLOOKUP(C153,Customers!$A:$C,3,FALSE()),"")</f>
        <v>37</v>
      </c>
      <c r="Q153" t="str">
        <f t="shared" si="2"/>
        <v>Aug-24</v>
      </c>
      <c r="R153">
        <f>IFERROR((VLOOKUP(D153,Products!$A:$E,5,FALSE())-VLOOKUP(D153,Products!$A:$E,4,FALSE()))/VLOOKUP(D153,Products!$A:$E,5,FALSE()),"")</f>
        <v>0.53570127504553733</v>
      </c>
    </row>
    <row r="154" spans="1:18" x14ac:dyDescent="0.3">
      <c r="A154" s="22" t="s">
        <v>589</v>
      </c>
      <c r="B154" s="23">
        <v>45595</v>
      </c>
      <c r="C154" s="22" t="s">
        <v>590</v>
      </c>
      <c r="D154" s="22" t="s">
        <v>591</v>
      </c>
      <c r="E154" s="22" t="s">
        <v>592</v>
      </c>
      <c r="F154" s="24">
        <v>2</v>
      </c>
      <c r="G154" s="24">
        <v>3450</v>
      </c>
      <c r="H154" s="24">
        <v>1.2</v>
      </c>
      <c r="I154" s="24">
        <v>6817.2</v>
      </c>
      <c r="J154" s="22" t="s">
        <v>104</v>
      </c>
      <c r="K154" s="22" t="s">
        <v>116</v>
      </c>
      <c r="L154" t="str">
        <f>VLOOKUP(D154,Products!A:F,3,FALSE())</f>
        <v>Apparel</v>
      </c>
      <c r="M154" t="str">
        <f>VLOOKUP(C154,Customers!A:F,5,FALSE())</f>
        <v>SMB</v>
      </c>
      <c r="O154" t="str">
        <f>IFERROR(VLOOKUP(E154,Sales_Reps!$A:$C,3,FALSE()),"")</f>
        <v/>
      </c>
      <c r="P154">
        <f>IFERROR(VLOOKUP(C154,Customers!$A:$C,3,FALSE()),"")</f>
        <v>34</v>
      </c>
      <c r="Q154" t="str">
        <f t="shared" si="2"/>
        <v>Oct-24</v>
      </c>
      <c r="R154">
        <f>IFERROR((VLOOKUP(D154,Products!$A:$E,5,FALSE())-VLOOKUP(D154,Products!$A:$E,4,FALSE()))/VLOOKUP(D154,Products!$A:$E,5,FALSE()),"")</f>
        <v>0.49333333333333335</v>
      </c>
    </row>
    <row r="155" spans="1:18" x14ac:dyDescent="0.3">
      <c r="A155" s="22" t="s">
        <v>593</v>
      </c>
      <c r="B155" s="23">
        <v>45530</v>
      </c>
      <c r="C155" s="22" t="s">
        <v>594</v>
      </c>
      <c r="D155" s="22" t="s">
        <v>419</v>
      </c>
      <c r="E155" s="22" t="s">
        <v>595</v>
      </c>
      <c r="F155" s="24">
        <v>10</v>
      </c>
      <c r="G155" s="24">
        <v>2210</v>
      </c>
      <c r="H155" s="24">
        <v>18.8</v>
      </c>
      <c r="I155" s="24">
        <v>17945.2</v>
      </c>
      <c r="J155" s="22" t="s">
        <v>104</v>
      </c>
      <c r="K155" s="22" t="s">
        <v>151</v>
      </c>
      <c r="L155" t="str">
        <f>VLOOKUP(D155,Products!A:F,3,FALSE())</f>
        <v>Grocery</v>
      </c>
      <c r="M155" t="str">
        <f>VLOOKUP(C155,Customers!A:F,5,FALSE())</f>
        <v>Corporate</v>
      </c>
      <c r="O155" t="str">
        <f>IFERROR(VLOOKUP(E155,Sales_Reps!$A:$C,3,FALSE()),"")</f>
        <v/>
      </c>
      <c r="P155">
        <f>IFERROR(VLOOKUP(C155,Customers!$A:$C,3,FALSE()),"")</f>
        <v>43</v>
      </c>
      <c r="Q155" t="str">
        <f t="shared" si="2"/>
        <v>Aug-24</v>
      </c>
      <c r="R155">
        <f>IFERROR((VLOOKUP(D155,Products!$A:$E,5,FALSE())-VLOOKUP(D155,Products!$A:$E,4,FALSE()))/VLOOKUP(D155,Products!$A:$E,5,FALSE()),"")</f>
        <v>0.54298642533936647</v>
      </c>
    </row>
    <row r="156" spans="1:18" x14ac:dyDescent="0.3">
      <c r="A156" s="22" t="s">
        <v>596</v>
      </c>
      <c r="B156" s="23">
        <v>45644</v>
      </c>
      <c r="C156" s="22" t="s">
        <v>392</v>
      </c>
      <c r="D156" s="22" t="s">
        <v>162</v>
      </c>
      <c r="E156" s="22" t="s">
        <v>597</v>
      </c>
      <c r="F156" s="24">
        <v>2</v>
      </c>
      <c r="G156" s="24">
        <v>3250</v>
      </c>
      <c r="H156" s="24">
        <v>26.2</v>
      </c>
      <c r="I156" s="24">
        <v>4797</v>
      </c>
      <c r="J156" s="22" t="s">
        <v>104</v>
      </c>
      <c r="K156" s="22" t="s">
        <v>151</v>
      </c>
      <c r="L156" t="str">
        <f>VLOOKUP(D156,Products!A:F,3,FALSE())</f>
        <v>Home</v>
      </c>
      <c r="M156" t="str">
        <f>VLOOKUP(C156,Customers!A:F,5,FALSE())</f>
        <v>SMB</v>
      </c>
      <c r="O156" t="str">
        <f>IFERROR(VLOOKUP(E156,Sales_Reps!$A:$C,3,FALSE()),"")</f>
        <v/>
      </c>
      <c r="P156">
        <f>IFERROR(VLOOKUP(C156,Customers!$A:$C,3,FALSE()),"")</f>
        <v>36</v>
      </c>
      <c r="Q156" t="str">
        <f t="shared" si="2"/>
        <v>Dec-24</v>
      </c>
      <c r="R156">
        <f>IFERROR((VLOOKUP(D156,Products!$A:$E,5,FALSE())-VLOOKUP(D156,Products!$A:$E,4,FALSE()))/VLOOKUP(D156,Products!$A:$E,5,FALSE()),"")</f>
        <v>0.52123076923076928</v>
      </c>
    </row>
    <row r="157" spans="1:18" x14ac:dyDescent="0.3">
      <c r="A157" s="22" t="s">
        <v>598</v>
      </c>
      <c r="B157" s="23">
        <v>45298</v>
      </c>
      <c r="C157" s="22" t="s">
        <v>599</v>
      </c>
      <c r="D157" s="22" t="s">
        <v>123</v>
      </c>
      <c r="E157" s="22" t="s">
        <v>600</v>
      </c>
      <c r="F157" s="24">
        <v>5</v>
      </c>
      <c r="G157" s="24">
        <v>3160</v>
      </c>
      <c r="H157" s="24">
        <v>0.9</v>
      </c>
      <c r="I157" s="24">
        <v>15657.8</v>
      </c>
      <c r="J157" s="22" t="s">
        <v>104</v>
      </c>
      <c r="K157" s="22" t="s">
        <v>105</v>
      </c>
      <c r="L157" t="str">
        <f>VLOOKUP(D157,Products!A:F,3,FALSE())</f>
        <v>Apparel</v>
      </c>
      <c r="M157" t="str">
        <f>VLOOKUP(C157,Customers!A:F,5,FALSE())</f>
        <v>Retail</v>
      </c>
      <c r="O157" t="str">
        <f>IFERROR(VLOOKUP(E157,Sales_Reps!$A:$C,3,FALSE()),"")</f>
        <v/>
      </c>
      <c r="P157">
        <f>IFERROR(VLOOKUP(C157,Customers!$A:$C,3,FALSE()),"")</f>
        <v>29</v>
      </c>
      <c r="Q157" t="str">
        <f t="shared" si="2"/>
        <v>Jan-24</v>
      </c>
      <c r="R157">
        <f>IFERROR((VLOOKUP(D157,Products!$A:$E,5,FALSE())-VLOOKUP(D157,Products!$A:$E,4,FALSE()))/VLOOKUP(D157,Products!$A:$E,5,FALSE()),"")</f>
        <v>0.4031645569620253</v>
      </c>
    </row>
    <row r="158" spans="1:18" x14ac:dyDescent="0.3">
      <c r="A158" s="22" t="s">
        <v>601</v>
      </c>
      <c r="B158" s="23">
        <v>45447</v>
      </c>
      <c r="C158" s="22" t="s">
        <v>520</v>
      </c>
      <c r="D158" s="22" t="s">
        <v>293</v>
      </c>
      <c r="E158" s="22" t="s">
        <v>602</v>
      </c>
      <c r="F158" s="24">
        <v>4</v>
      </c>
      <c r="G158" s="24">
        <v>3870</v>
      </c>
      <c r="H158" s="24">
        <v>29.6</v>
      </c>
      <c r="I158" s="24">
        <v>10897.92</v>
      </c>
      <c r="J158" s="22" t="s">
        <v>159</v>
      </c>
      <c r="K158" s="22" t="s">
        <v>105</v>
      </c>
      <c r="L158" t="str">
        <f>VLOOKUP(D158,Products!A:F,3,FALSE())</f>
        <v>Electronics</v>
      </c>
      <c r="M158" t="str">
        <f>VLOOKUP(C158,Customers!A:F,5,FALSE())</f>
        <v>SMB</v>
      </c>
      <c r="O158" t="str">
        <f>IFERROR(VLOOKUP(E158,Sales_Reps!$A:$C,3,FALSE()),"")</f>
        <v/>
      </c>
      <c r="P158">
        <f>IFERROR(VLOOKUP(C158,Customers!$A:$C,3,FALSE()),"")</f>
        <v>53</v>
      </c>
      <c r="Q158" t="str">
        <f t="shared" si="2"/>
        <v>Jun-24</v>
      </c>
      <c r="R158">
        <f>IFERROR((VLOOKUP(D158,Products!$A:$E,5,FALSE())-VLOOKUP(D158,Products!$A:$E,4,FALSE()))/VLOOKUP(D158,Products!$A:$E,5,FALSE()),"")</f>
        <v>0.59715762273901807</v>
      </c>
    </row>
    <row r="159" spans="1:18" x14ac:dyDescent="0.3">
      <c r="A159" s="22" t="s">
        <v>603</v>
      </c>
      <c r="B159" s="23">
        <v>45601</v>
      </c>
      <c r="C159" s="22" t="s">
        <v>604</v>
      </c>
      <c r="D159" s="22" t="s">
        <v>605</v>
      </c>
      <c r="E159" s="22" t="s">
        <v>606</v>
      </c>
      <c r="F159" s="24">
        <v>4</v>
      </c>
      <c r="G159" s="24">
        <v>3780</v>
      </c>
      <c r="H159" s="24">
        <v>3.5</v>
      </c>
      <c r="I159" s="24">
        <v>14590.8</v>
      </c>
      <c r="J159" s="22" t="s">
        <v>159</v>
      </c>
      <c r="K159" s="22" t="s">
        <v>105</v>
      </c>
      <c r="L159" t="str">
        <f>VLOOKUP(D159,Products!A:F,3,FALSE())</f>
        <v>Sports</v>
      </c>
      <c r="M159" t="str">
        <f>VLOOKUP(C159,Customers!A:F,5,FALSE())</f>
        <v>Corporate</v>
      </c>
      <c r="O159" t="str">
        <f>IFERROR(VLOOKUP(E159,Sales_Reps!$A:$C,3,FALSE()),"")</f>
        <v/>
      </c>
      <c r="P159">
        <f>IFERROR(VLOOKUP(C159,Customers!$A:$C,3,FALSE()),"")</f>
        <v>37</v>
      </c>
      <c r="Q159" t="str">
        <f t="shared" si="2"/>
        <v>Nov-24</v>
      </c>
      <c r="R159">
        <f>IFERROR((VLOOKUP(D159,Products!$A:$E,5,FALSE())-VLOOKUP(D159,Products!$A:$E,4,FALSE()))/VLOOKUP(D159,Products!$A:$E,5,FALSE()),"")</f>
        <v>0.50793650793650791</v>
      </c>
    </row>
    <row r="160" spans="1:18" x14ac:dyDescent="0.3">
      <c r="A160" s="22" t="s">
        <v>607</v>
      </c>
      <c r="B160" s="23">
        <v>45428</v>
      </c>
      <c r="C160" s="22" t="s">
        <v>608</v>
      </c>
      <c r="D160" s="22" t="s">
        <v>330</v>
      </c>
      <c r="E160" s="22" t="s">
        <v>609</v>
      </c>
      <c r="F160" s="24">
        <v>4</v>
      </c>
      <c r="G160" s="24">
        <v>3020</v>
      </c>
      <c r="H160" s="24">
        <v>18.899999999999999</v>
      </c>
      <c r="I160" s="24">
        <v>9796.8799999999992</v>
      </c>
      <c r="J160" s="22" t="s">
        <v>104</v>
      </c>
      <c r="K160" s="22" t="s">
        <v>134</v>
      </c>
      <c r="L160" t="str">
        <f>VLOOKUP(D160,Products!A:F,3,FALSE())</f>
        <v>Beauty</v>
      </c>
      <c r="M160" t="str">
        <f>VLOOKUP(C160,Customers!A:F,5,FALSE())</f>
        <v>Retail</v>
      </c>
      <c r="O160" t="str">
        <f>IFERROR(VLOOKUP(E160,Sales_Reps!$A:$C,3,FALSE()),"")</f>
        <v/>
      </c>
      <c r="P160">
        <f>IFERROR(VLOOKUP(C160,Customers!$A:$C,3,FALSE()),"")</f>
        <v>55</v>
      </c>
      <c r="Q160" t="str">
        <f t="shared" si="2"/>
        <v>May-24</v>
      </c>
      <c r="R160">
        <f>IFERROR((VLOOKUP(D160,Products!$A:$E,5,FALSE())-VLOOKUP(D160,Products!$A:$E,4,FALSE()))/VLOOKUP(D160,Products!$A:$E,5,FALSE()),"")</f>
        <v>0.46158940397350995</v>
      </c>
    </row>
    <row r="161" spans="1:18" x14ac:dyDescent="0.3">
      <c r="A161" s="22" t="s">
        <v>610</v>
      </c>
      <c r="B161" s="23">
        <v>45409</v>
      </c>
      <c r="C161" s="22" t="s">
        <v>611</v>
      </c>
      <c r="D161" s="22" t="s">
        <v>265</v>
      </c>
      <c r="E161" s="22" t="s">
        <v>612</v>
      </c>
      <c r="F161" s="24">
        <v>1</v>
      </c>
      <c r="G161" s="24">
        <v>3730</v>
      </c>
      <c r="H161" s="24">
        <v>10.8</v>
      </c>
      <c r="I161" s="24">
        <v>3327.16</v>
      </c>
      <c r="J161" s="22" t="s">
        <v>164</v>
      </c>
      <c r="K161" s="22" t="s">
        <v>129</v>
      </c>
      <c r="L161" t="str">
        <f>VLOOKUP(D161,Products!A:F,3,FALSE())</f>
        <v>Home</v>
      </c>
      <c r="M161" t="str">
        <f>VLOOKUP(C161,Customers!A:F,5,FALSE())</f>
        <v>Retail</v>
      </c>
      <c r="O161" t="str">
        <f>IFERROR(VLOOKUP(E161,Sales_Reps!$A:$C,3,FALSE()),"")</f>
        <v/>
      </c>
      <c r="P161">
        <f>IFERROR(VLOOKUP(C161,Customers!$A:$C,3,FALSE()),"")</f>
        <v>61</v>
      </c>
      <c r="Q161" t="str">
        <f t="shared" si="2"/>
        <v>Apr-24</v>
      </c>
      <c r="R161">
        <f>IFERROR((VLOOKUP(D161,Products!$A:$E,5,FALSE())-VLOOKUP(D161,Products!$A:$E,4,FALSE()))/VLOOKUP(D161,Products!$A:$E,5,FALSE()),"")</f>
        <v>0.42761394101876676</v>
      </c>
    </row>
    <row r="162" spans="1:18" x14ac:dyDescent="0.3">
      <c r="A162" s="22" t="s">
        <v>613</v>
      </c>
      <c r="B162" s="23">
        <v>45394</v>
      </c>
      <c r="C162" s="22" t="s">
        <v>411</v>
      </c>
      <c r="D162" s="22" t="s">
        <v>212</v>
      </c>
      <c r="E162" s="22" t="s">
        <v>614</v>
      </c>
      <c r="F162" s="24">
        <v>8</v>
      </c>
      <c r="G162" s="24">
        <v>4880</v>
      </c>
      <c r="H162" s="24">
        <v>20.3</v>
      </c>
      <c r="I162" s="24">
        <v>31114.880000000001</v>
      </c>
      <c r="J162" s="22" t="s">
        <v>104</v>
      </c>
      <c r="K162" s="22" t="s">
        <v>151</v>
      </c>
      <c r="L162" t="str">
        <f>VLOOKUP(D162,Products!A:F,3,FALSE())</f>
        <v>Beauty</v>
      </c>
      <c r="M162" t="str">
        <f>VLOOKUP(C162,Customers!A:F,5,FALSE())</f>
        <v>SMB</v>
      </c>
      <c r="O162" t="str">
        <f>IFERROR(VLOOKUP(E162,Sales_Reps!$A:$C,3,FALSE()),"")</f>
        <v/>
      </c>
      <c r="P162">
        <f>IFERROR(VLOOKUP(C162,Customers!$A:$C,3,FALSE()),"")</f>
        <v>65</v>
      </c>
      <c r="Q162" t="str">
        <f t="shared" si="2"/>
        <v>Apr-24</v>
      </c>
      <c r="R162">
        <f>IFERROR((VLOOKUP(D162,Products!$A:$E,5,FALSE())-VLOOKUP(D162,Products!$A:$E,4,FALSE()))/VLOOKUP(D162,Products!$A:$E,5,FALSE()),"")</f>
        <v>0.43278688524590164</v>
      </c>
    </row>
    <row r="163" spans="1:18" x14ac:dyDescent="0.3">
      <c r="A163" s="22" t="s">
        <v>615</v>
      </c>
      <c r="B163" s="23">
        <v>45579</v>
      </c>
      <c r="C163" s="22" t="s">
        <v>170</v>
      </c>
      <c r="D163" s="22" t="s">
        <v>145</v>
      </c>
      <c r="E163" s="22" t="s">
        <v>616</v>
      </c>
      <c r="F163" s="24">
        <v>9</v>
      </c>
      <c r="G163" s="24">
        <v>970</v>
      </c>
      <c r="H163" s="24">
        <v>18.2</v>
      </c>
      <c r="I163" s="24">
        <v>7141.14</v>
      </c>
      <c r="J163" s="22" t="s">
        <v>104</v>
      </c>
      <c r="K163" s="22" t="s">
        <v>105</v>
      </c>
      <c r="L163" t="str">
        <f>VLOOKUP(D163,Products!A:F,3,FALSE())</f>
        <v>Grocery</v>
      </c>
      <c r="M163" t="str">
        <f>VLOOKUP(C163,Customers!A:F,5,FALSE())</f>
        <v>Retail</v>
      </c>
      <c r="O163" t="str">
        <f>IFERROR(VLOOKUP(E163,Sales_Reps!$A:$C,3,FALSE()),"")</f>
        <v/>
      </c>
      <c r="P163">
        <f>IFERROR(VLOOKUP(C163,Customers!$A:$C,3,FALSE()),"")</f>
        <v>63</v>
      </c>
      <c r="Q163" t="str">
        <f t="shared" si="2"/>
        <v>Oct-24</v>
      </c>
      <c r="R163">
        <f>IFERROR((VLOOKUP(D163,Products!$A:$E,5,FALSE())-VLOOKUP(D163,Products!$A:$E,4,FALSE()))/VLOOKUP(D163,Products!$A:$E,5,FALSE()),"")</f>
        <v>0.5525773195876289</v>
      </c>
    </row>
    <row r="164" spans="1:18" x14ac:dyDescent="0.3">
      <c r="A164" s="22" t="s">
        <v>617</v>
      </c>
      <c r="B164" s="23">
        <v>45442</v>
      </c>
      <c r="C164" s="22" t="s">
        <v>618</v>
      </c>
      <c r="D164" s="22" t="s">
        <v>334</v>
      </c>
      <c r="E164" s="22" t="s">
        <v>619</v>
      </c>
      <c r="F164" s="24">
        <v>8</v>
      </c>
      <c r="G164" s="24">
        <v>2660</v>
      </c>
      <c r="H164" s="24">
        <v>17.600000000000001</v>
      </c>
      <c r="I164" s="24">
        <v>17534.72</v>
      </c>
      <c r="J164" s="22" t="s">
        <v>104</v>
      </c>
      <c r="K164" s="22" t="s">
        <v>134</v>
      </c>
      <c r="L164" t="str">
        <f>VLOOKUP(D164,Products!A:F,3,FALSE())</f>
        <v>Electronics</v>
      </c>
      <c r="M164" t="str">
        <f>VLOOKUP(C164,Customers!A:F,5,FALSE())</f>
        <v>SMB</v>
      </c>
      <c r="O164" t="str">
        <f>IFERROR(VLOOKUP(E164,Sales_Reps!$A:$C,3,FALSE()),"")</f>
        <v/>
      </c>
      <c r="P164">
        <f>IFERROR(VLOOKUP(C164,Customers!$A:$C,3,FALSE()),"")</f>
        <v>43</v>
      </c>
      <c r="Q164" t="str">
        <f t="shared" si="2"/>
        <v>May-24</v>
      </c>
      <c r="R164">
        <f>IFERROR((VLOOKUP(D164,Products!$A:$E,5,FALSE())-VLOOKUP(D164,Products!$A:$E,4,FALSE()))/VLOOKUP(D164,Products!$A:$E,5,FALSE()),"")</f>
        <v>0.52669172932330832</v>
      </c>
    </row>
    <row r="165" spans="1:18" x14ac:dyDescent="0.3">
      <c r="A165" s="22" t="s">
        <v>620</v>
      </c>
      <c r="B165" s="23">
        <v>45414</v>
      </c>
      <c r="C165" s="22" t="s">
        <v>156</v>
      </c>
      <c r="D165" s="22" t="s">
        <v>108</v>
      </c>
      <c r="E165" s="22" t="s">
        <v>621</v>
      </c>
      <c r="F165" s="24">
        <v>2</v>
      </c>
      <c r="G165" s="24">
        <v>820</v>
      </c>
      <c r="H165" s="24">
        <v>18.100000000000001</v>
      </c>
      <c r="I165" s="24">
        <v>1343.16</v>
      </c>
      <c r="J165" s="22" t="s">
        <v>159</v>
      </c>
      <c r="K165" s="22" t="s">
        <v>116</v>
      </c>
      <c r="L165" t="str">
        <f>VLOOKUP(D165,Products!A:F,3,FALSE())</f>
        <v>Apparel</v>
      </c>
      <c r="M165" t="str">
        <f>VLOOKUP(C165,Customers!A:F,5,FALSE())</f>
        <v>SMB</v>
      </c>
      <c r="O165" t="str">
        <f>IFERROR(VLOOKUP(E165,Sales_Reps!$A:$C,3,FALSE()),"")</f>
        <v/>
      </c>
      <c r="P165">
        <f>IFERROR(VLOOKUP(C165,Customers!$A:$C,3,FALSE()),"")</f>
        <v>27</v>
      </c>
      <c r="Q165" t="str">
        <f t="shared" si="2"/>
        <v>May-24</v>
      </c>
      <c r="R165">
        <f>IFERROR((VLOOKUP(D165,Products!$A:$E,5,FALSE())-VLOOKUP(D165,Products!$A:$E,4,FALSE()))/VLOOKUP(D165,Products!$A:$E,5,FALSE()),"")</f>
        <v>0.52317073170731709</v>
      </c>
    </row>
    <row r="166" spans="1:18" x14ac:dyDescent="0.3">
      <c r="A166" s="22" t="s">
        <v>622</v>
      </c>
      <c r="B166" s="23">
        <v>45349</v>
      </c>
      <c r="C166" s="22" t="s">
        <v>623</v>
      </c>
      <c r="D166" s="22" t="s">
        <v>356</v>
      </c>
      <c r="E166" s="22" t="s">
        <v>624</v>
      </c>
      <c r="F166" s="24">
        <v>7</v>
      </c>
      <c r="G166" s="24">
        <v>2030</v>
      </c>
      <c r="H166" s="24">
        <v>23.7</v>
      </c>
      <c r="I166" s="24">
        <v>10842.23</v>
      </c>
      <c r="J166" s="22" t="s">
        <v>110</v>
      </c>
      <c r="K166" s="22" t="s">
        <v>111</v>
      </c>
      <c r="L166" t="str">
        <f>VLOOKUP(D166,Products!A:F,3,FALSE())</f>
        <v>Home</v>
      </c>
      <c r="M166" t="str">
        <f>VLOOKUP(C166,Customers!A:F,5,FALSE())</f>
        <v>Corporate</v>
      </c>
      <c r="O166" t="str">
        <f>IFERROR(VLOOKUP(E166,Sales_Reps!$A:$C,3,FALSE()),"")</f>
        <v/>
      </c>
      <c r="P166">
        <f>IFERROR(VLOOKUP(C166,Customers!$A:$C,3,FALSE()),"")</f>
        <v>35</v>
      </c>
      <c r="Q166" t="str">
        <f t="shared" si="2"/>
        <v>Feb-24</v>
      </c>
      <c r="R166">
        <f>IFERROR((VLOOKUP(D166,Products!$A:$E,5,FALSE())-VLOOKUP(D166,Products!$A:$E,4,FALSE()))/VLOOKUP(D166,Products!$A:$E,5,FALSE()),"")</f>
        <v>0.43694581280788175</v>
      </c>
    </row>
    <row r="167" spans="1:18" x14ac:dyDescent="0.3">
      <c r="A167" s="22" t="s">
        <v>625</v>
      </c>
      <c r="B167" s="23">
        <v>45533</v>
      </c>
      <c r="C167" s="22" t="s">
        <v>626</v>
      </c>
      <c r="D167" s="22" t="s">
        <v>352</v>
      </c>
      <c r="E167" s="22" t="s">
        <v>627</v>
      </c>
      <c r="F167" s="24">
        <v>5</v>
      </c>
      <c r="G167" s="24">
        <v>620</v>
      </c>
      <c r="H167" s="24">
        <v>13.8</v>
      </c>
      <c r="I167" s="24">
        <v>2672.2</v>
      </c>
      <c r="J167" s="22" t="s">
        <v>104</v>
      </c>
      <c r="K167" s="22" t="s">
        <v>116</v>
      </c>
      <c r="L167" t="str">
        <f>VLOOKUP(D167,Products!A:F,3,FALSE())</f>
        <v>Apparel</v>
      </c>
      <c r="M167" t="str">
        <f>VLOOKUP(C167,Customers!A:F,5,FALSE())</f>
        <v>SMB</v>
      </c>
      <c r="O167" t="str">
        <f>IFERROR(VLOOKUP(E167,Sales_Reps!$A:$C,3,FALSE()),"")</f>
        <v/>
      </c>
      <c r="P167">
        <f>IFERROR(VLOOKUP(C167,Customers!$A:$C,3,FALSE()),"")</f>
        <v>59</v>
      </c>
      <c r="Q167" t="str">
        <f t="shared" si="2"/>
        <v>Aug-24</v>
      </c>
      <c r="R167">
        <f>IFERROR((VLOOKUP(D167,Products!$A:$E,5,FALSE())-VLOOKUP(D167,Products!$A:$E,4,FALSE()))/VLOOKUP(D167,Products!$A:$E,5,FALSE()),"")</f>
        <v>0.36129032258064514</v>
      </c>
    </row>
    <row r="168" spans="1:18" x14ac:dyDescent="0.3">
      <c r="A168" s="22" t="s">
        <v>628</v>
      </c>
      <c r="B168" s="23">
        <v>45489</v>
      </c>
      <c r="C168" s="22" t="s">
        <v>590</v>
      </c>
      <c r="D168" s="22" t="s">
        <v>289</v>
      </c>
      <c r="E168" s="22" t="s">
        <v>629</v>
      </c>
      <c r="F168" s="24">
        <v>7</v>
      </c>
      <c r="G168" s="24">
        <v>2270</v>
      </c>
      <c r="H168" s="24">
        <v>5.5</v>
      </c>
      <c r="I168" s="24">
        <v>15016.05</v>
      </c>
      <c r="J168" s="22" t="s">
        <v>104</v>
      </c>
      <c r="K168" s="22" t="s">
        <v>116</v>
      </c>
      <c r="L168" t="str">
        <f>VLOOKUP(D168,Products!A:F,3,FALSE())</f>
        <v>Grocery</v>
      </c>
      <c r="M168" t="str">
        <f>VLOOKUP(C168,Customers!A:F,5,FALSE())</f>
        <v>SMB</v>
      </c>
      <c r="O168" t="str">
        <f>IFERROR(VLOOKUP(E168,Sales_Reps!$A:$C,3,FALSE()),"")</f>
        <v/>
      </c>
      <c r="P168">
        <f>IFERROR(VLOOKUP(C168,Customers!$A:$C,3,FALSE()),"")</f>
        <v>34</v>
      </c>
      <c r="Q168" t="str">
        <f t="shared" si="2"/>
        <v>Jul-24</v>
      </c>
      <c r="R168">
        <f>IFERROR((VLOOKUP(D168,Products!$A:$E,5,FALSE())-VLOOKUP(D168,Products!$A:$E,4,FALSE()))/VLOOKUP(D168,Products!$A:$E,5,FALSE()),"")</f>
        <v>0.37797356828193834</v>
      </c>
    </row>
    <row r="169" spans="1:18" x14ac:dyDescent="0.3">
      <c r="A169" s="22" t="s">
        <v>630</v>
      </c>
      <c r="B169" s="23">
        <v>45457</v>
      </c>
      <c r="C169" s="22" t="s">
        <v>200</v>
      </c>
      <c r="D169" s="22" t="s">
        <v>114</v>
      </c>
      <c r="E169" s="22" t="s">
        <v>631</v>
      </c>
      <c r="F169" s="24">
        <v>1</v>
      </c>
      <c r="G169" s="24">
        <v>470</v>
      </c>
      <c r="H169" s="24">
        <v>13.7</v>
      </c>
      <c r="I169" s="24">
        <v>405.61</v>
      </c>
      <c r="J169" s="22" t="s">
        <v>110</v>
      </c>
      <c r="K169" s="22" t="s">
        <v>151</v>
      </c>
      <c r="L169" t="str">
        <f>VLOOKUP(D169,Products!A:F,3,FALSE())</f>
        <v>Sports</v>
      </c>
      <c r="M169" t="str">
        <f>VLOOKUP(C169,Customers!A:F,5,FALSE())</f>
        <v>SMB</v>
      </c>
      <c r="O169" t="str">
        <f>IFERROR(VLOOKUP(E169,Sales_Reps!$A:$C,3,FALSE()),"")</f>
        <v/>
      </c>
      <c r="P169">
        <f>IFERROR(VLOOKUP(C169,Customers!$A:$C,3,FALSE()),"")</f>
        <v>40</v>
      </c>
      <c r="Q169" t="str">
        <f t="shared" si="2"/>
        <v>Jun-24</v>
      </c>
      <c r="R169">
        <f>IFERROR((VLOOKUP(D169,Products!$A:$E,5,FALSE())-VLOOKUP(D169,Products!$A:$E,4,FALSE()))/VLOOKUP(D169,Products!$A:$E,5,FALSE()),"")</f>
        <v>0.35744680851063831</v>
      </c>
    </row>
    <row r="170" spans="1:18" x14ac:dyDescent="0.3">
      <c r="A170" s="22" t="s">
        <v>632</v>
      </c>
      <c r="B170" s="23">
        <v>45601</v>
      </c>
      <c r="C170" s="22" t="s">
        <v>170</v>
      </c>
      <c r="D170" s="22" t="s">
        <v>455</v>
      </c>
      <c r="E170" s="22" t="s">
        <v>633</v>
      </c>
      <c r="F170" s="24">
        <v>6</v>
      </c>
      <c r="G170" s="24">
        <v>5330</v>
      </c>
      <c r="H170" s="24">
        <v>17.899999999999999</v>
      </c>
      <c r="I170" s="24">
        <v>26255.58</v>
      </c>
      <c r="J170" s="22" t="s">
        <v>104</v>
      </c>
      <c r="K170" s="22" t="s">
        <v>105</v>
      </c>
      <c r="L170" t="str">
        <f>VLOOKUP(D170,Products!A:F,3,FALSE())</f>
        <v>Electronics</v>
      </c>
      <c r="M170" t="str">
        <f>VLOOKUP(C170,Customers!A:F,5,FALSE())</f>
        <v>Retail</v>
      </c>
      <c r="O170" t="str">
        <f>IFERROR(VLOOKUP(E170,Sales_Reps!$A:$C,3,FALSE()),"")</f>
        <v/>
      </c>
      <c r="P170">
        <f>IFERROR(VLOOKUP(C170,Customers!$A:$C,3,FALSE()),"")</f>
        <v>63</v>
      </c>
      <c r="Q170" t="str">
        <f t="shared" si="2"/>
        <v>Nov-24</v>
      </c>
      <c r="R170">
        <f>IFERROR((VLOOKUP(D170,Products!$A:$E,5,FALSE())-VLOOKUP(D170,Products!$A:$E,4,FALSE()))/VLOOKUP(D170,Products!$A:$E,5,FALSE()),"")</f>
        <v>0.54878048780487809</v>
      </c>
    </row>
    <row r="171" spans="1:18" x14ac:dyDescent="0.3">
      <c r="A171" s="22" t="s">
        <v>634</v>
      </c>
      <c r="B171" s="23">
        <v>45294</v>
      </c>
      <c r="C171" s="22" t="s">
        <v>635</v>
      </c>
      <c r="D171" s="22" t="s">
        <v>283</v>
      </c>
      <c r="E171" s="22" t="s">
        <v>636</v>
      </c>
      <c r="F171" s="24">
        <v>1</v>
      </c>
      <c r="G171" s="24">
        <v>6080</v>
      </c>
      <c r="H171" s="24">
        <v>25.5</v>
      </c>
      <c r="I171" s="24">
        <v>4529.6000000000004</v>
      </c>
      <c r="J171" s="22" t="s">
        <v>104</v>
      </c>
      <c r="K171" s="22" t="s">
        <v>105</v>
      </c>
      <c r="L171" t="str">
        <f>VLOOKUP(D171,Products!A:F,3,FALSE())</f>
        <v>Beauty</v>
      </c>
      <c r="M171" t="str">
        <f>VLOOKUP(C171,Customers!A:F,5,FALSE())</f>
        <v>SMB</v>
      </c>
      <c r="O171" t="str">
        <f>IFERROR(VLOOKUP(E171,Sales_Reps!$A:$C,3,FALSE()),"")</f>
        <v/>
      </c>
      <c r="P171">
        <f>IFERROR(VLOOKUP(C171,Customers!$A:$C,3,FALSE()),"")</f>
        <v>49</v>
      </c>
      <c r="Q171" t="str">
        <f t="shared" si="2"/>
        <v>Jan-24</v>
      </c>
      <c r="R171">
        <f>IFERROR((VLOOKUP(D171,Products!$A:$E,5,FALSE())-VLOOKUP(D171,Products!$A:$E,4,FALSE()))/VLOOKUP(D171,Products!$A:$E,5,FALSE()),"")</f>
        <v>0.56957236842105263</v>
      </c>
    </row>
    <row r="172" spans="1:18" x14ac:dyDescent="0.3">
      <c r="A172" s="22" t="s">
        <v>637</v>
      </c>
      <c r="B172" s="23">
        <v>45345</v>
      </c>
      <c r="C172" s="22" t="s">
        <v>311</v>
      </c>
      <c r="D172" s="22" t="s">
        <v>275</v>
      </c>
      <c r="E172" s="22" t="s">
        <v>638</v>
      </c>
      <c r="F172" s="24">
        <v>5</v>
      </c>
      <c r="G172" s="24">
        <v>3780</v>
      </c>
      <c r="H172" s="24">
        <v>28.6</v>
      </c>
      <c r="I172" s="24">
        <v>13494.6</v>
      </c>
      <c r="J172" s="22" t="s">
        <v>104</v>
      </c>
      <c r="K172" s="22" t="s">
        <v>116</v>
      </c>
      <c r="L172" t="str">
        <f>VLOOKUP(D172,Products!A:F,3,FALSE())</f>
        <v>Grocery</v>
      </c>
      <c r="M172" t="str">
        <f>VLOOKUP(C172,Customers!A:F,5,FALSE())</f>
        <v>Retail</v>
      </c>
      <c r="O172" t="str">
        <f>IFERROR(VLOOKUP(E172,Sales_Reps!$A:$C,3,FALSE()),"")</f>
        <v/>
      </c>
      <c r="P172">
        <f>IFERROR(VLOOKUP(C172,Customers!$A:$C,3,FALSE()),"")</f>
        <v>54</v>
      </c>
      <c r="Q172" t="str">
        <f t="shared" si="2"/>
        <v>Feb-24</v>
      </c>
      <c r="R172">
        <f>IFERROR((VLOOKUP(D172,Products!$A:$E,5,FALSE())-VLOOKUP(D172,Products!$A:$E,4,FALSE()))/VLOOKUP(D172,Products!$A:$E,5,FALSE()),"")</f>
        <v>0.35555555555555557</v>
      </c>
    </row>
    <row r="173" spans="1:18" x14ac:dyDescent="0.3">
      <c r="A173" s="22" t="s">
        <v>639</v>
      </c>
      <c r="B173" s="23">
        <v>45391</v>
      </c>
      <c r="C173" s="22" t="s">
        <v>640</v>
      </c>
      <c r="D173" s="22" t="s">
        <v>352</v>
      </c>
      <c r="E173" s="22" t="s">
        <v>641</v>
      </c>
      <c r="F173" s="24">
        <v>5</v>
      </c>
      <c r="G173" s="24">
        <v>620</v>
      </c>
      <c r="H173" s="24">
        <v>6.9</v>
      </c>
      <c r="I173" s="24">
        <v>2886.1</v>
      </c>
      <c r="J173" s="22" t="s">
        <v>159</v>
      </c>
      <c r="K173" s="22" t="s">
        <v>151</v>
      </c>
      <c r="L173" t="str">
        <f>VLOOKUP(D173,Products!A:F,3,FALSE())</f>
        <v>Apparel</v>
      </c>
      <c r="M173" t="str">
        <f>VLOOKUP(C173,Customers!A:F,5,FALSE())</f>
        <v>Corporate</v>
      </c>
      <c r="O173" t="str">
        <f>IFERROR(VLOOKUP(E173,Sales_Reps!$A:$C,3,FALSE()),"")</f>
        <v/>
      </c>
      <c r="P173">
        <f>IFERROR(VLOOKUP(C173,Customers!$A:$C,3,FALSE()),"")</f>
        <v>52</v>
      </c>
      <c r="Q173" t="str">
        <f t="shared" si="2"/>
        <v>Apr-24</v>
      </c>
      <c r="R173">
        <f>IFERROR((VLOOKUP(D173,Products!$A:$E,5,FALSE())-VLOOKUP(D173,Products!$A:$E,4,FALSE()))/VLOOKUP(D173,Products!$A:$E,5,FALSE()),"")</f>
        <v>0.36129032258064514</v>
      </c>
    </row>
    <row r="174" spans="1:18" x14ac:dyDescent="0.3">
      <c r="A174" s="22" t="s">
        <v>642</v>
      </c>
      <c r="B174" s="23">
        <v>45419</v>
      </c>
      <c r="C174" s="22" t="s">
        <v>551</v>
      </c>
      <c r="D174" s="22" t="s">
        <v>442</v>
      </c>
      <c r="E174" s="22" t="s">
        <v>643</v>
      </c>
      <c r="F174" s="24">
        <v>8</v>
      </c>
      <c r="G174" s="24">
        <v>2510</v>
      </c>
      <c r="H174" s="24">
        <v>0.7</v>
      </c>
      <c r="I174" s="24">
        <v>19939.439999999999</v>
      </c>
      <c r="J174" s="22" t="s">
        <v>104</v>
      </c>
      <c r="K174" s="22" t="s">
        <v>105</v>
      </c>
      <c r="L174" t="str">
        <f>VLOOKUP(D174,Products!A:F,3,FALSE())</f>
        <v>Apparel</v>
      </c>
      <c r="M174" t="str">
        <f>VLOOKUP(C174,Customers!A:F,5,FALSE())</f>
        <v>Corporate</v>
      </c>
      <c r="O174" t="str">
        <f>IFERROR(VLOOKUP(E174,Sales_Reps!$A:$C,3,FALSE()),"")</f>
        <v/>
      </c>
      <c r="P174">
        <f>IFERROR(VLOOKUP(C174,Customers!$A:$C,3,FALSE()),"")</f>
        <v>48</v>
      </c>
      <c r="Q174" t="str">
        <f t="shared" si="2"/>
        <v>May-24</v>
      </c>
      <c r="R174">
        <f>IFERROR((VLOOKUP(D174,Products!$A:$E,5,FALSE())-VLOOKUP(D174,Products!$A:$E,4,FALSE()))/VLOOKUP(D174,Products!$A:$E,5,FALSE()),"")</f>
        <v>0.57171314741035861</v>
      </c>
    </row>
    <row r="175" spans="1:18" x14ac:dyDescent="0.3">
      <c r="A175" s="22" t="s">
        <v>644</v>
      </c>
      <c r="B175" s="23">
        <v>45306</v>
      </c>
      <c r="C175" s="22" t="s">
        <v>645</v>
      </c>
      <c r="D175" s="22" t="s">
        <v>197</v>
      </c>
      <c r="E175" s="22" t="s">
        <v>646</v>
      </c>
      <c r="F175" s="24">
        <v>1</v>
      </c>
      <c r="G175" s="24">
        <v>2720</v>
      </c>
      <c r="H175" s="24">
        <v>13.7</v>
      </c>
      <c r="I175" s="24">
        <v>2347.36</v>
      </c>
      <c r="J175" s="22" t="s">
        <v>104</v>
      </c>
      <c r="K175" s="22" t="s">
        <v>105</v>
      </c>
      <c r="L175" t="str">
        <f>VLOOKUP(D175,Products!A:F,3,FALSE())</f>
        <v>Apparel</v>
      </c>
      <c r="M175" t="str">
        <f>VLOOKUP(C175,Customers!A:F,5,FALSE())</f>
        <v>Retail</v>
      </c>
      <c r="O175" t="str">
        <f>IFERROR(VLOOKUP(E175,Sales_Reps!$A:$C,3,FALSE()),"")</f>
        <v/>
      </c>
      <c r="P175">
        <f>IFERROR(VLOOKUP(C175,Customers!$A:$C,3,FALSE()),"")</f>
        <v>49</v>
      </c>
      <c r="Q175" t="str">
        <f t="shared" si="2"/>
        <v>Jan-24</v>
      </c>
      <c r="R175">
        <f>IFERROR((VLOOKUP(D175,Products!$A:$E,5,FALSE())-VLOOKUP(D175,Products!$A:$E,4,FALSE()))/VLOOKUP(D175,Products!$A:$E,5,FALSE()),"")</f>
        <v>0.2786764705882353</v>
      </c>
    </row>
    <row r="176" spans="1:18" x14ac:dyDescent="0.3">
      <c r="A176" s="22" t="s">
        <v>647</v>
      </c>
      <c r="B176" s="23">
        <v>45546</v>
      </c>
      <c r="C176" s="22" t="s">
        <v>648</v>
      </c>
      <c r="D176" s="22" t="s">
        <v>114</v>
      </c>
      <c r="E176" s="22" t="s">
        <v>649</v>
      </c>
      <c r="F176" s="24">
        <v>9</v>
      </c>
      <c r="G176" s="24">
        <v>470</v>
      </c>
      <c r="H176" s="24">
        <v>23.6</v>
      </c>
      <c r="I176" s="24">
        <v>3231.72</v>
      </c>
      <c r="J176" s="22" t="s">
        <v>104</v>
      </c>
      <c r="K176" s="22" t="s">
        <v>105</v>
      </c>
      <c r="L176" t="str">
        <f>VLOOKUP(D176,Products!A:F,3,FALSE())</f>
        <v>Sports</v>
      </c>
      <c r="M176" t="str">
        <f>VLOOKUP(C176,Customers!A:F,5,FALSE())</f>
        <v>Corporate</v>
      </c>
      <c r="O176" t="str">
        <f>IFERROR(VLOOKUP(E176,Sales_Reps!$A:$C,3,FALSE()),"")</f>
        <v/>
      </c>
      <c r="P176">
        <f>IFERROR(VLOOKUP(C176,Customers!$A:$C,3,FALSE()),"")</f>
        <v>29</v>
      </c>
      <c r="Q176" t="str">
        <f t="shared" si="2"/>
        <v>Sep-24</v>
      </c>
      <c r="R176">
        <f>IFERROR((VLOOKUP(D176,Products!$A:$E,5,FALSE())-VLOOKUP(D176,Products!$A:$E,4,FALSE()))/VLOOKUP(D176,Products!$A:$E,5,FALSE()),"")</f>
        <v>0.35744680851063831</v>
      </c>
    </row>
    <row r="177" spans="1:18" x14ac:dyDescent="0.3">
      <c r="A177" s="22" t="s">
        <v>650</v>
      </c>
      <c r="B177" s="23">
        <v>45633</v>
      </c>
      <c r="C177" s="22" t="s">
        <v>380</v>
      </c>
      <c r="D177" s="22" t="s">
        <v>162</v>
      </c>
      <c r="E177" s="22" t="s">
        <v>651</v>
      </c>
      <c r="F177" s="24">
        <v>10</v>
      </c>
      <c r="G177" s="24">
        <v>3250</v>
      </c>
      <c r="H177" s="24">
        <v>21</v>
      </c>
      <c r="I177" s="24">
        <v>25675</v>
      </c>
      <c r="J177" s="22" t="s">
        <v>159</v>
      </c>
      <c r="K177" s="22" t="s">
        <v>151</v>
      </c>
      <c r="L177" t="str">
        <f>VLOOKUP(D177,Products!A:F,3,FALSE())</f>
        <v>Home</v>
      </c>
      <c r="M177" t="str">
        <f>VLOOKUP(C177,Customers!A:F,5,FALSE())</f>
        <v>Retail</v>
      </c>
      <c r="O177" t="str">
        <f>IFERROR(VLOOKUP(E177,Sales_Reps!$A:$C,3,FALSE()),"")</f>
        <v/>
      </c>
      <c r="P177">
        <f>IFERROR(VLOOKUP(C177,Customers!$A:$C,3,FALSE()),"")</f>
        <v>46</v>
      </c>
      <c r="Q177" t="str">
        <f t="shared" si="2"/>
        <v>Dec-24</v>
      </c>
      <c r="R177">
        <f>IFERROR((VLOOKUP(D177,Products!$A:$E,5,FALSE())-VLOOKUP(D177,Products!$A:$E,4,FALSE()))/VLOOKUP(D177,Products!$A:$E,5,FALSE()),"")</f>
        <v>0.52123076923076928</v>
      </c>
    </row>
    <row r="178" spans="1:18" x14ac:dyDescent="0.3">
      <c r="A178" s="22" t="s">
        <v>652</v>
      </c>
      <c r="B178" s="23">
        <v>45649</v>
      </c>
      <c r="C178" s="22" t="s">
        <v>653</v>
      </c>
      <c r="D178" s="22" t="s">
        <v>577</v>
      </c>
      <c r="E178" s="22" t="s">
        <v>654</v>
      </c>
      <c r="F178" s="24">
        <v>6</v>
      </c>
      <c r="G178" s="24">
        <v>5080</v>
      </c>
      <c r="H178" s="24">
        <v>16.8</v>
      </c>
      <c r="I178" s="24">
        <v>25359.360000000001</v>
      </c>
      <c r="J178" s="22" t="s">
        <v>110</v>
      </c>
      <c r="K178" s="22" t="s">
        <v>116</v>
      </c>
      <c r="L178" t="str">
        <f>VLOOKUP(D178,Products!A:F,3,FALSE())</f>
        <v>Home</v>
      </c>
      <c r="M178" t="str">
        <f>VLOOKUP(C178,Customers!A:F,5,FALSE())</f>
        <v>Retail</v>
      </c>
      <c r="O178" t="str">
        <f>IFERROR(VLOOKUP(E178,Sales_Reps!$A:$C,3,FALSE()),"")</f>
        <v/>
      </c>
      <c r="P178">
        <f>IFERROR(VLOOKUP(C178,Customers!$A:$C,3,FALSE()),"")</f>
        <v>59</v>
      </c>
      <c r="Q178" t="str">
        <f t="shared" si="2"/>
        <v>Dec-24</v>
      </c>
      <c r="R178">
        <f>IFERROR((VLOOKUP(D178,Products!$A:$E,5,FALSE())-VLOOKUP(D178,Products!$A:$E,4,FALSE()))/VLOOKUP(D178,Products!$A:$E,5,FALSE()),"")</f>
        <v>0.51594488188976373</v>
      </c>
    </row>
    <row r="179" spans="1:18" x14ac:dyDescent="0.3">
      <c r="A179" s="22" t="s">
        <v>655</v>
      </c>
      <c r="B179" s="23">
        <v>45312</v>
      </c>
      <c r="C179" s="22" t="s">
        <v>576</v>
      </c>
      <c r="D179" s="22" t="s">
        <v>216</v>
      </c>
      <c r="E179" s="22" t="s">
        <v>656</v>
      </c>
      <c r="F179" s="24">
        <v>2</v>
      </c>
      <c r="G179" s="24">
        <v>3570</v>
      </c>
      <c r="H179" s="24">
        <v>6.7</v>
      </c>
      <c r="I179" s="24">
        <v>6661.62</v>
      </c>
      <c r="J179" s="22" t="s">
        <v>159</v>
      </c>
      <c r="K179" s="22" t="s">
        <v>105</v>
      </c>
      <c r="L179" t="str">
        <f>VLOOKUP(D179,Products!A:F,3,FALSE())</f>
        <v>Electronics</v>
      </c>
      <c r="M179" t="str">
        <f>VLOOKUP(C179,Customers!A:F,5,FALSE())</f>
        <v>Retail</v>
      </c>
      <c r="O179" t="str">
        <f>IFERROR(VLOOKUP(E179,Sales_Reps!$A:$C,3,FALSE()),"")</f>
        <v/>
      </c>
      <c r="P179">
        <f>IFERROR(VLOOKUP(C179,Customers!$A:$C,3,FALSE()),"")</f>
        <v>65</v>
      </c>
      <c r="Q179" t="str">
        <f t="shared" si="2"/>
        <v>Jan-24</v>
      </c>
      <c r="R179">
        <f>IFERROR((VLOOKUP(D179,Products!$A:$E,5,FALSE())-VLOOKUP(D179,Products!$A:$E,4,FALSE()))/VLOOKUP(D179,Products!$A:$E,5,FALSE()),"")</f>
        <v>0.53361344537815125</v>
      </c>
    </row>
    <row r="180" spans="1:18" x14ac:dyDescent="0.3">
      <c r="A180" s="22" t="s">
        <v>657</v>
      </c>
      <c r="B180" s="23">
        <v>45382</v>
      </c>
      <c r="C180" s="22" t="s">
        <v>658</v>
      </c>
      <c r="D180" s="22" t="s">
        <v>279</v>
      </c>
      <c r="E180" s="22" t="s">
        <v>659</v>
      </c>
      <c r="F180" s="24">
        <v>4</v>
      </c>
      <c r="G180" s="24">
        <v>3640</v>
      </c>
      <c r="H180" s="24">
        <v>18.399999999999999</v>
      </c>
      <c r="I180" s="24">
        <v>11880.96</v>
      </c>
      <c r="J180" s="22" t="s">
        <v>104</v>
      </c>
      <c r="K180" s="22" t="s">
        <v>105</v>
      </c>
      <c r="L180" t="str">
        <f>VLOOKUP(D180,Products!A:F,3,FALSE())</f>
        <v>Apparel</v>
      </c>
      <c r="M180" t="str">
        <f>VLOOKUP(C180,Customers!A:F,5,FALSE())</f>
        <v>Retail</v>
      </c>
      <c r="O180" t="str">
        <f>IFERROR(VLOOKUP(E180,Sales_Reps!$A:$C,3,FALSE()),"")</f>
        <v/>
      </c>
      <c r="P180">
        <f>IFERROR(VLOOKUP(C180,Customers!$A:$C,3,FALSE()),"")</f>
        <v>57</v>
      </c>
      <c r="Q180" t="str">
        <f t="shared" si="2"/>
        <v>Mar-24</v>
      </c>
      <c r="R180">
        <f>IFERROR((VLOOKUP(D180,Products!$A:$E,5,FALSE())-VLOOKUP(D180,Products!$A:$E,4,FALSE()))/VLOOKUP(D180,Products!$A:$E,5,FALSE()),"")</f>
        <v>0.28269230769230769</v>
      </c>
    </row>
    <row r="181" spans="1:18" x14ac:dyDescent="0.3">
      <c r="A181" s="22" t="s">
        <v>660</v>
      </c>
      <c r="B181" s="23">
        <v>45524</v>
      </c>
      <c r="C181" s="22" t="s">
        <v>170</v>
      </c>
      <c r="D181" s="22" t="s">
        <v>315</v>
      </c>
      <c r="E181" s="22" t="s">
        <v>661</v>
      </c>
      <c r="F181" s="24">
        <v>8</v>
      </c>
      <c r="G181" s="24">
        <v>4070</v>
      </c>
      <c r="H181" s="24">
        <v>6.6</v>
      </c>
      <c r="I181" s="24">
        <v>30411.040000000001</v>
      </c>
      <c r="J181" s="22" t="s">
        <v>104</v>
      </c>
      <c r="K181" s="22" t="s">
        <v>105</v>
      </c>
      <c r="L181" t="str">
        <f>VLOOKUP(D181,Products!A:F,3,FALSE())</f>
        <v>Grocery</v>
      </c>
      <c r="M181" t="str">
        <f>VLOOKUP(C181,Customers!A:F,5,FALSE())</f>
        <v>Retail</v>
      </c>
      <c r="O181" t="str">
        <f>IFERROR(VLOOKUP(E181,Sales_Reps!$A:$C,3,FALSE()),"")</f>
        <v/>
      </c>
      <c r="P181">
        <f>IFERROR(VLOOKUP(C181,Customers!$A:$C,3,FALSE()),"")</f>
        <v>63</v>
      </c>
      <c r="Q181" t="str">
        <f t="shared" si="2"/>
        <v>Aug-24</v>
      </c>
      <c r="R181">
        <f>IFERROR((VLOOKUP(D181,Products!$A:$E,5,FALSE())-VLOOKUP(D181,Products!$A:$E,4,FALSE()))/VLOOKUP(D181,Products!$A:$E,5,FALSE()),"")</f>
        <v>0.50196560196560192</v>
      </c>
    </row>
    <row r="182" spans="1:18" x14ac:dyDescent="0.3">
      <c r="A182" s="22" t="s">
        <v>662</v>
      </c>
      <c r="B182" s="23">
        <v>45392</v>
      </c>
      <c r="C182" s="22" t="s">
        <v>193</v>
      </c>
      <c r="D182" s="22" t="s">
        <v>591</v>
      </c>
      <c r="E182" s="22" t="s">
        <v>663</v>
      </c>
      <c r="F182" s="24">
        <v>6</v>
      </c>
      <c r="G182" s="24">
        <v>3450</v>
      </c>
      <c r="H182" s="24">
        <v>14.4</v>
      </c>
      <c r="I182" s="24">
        <v>17719.2</v>
      </c>
      <c r="J182" s="22" t="s">
        <v>110</v>
      </c>
      <c r="K182" s="22" t="s">
        <v>129</v>
      </c>
      <c r="L182" t="str">
        <f>VLOOKUP(D182,Products!A:F,3,FALSE())</f>
        <v>Apparel</v>
      </c>
      <c r="M182" t="str">
        <f>VLOOKUP(C182,Customers!A:F,5,FALSE())</f>
        <v>Retail</v>
      </c>
      <c r="O182" t="str">
        <f>IFERROR(VLOOKUP(E182,Sales_Reps!$A:$C,3,FALSE()),"")</f>
        <v/>
      </c>
      <c r="P182">
        <f>IFERROR(VLOOKUP(C182,Customers!$A:$C,3,FALSE()),"")</f>
        <v>34</v>
      </c>
      <c r="Q182" t="str">
        <f t="shared" si="2"/>
        <v>Apr-24</v>
      </c>
      <c r="R182">
        <f>IFERROR((VLOOKUP(D182,Products!$A:$E,5,FALSE())-VLOOKUP(D182,Products!$A:$E,4,FALSE()))/VLOOKUP(D182,Products!$A:$E,5,FALSE()),"")</f>
        <v>0.49333333333333335</v>
      </c>
    </row>
    <row r="183" spans="1:18" x14ac:dyDescent="0.3">
      <c r="A183" s="22" t="s">
        <v>664</v>
      </c>
      <c r="B183" s="23">
        <v>45443</v>
      </c>
      <c r="C183" s="22" t="s">
        <v>148</v>
      </c>
      <c r="D183" s="22" t="s">
        <v>577</v>
      </c>
      <c r="E183" s="22" t="s">
        <v>665</v>
      </c>
      <c r="F183" s="24">
        <v>7</v>
      </c>
      <c r="G183" s="24">
        <v>5080</v>
      </c>
      <c r="H183" s="24">
        <v>25.4</v>
      </c>
      <c r="I183" s="24">
        <v>26527.759999999998</v>
      </c>
      <c r="J183" s="22" t="s">
        <v>110</v>
      </c>
      <c r="K183" s="22" t="s">
        <v>151</v>
      </c>
      <c r="L183" t="str">
        <f>VLOOKUP(D183,Products!A:F,3,FALSE())</f>
        <v>Home</v>
      </c>
      <c r="M183" t="str">
        <f>VLOOKUP(C183,Customers!A:F,5,FALSE())</f>
        <v>Retail</v>
      </c>
      <c r="O183" t="str">
        <f>IFERROR(VLOOKUP(E183,Sales_Reps!$A:$C,3,FALSE()),"")</f>
        <v/>
      </c>
      <c r="P183">
        <f>IFERROR(VLOOKUP(C183,Customers!$A:$C,3,FALSE()),"")</f>
        <v>60</v>
      </c>
      <c r="Q183" t="str">
        <f t="shared" si="2"/>
        <v>May-24</v>
      </c>
      <c r="R183">
        <f>IFERROR((VLOOKUP(D183,Products!$A:$E,5,FALSE())-VLOOKUP(D183,Products!$A:$E,4,FALSE()))/VLOOKUP(D183,Products!$A:$E,5,FALSE()),"")</f>
        <v>0.51594488188976373</v>
      </c>
    </row>
    <row r="184" spans="1:18" x14ac:dyDescent="0.3">
      <c r="A184" s="22" t="s">
        <v>666</v>
      </c>
      <c r="B184" s="23">
        <v>45333</v>
      </c>
      <c r="C184" s="22" t="s">
        <v>398</v>
      </c>
      <c r="D184" s="22" t="s">
        <v>231</v>
      </c>
      <c r="E184" s="22" t="s">
        <v>667</v>
      </c>
      <c r="F184" s="24">
        <v>10</v>
      </c>
      <c r="G184" s="24">
        <v>2760</v>
      </c>
      <c r="H184" s="24">
        <v>20.100000000000001</v>
      </c>
      <c r="I184" s="24">
        <v>22052.400000000001</v>
      </c>
      <c r="J184" s="22" t="s">
        <v>104</v>
      </c>
      <c r="K184" s="22" t="s">
        <v>151</v>
      </c>
      <c r="L184" t="str">
        <f>VLOOKUP(D184,Products!A:F,3,FALSE())</f>
        <v>Grocery</v>
      </c>
      <c r="M184" t="str">
        <f>VLOOKUP(C184,Customers!A:F,5,FALSE())</f>
        <v>Retail</v>
      </c>
      <c r="O184" t="str">
        <f>IFERROR(VLOOKUP(E184,Sales_Reps!$A:$C,3,FALSE()),"")</f>
        <v/>
      </c>
      <c r="P184">
        <f>IFERROR(VLOOKUP(C184,Customers!$A:$C,3,FALSE()),"")</f>
        <v>28</v>
      </c>
      <c r="Q184" t="str">
        <f t="shared" si="2"/>
        <v>Feb-24</v>
      </c>
      <c r="R184">
        <f>IFERROR((VLOOKUP(D184,Products!$A:$E,5,FALSE())-VLOOKUP(D184,Products!$A:$E,4,FALSE()))/VLOOKUP(D184,Products!$A:$E,5,FALSE()),"")</f>
        <v>0.48007246376811596</v>
      </c>
    </row>
    <row r="185" spans="1:18" x14ac:dyDescent="0.3">
      <c r="A185" s="22" t="s">
        <v>668</v>
      </c>
      <c r="B185" s="23">
        <v>45456</v>
      </c>
      <c r="C185" s="22" t="s">
        <v>526</v>
      </c>
      <c r="D185" s="22" t="s">
        <v>201</v>
      </c>
      <c r="E185" s="22" t="s">
        <v>669</v>
      </c>
      <c r="F185" s="24">
        <v>6</v>
      </c>
      <c r="G185" s="24">
        <v>1650</v>
      </c>
      <c r="H185" s="24">
        <v>11.3</v>
      </c>
      <c r="I185" s="24">
        <v>8781.2999999999993</v>
      </c>
      <c r="J185" s="22" t="s">
        <v>110</v>
      </c>
      <c r="K185" s="22" t="s">
        <v>129</v>
      </c>
      <c r="L185" t="str">
        <f>VLOOKUP(D185,Products!A:F,3,FALSE())</f>
        <v>Beauty</v>
      </c>
      <c r="M185" t="str">
        <f>VLOOKUP(C185,Customers!A:F,5,FALSE())</f>
        <v>Retail</v>
      </c>
      <c r="O185" t="str">
        <f>IFERROR(VLOOKUP(E185,Sales_Reps!$A:$C,3,FALSE()),"")</f>
        <v/>
      </c>
      <c r="P185">
        <f>IFERROR(VLOOKUP(C185,Customers!$A:$C,3,FALSE()),"")</f>
        <v>61</v>
      </c>
      <c r="Q185" t="str">
        <f t="shared" si="2"/>
        <v>Jun-24</v>
      </c>
      <c r="R185">
        <f>IFERROR((VLOOKUP(D185,Products!$A:$E,5,FALSE())-VLOOKUP(D185,Products!$A:$E,4,FALSE()))/VLOOKUP(D185,Products!$A:$E,5,FALSE()),"")</f>
        <v>0.2593939393939394</v>
      </c>
    </row>
    <row r="186" spans="1:18" x14ac:dyDescent="0.3">
      <c r="A186" s="22" t="s">
        <v>670</v>
      </c>
      <c r="B186" s="23">
        <v>45295</v>
      </c>
      <c r="C186" s="22" t="s">
        <v>355</v>
      </c>
      <c r="D186" s="22" t="s">
        <v>293</v>
      </c>
      <c r="E186" s="22" t="s">
        <v>671</v>
      </c>
      <c r="F186" s="24">
        <v>9</v>
      </c>
      <c r="G186" s="24">
        <v>3870</v>
      </c>
      <c r="H186" s="24">
        <v>27.5</v>
      </c>
      <c r="I186" s="24">
        <v>25251.75</v>
      </c>
      <c r="J186" s="22" t="s">
        <v>104</v>
      </c>
      <c r="K186" s="22" t="s">
        <v>151</v>
      </c>
      <c r="L186" t="str">
        <f>VLOOKUP(D186,Products!A:F,3,FALSE())</f>
        <v>Electronics</v>
      </c>
      <c r="M186" t="str">
        <f>VLOOKUP(C186,Customers!A:F,5,FALSE())</f>
        <v>SMB</v>
      </c>
      <c r="O186" t="str">
        <f>IFERROR(VLOOKUP(E186,Sales_Reps!$A:$C,3,FALSE()),"")</f>
        <v/>
      </c>
      <c r="P186">
        <f>IFERROR(VLOOKUP(C186,Customers!$A:$C,3,FALSE()),"")</f>
        <v>43</v>
      </c>
      <c r="Q186" t="str">
        <f t="shared" si="2"/>
        <v>Jan-24</v>
      </c>
      <c r="R186">
        <f>IFERROR((VLOOKUP(D186,Products!$A:$E,5,FALSE())-VLOOKUP(D186,Products!$A:$E,4,FALSE()))/VLOOKUP(D186,Products!$A:$E,5,FALSE()),"")</f>
        <v>0.59715762273901807</v>
      </c>
    </row>
    <row r="187" spans="1:18" x14ac:dyDescent="0.3">
      <c r="A187" s="22" t="s">
        <v>672</v>
      </c>
      <c r="B187" s="23">
        <v>45532</v>
      </c>
      <c r="C187" s="22" t="s">
        <v>673</v>
      </c>
      <c r="D187" s="22" t="s">
        <v>674</v>
      </c>
      <c r="E187" s="22" t="s">
        <v>675</v>
      </c>
      <c r="F187" s="24">
        <v>2</v>
      </c>
      <c r="G187" s="24">
        <v>1090</v>
      </c>
      <c r="H187" s="24">
        <v>18.7</v>
      </c>
      <c r="I187" s="24">
        <v>1772.34</v>
      </c>
      <c r="J187" s="22" t="s">
        <v>164</v>
      </c>
      <c r="K187" s="22" t="s">
        <v>151</v>
      </c>
      <c r="L187" t="str">
        <f>VLOOKUP(D187,Products!A:F,3,FALSE())</f>
        <v>Home</v>
      </c>
      <c r="M187" t="str">
        <f>VLOOKUP(C187,Customers!A:F,5,FALSE())</f>
        <v>SMB</v>
      </c>
      <c r="O187" t="str">
        <f>IFERROR(VLOOKUP(E187,Sales_Reps!$A:$C,3,FALSE()),"")</f>
        <v/>
      </c>
      <c r="P187">
        <f>IFERROR(VLOOKUP(C187,Customers!$A:$C,3,FALSE()),"")</f>
        <v>65</v>
      </c>
      <c r="Q187" t="str">
        <f t="shared" si="2"/>
        <v>Aug-24</v>
      </c>
      <c r="R187">
        <f>IFERROR((VLOOKUP(D187,Products!$A:$E,5,FALSE())-VLOOKUP(D187,Products!$A:$E,4,FALSE()))/VLOOKUP(D187,Products!$A:$E,5,FALSE()),"")</f>
        <v>0.57431192660550456</v>
      </c>
    </row>
    <row r="188" spans="1:18" x14ac:dyDescent="0.3">
      <c r="A188" s="22" t="s">
        <v>676</v>
      </c>
      <c r="B188" s="23">
        <v>45564</v>
      </c>
      <c r="C188" s="22" t="s">
        <v>677</v>
      </c>
      <c r="D188" s="22" t="s">
        <v>479</v>
      </c>
      <c r="E188" s="22" t="s">
        <v>678</v>
      </c>
      <c r="F188" s="24">
        <v>4</v>
      </c>
      <c r="G188" s="24">
        <v>960</v>
      </c>
      <c r="H188" s="24">
        <v>23.4</v>
      </c>
      <c r="I188" s="24">
        <v>2941.44</v>
      </c>
      <c r="J188" s="22" t="s">
        <v>104</v>
      </c>
      <c r="K188" s="22" t="s">
        <v>134</v>
      </c>
      <c r="L188" t="str">
        <f>VLOOKUP(D188,Products!A:F,3,FALSE())</f>
        <v>Beauty</v>
      </c>
      <c r="M188" t="str">
        <f>VLOOKUP(C188,Customers!A:F,5,FALSE())</f>
        <v>Corporate</v>
      </c>
      <c r="O188" t="str">
        <f>IFERROR(VLOOKUP(E188,Sales_Reps!$A:$C,3,FALSE()),"")</f>
        <v/>
      </c>
      <c r="P188">
        <f>IFERROR(VLOOKUP(C188,Customers!$A:$C,3,FALSE()),"")</f>
        <v>36</v>
      </c>
      <c r="Q188" t="str">
        <f t="shared" si="2"/>
        <v>Sep-24</v>
      </c>
      <c r="R188">
        <f>IFERROR((VLOOKUP(D188,Products!$A:$E,5,FALSE())-VLOOKUP(D188,Products!$A:$E,4,FALSE()))/VLOOKUP(D188,Products!$A:$E,5,FALSE()),"")</f>
        <v>0.296875</v>
      </c>
    </row>
    <row r="189" spans="1:18" x14ac:dyDescent="0.3">
      <c r="A189" s="22" t="s">
        <v>679</v>
      </c>
      <c r="B189" s="23">
        <v>45539</v>
      </c>
      <c r="C189" s="22" t="s">
        <v>292</v>
      </c>
      <c r="D189" s="22" t="s">
        <v>205</v>
      </c>
      <c r="E189" s="22" t="s">
        <v>680</v>
      </c>
      <c r="F189" s="24">
        <v>3</v>
      </c>
      <c r="G189" s="24">
        <v>3350</v>
      </c>
      <c r="H189" s="24">
        <v>17.899999999999999</v>
      </c>
      <c r="I189" s="24">
        <v>8251.0499999999993</v>
      </c>
      <c r="J189" s="22" t="s">
        <v>104</v>
      </c>
      <c r="K189" s="22" t="s">
        <v>134</v>
      </c>
      <c r="L189" t="str">
        <f>VLOOKUP(D189,Products!A:F,3,FALSE())</f>
        <v>Beauty</v>
      </c>
      <c r="M189" t="str">
        <f>VLOOKUP(C189,Customers!A:F,5,FALSE())</f>
        <v>Retail</v>
      </c>
      <c r="O189" t="str">
        <f>IFERROR(VLOOKUP(E189,Sales_Reps!$A:$C,3,FALSE()),"")</f>
        <v/>
      </c>
      <c r="P189">
        <f>IFERROR(VLOOKUP(C189,Customers!$A:$C,3,FALSE()),"")</f>
        <v>34</v>
      </c>
      <c r="Q189" t="str">
        <f t="shared" si="2"/>
        <v>Sep-24</v>
      </c>
      <c r="R189">
        <f>IFERROR((VLOOKUP(D189,Products!$A:$E,5,FALSE())-VLOOKUP(D189,Products!$A:$E,4,FALSE()))/VLOOKUP(D189,Products!$A:$E,5,FALSE()),"")</f>
        <v>0.48417910447761192</v>
      </c>
    </row>
    <row r="190" spans="1:18" x14ac:dyDescent="0.3">
      <c r="A190" s="22" t="s">
        <v>681</v>
      </c>
      <c r="B190" s="23">
        <v>45605</v>
      </c>
      <c r="C190" s="22" t="s">
        <v>682</v>
      </c>
      <c r="D190" s="22" t="s">
        <v>289</v>
      </c>
      <c r="E190" s="22" t="s">
        <v>683</v>
      </c>
      <c r="F190" s="24">
        <v>4</v>
      </c>
      <c r="G190" s="24">
        <v>2270</v>
      </c>
      <c r="H190" s="24">
        <v>29</v>
      </c>
      <c r="I190" s="24">
        <v>6446.8</v>
      </c>
      <c r="J190" s="22" t="s">
        <v>104</v>
      </c>
      <c r="K190" s="22" t="s">
        <v>105</v>
      </c>
      <c r="L190" t="str">
        <f>VLOOKUP(D190,Products!A:F,3,FALSE())</f>
        <v>Grocery</v>
      </c>
      <c r="M190" t="str">
        <f>VLOOKUP(C190,Customers!A:F,5,FALSE())</f>
        <v>Retail</v>
      </c>
      <c r="O190" t="str">
        <f>IFERROR(VLOOKUP(E190,Sales_Reps!$A:$C,3,FALSE()),"")</f>
        <v/>
      </c>
      <c r="P190">
        <f>IFERROR(VLOOKUP(C190,Customers!$A:$C,3,FALSE()),"")</f>
        <v>59</v>
      </c>
      <c r="Q190" t="str">
        <f t="shared" si="2"/>
        <v>Nov-24</v>
      </c>
      <c r="R190">
        <f>IFERROR((VLOOKUP(D190,Products!$A:$E,5,FALSE())-VLOOKUP(D190,Products!$A:$E,4,FALSE()))/VLOOKUP(D190,Products!$A:$E,5,FALSE()),"")</f>
        <v>0.37797356828193834</v>
      </c>
    </row>
    <row r="191" spans="1:18" x14ac:dyDescent="0.3">
      <c r="A191" s="22" t="s">
        <v>684</v>
      </c>
      <c r="B191" s="23">
        <v>45460</v>
      </c>
      <c r="C191" s="22" t="s">
        <v>554</v>
      </c>
      <c r="D191" s="22" t="s">
        <v>323</v>
      </c>
      <c r="E191" s="22" t="s">
        <v>685</v>
      </c>
      <c r="F191" s="24">
        <v>9</v>
      </c>
      <c r="G191" s="24">
        <v>4610</v>
      </c>
      <c r="H191" s="24">
        <v>28.3</v>
      </c>
      <c r="I191" s="24">
        <v>29748.33</v>
      </c>
      <c r="J191" s="22" t="s">
        <v>110</v>
      </c>
      <c r="K191" s="22" t="s">
        <v>134</v>
      </c>
      <c r="L191" t="str">
        <f>VLOOKUP(D191,Products!A:F,3,FALSE())</f>
        <v>Home</v>
      </c>
      <c r="M191" t="str">
        <f>VLOOKUP(C191,Customers!A:F,5,FALSE())</f>
        <v>Retail</v>
      </c>
      <c r="O191" t="str">
        <f>IFERROR(VLOOKUP(E191,Sales_Reps!$A:$C,3,FALSE()),"")</f>
        <v/>
      </c>
      <c r="P191">
        <f>IFERROR(VLOOKUP(C191,Customers!$A:$C,3,FALSE()),"")</f>
        <v>55</v>
      </c>
      <c r="Q191" t="str">
        <f t="shared" si="2"/>
        <v>Jun-24</v>
      </c>
      <c r="R191">
        <f>IFERROR((VLOOKUP(D191,Products!$A:$E,5,FALSE())-VLOOKUP(D191,Products!$A:$E,4,FALSE()))/VLOOKUP(D191,Products!$A:$E,5,FALSE()),"")</f>
        <v>0.59869848156182215</v>
      </c>
    </row>
    <row r="192" spans="1:18" x14ac:dyDescent="0.3">
      <c r="A192" s="22" t="s">
        <v>686</v>
      </c>
      <c r="B192" s="23">
        <v>45538</v>
      </c>
      <c r="C192" s="22" t="s">
        <v>687</v>
      </c>
      <c r="D192" s="22" t="s">
        <v>123</v>
      </c>
      <c r="E192" s="22" t="s">
        <v>688</v>
      </c>
      <c r="F192" s="24">
        <v>3</v>
      </c>
      <c r="G192" s="24">
        <v>3160</v>
      </c>
      <c r="H192" s="24">
        <v>7.3</v>
      </c>
      <c r="I192" s="24">
        <v>8787.9599999999991</v>
      </c>
      <c r="J192" s="22" t="s">
        <v>104</v>
      </c>
      <c r="K192" s="22" t="s">
        <v>134</v>
      </c>
      <c r="L192" t="str">
        <f>VLOOKUP(D192,Products!A:F,3,FALSE())</f>
        <v>Apparel</v>
      </c>
      <c r="M192" t="str">
        <f>VLOOKUP(C192,Customers!A:F,5,FALSE())</f>
        <v>SMB</v>
      </c>
      <c r="O192" t="str">
        <f>IFERROR(VLOOKUP(E192,Sales_Reps!$A:$C,3,FALSE()),"")</f>
        <v/>
      </c>
      <c r="P192">
        <f>IFERROR(VLOOKUP(C192,Customers!$A:$C,3,FALSE()),"")</f>
        <v>26</v>
      </c>
      <c r="Q192" t="str">
        <f t="shared" si="2"/>
        <v>Sep-24</v>
      </c>
      <c r="R192">
        <f>IFERROR((VLOOKUP(D192,Products!$A:$E,5,FALSE())-VLOOKUP(D192,Products!$A:$E,4,FALSE()))/VLOOKUP(D192,Products!$A:$E,5,FALSE()),"")</f>
        <v>0.4031645569620253</v>
      </c>
    </row>
    <row r="193" spans="1:18" x14ac:dyDescent="0.3">
      <c r="A193" s="22" t="s">
        <v>689</v>
      </c>
      <c r="B193" s="23">
        <v>45573</v>
      </c>
      <c r="C193" s="22" t="s">
        <v>690</v>
      </c>
      <c r="D193" s="22" t="s">
        <v>289</v>
      </c>
      <c r="E193" s="22" t="s">
        <v>691</v>
      </c>
      <c r="F193" s="24">
        <v>8</v>
      </c>
      <c r="G193" s="24">
        <v>2270</v>
      </c>
      <c r="H193" s="24">
        <v>15.6</v>
      </c>
      <c r="I193" s="24">
        <v>15327.04</v>
      </c>
      <c r="J193" s="22" t="s">
        <v>104</v>
      </c>
      <c r="K193" s="22" t="s">
        <v>151</v>
      </c>
      <c r="L193" t="str">
        <f>VLOOKUP(D193,Products!A:F,3,FALSE())</f>
        <v>Grocery</v>
      </c>
      <c r="M193" t="str">
        <f>VLOOKUP(C193,Customers!A:F,5,FALSE())</f>
        <v>Retail</v>
      </c>
      <c r="O193" t="str">
        <f>IFERROR(VLOOKUP(E193,Sales_Reps!$A:$C,3,FALSE()),"")</f>
        <v/>
      </c>
      <c r="P193">
        <f>IFERROR(VLOOKUP(C193,Customers!$A:$C,3,FALSE()),"")</f>
        <v>61</v>
      </c>
      <c r="Q193" t="str">
        <f t="shared" si="2"/>
        <v>Oct-24</v>
      </c>
      <c r="R193">
        <f>IFERROR((VLOOKUP(D193,Products!$A:$E,5,FALSE())-VLOOKUP(D193,Products!$A:$E,4,FALSE()))/VLOOKUP(D193,Products!$A:$E,5,FALSE()),"")</f>
        <v>0.37797356828193834</v>
      </c>
    </row>
    <row r="194" spans="1:18" x14ac:dyDescent="0.3">
      <c r="A194" s="22" t="s">
        <v>692</v>
      </c>
      <c r="B194" s="23">
        <v>45483</v>
      </c>
      <c r="C194" s="22" t="s">
        <v>144</v>
      </c>
      <c r="D194" s="22" t="s">
        <v>330</v>
      </c>
      <c r="E194" s="22" t="s">
        <v>693</v>
      </c>
      <c r="F194" s="24">
        <v>8</v>
      </c>
      <c r="G194" s="24">
        <v>3020</v>
      </c>
      <c r="H194" s="24">
        <v>16.3</v>
      </c>
      <c r="I194" s="24">
        <v>20221.919999999998</v>
      </c>
      <c r="J194" s="22" t="s">
        <v>159</v>
      </c>
      <c r="K194" s="22" t="s">
        <v>105</v>
      </c>
      <c r="L194" t="str">
        <f>VLOOKUP(D194,Products!A:F,3,FALSE())</f>
        <v>Beauty</v>
      </c>
      <c r="M194" t="str">
        <f>VLOOKUP(C194,Customers!A:F,5,FALSE())</f>
        <v>Retail</v>
      </c>
      <c r="O194" t="str">
        <f>IFERROR(VLOOKUP(E194,Sales_Reps!$A:$C,3,FALSE()),"")</f>
        <v/>
      </c>
      <c r="P194">
        <f>IFERROR(VLOOKUP(C194,Customers!$A:$C,3,FALSE()),"")</f>
        <v>56</v>
      </c>
      <c r="Q194" t="str">
        <f t="shared" ref="Q194:Q257" si="3">TEXT(B194,"mmm-yy")</f>
        <v>Jul-24</v>
      </c>
      <c r="R194">
        <f>IFERROR((VLOOKUP(D194,Products!$A:$E,5,FALSE())-VLOOKUP(D194,Products!$A:$E,4,FALSE()))/VLOOKUP(D194,Products!$A:$E,5,FALSE()),"")</f>
        <v>0.46158940397350995</v>
      </c>
    </row>
    <row r="195" spans="1:18" x14ac:dyDescent="0.3">
      <c r="A195" s="22" t="s">
        <v>694</v>
      </c>
      <c r="B195" s="23">
        <v>45617</v>
      </c>
      <c r="C195" s="22" t="s">
        <v>174</v>
      </c>
      <c r="D195" s="22" t="s">
        <v>695</v>
      </c>
      <c r="E195" s="22" t="s">
        <v>696</v>
      </c>
      <c r="F195" s="24">
        <v>7</v>
      </c>
      <c r="G195" s="24">
        <v>6940</v>
      </c>
      <c r="H195" s="24">
        <v>8.5</v>
      </c>
      <c r="I195" s="24">
        <v>44450.7</v>
      </c>
      <c r="J195" s="22" t="s">
        <v>104</v>
      </c>
      <c r="K195" s="22" t="s">
        <v>134</v>
      </c>
      <c r="L195" t="str">
        <f>VLOOKUP(D195,Products!A:F,3,FALSE())</f>
        <v>Sports</v>
      </c>
      <c r="M195" t="str">
        <f>VLOOKUP(C195,Customers!A:F,5,FALSE())</f>
        <v>SMB</v>
      </c>
      <c r="O195" t="str">
        <f>IFERROR(VLOOKUP(E195,Sales_Reps!$A:$C,3,FALSE()),"")</f>
        <v/>
      </c>
      <c r="P195">
        <f>IFERROR(VLOOKUP(C195,Customers!$A:$C,3,FALSE()),"")</f>
        <v>46</v>
      </c>
      <c r="Q195" t="str">
        <f t="shared" si="3"/>
        <v>Nov-24</v>
      </c>
      <c r="R195">
        <f>IFERROR((VLOOKUP(D195,Products!$A:$E,5,FALSE())-VLOOKUP(D195,Products!$A:$E,4,FALSE()))/VLOOKUP(D195,Products!$A:$E,5,FALSE()),"")</f>
        <v>0.5926512968299712</v>
      </c>
    </row>
    <row r="196" spans="1:18" x14ac:dyDescent="0.3">
      <c r="A196" s="22" t="s">
        <v>697</v>
      </c>
      <c r="B196" s="23">
        <v>45546</v>
      </c>
      <c r="C196" s="22" t="s">
        <v>648</v>
      </c>
      <c r="D196" s="22" t="s">
        <v>308</v>
      </c>
      <c r="E196" s="22" t="s">
        <v>698</v>
      </c>
      <c r="F196" s="24">
        <v>8</v>
      </c>
      <c r="G196" s="24">
        <v>1540</v>
      </c>
      <c r="H196" s="24">
        <v>21</v>
      </c>
      <c r="I196" s="24">
        <v>9732.7999999999993</v>
      </c>
      <c r="J196" s="22" t="s">
        <v>104</v>
      </c>
      <c r="K196" s="22" t="s">
        <v>105</v>
      </c>
      <c r="L196" t="str">
        <f>VLOOKUP(D196,Products!A:F,3,FALSE())</f>
        <v>Beauty</v>
      </c>
      <c r="M196" t="str">
        <f>VLOOKUP(C196,Customers!A:F,5,FALSE())</f>
        <v>Corporate</v>
      </c>
      <c r="O196" t="str">
        <f>IFERROR(VLOOKUP(E196,Sales_Reps!$A:$C,3,FALSE()),"")</f>
        <v/>
      </c>
      <c r="P196">
        <f>IFERROR(VLOOKUP(C196,Customers!$A:$C,3,FALSE()),"")</f>
        <v>29</v>
      </c>
      <c r="Q196" t="str">
        <f t="shared" si="3"/>
        <v>Sep-24</v>
      </c>
      <c r="R196">
        <f>IFERROR((VLOOKUP(D196,Products!$A:$E,5,FALSE())-VLOOKUP(D196,Products!$A:$E,4,FALSE()))/VLOOKUP(D196,Products!$A:$E,5,FALSE()),"")</f>
        <v>0.57987012987012987</v>
      </c>
    </row>
    <row r="197" spans="1:18" x14ac:dyDescent="0.3">
      <c r="A197" s="22" t="s">
        <v>699</v>
      </c>
      <c r="B197" s="23">
        <v>45380</v>
      </c>
      <c r="C197" s="22" t="s">
        <v>700</v>
      </c>
      <c r="D197" s="22" t="s">
        <v>190</v>
      </c>
      <c r="E197" s="22" t="s">
        <v>701</v>
      </c>
      <c r="F197" s="24">
        <v>6</v>
      </c>
      <c r="G197" s="24">
        <v>2480</v>
      </c>
      <c r="H197" s="24">
        <v>27.9</v>
      </c>
      <c r="I197" s="24">
        <v>10728.48</v>
      </c>
      <c r="J197" s="22" t="s">
        <v>104</v>
      </c>
      <c r="K197" s="22" t="s">
        <v>105</v>
      </c>
      <c r="L197" t="str">
        <f>VLOOKUP(D197,Products!A:F,3,FALSE())</f>
        <v>Apparel</v>
      </c>
      <c r="M197" t="str">
        <f>VLOOKUP(C197,Customers!A:F,5,FALSE())</f>
        <v>Retail</v>
      </c>
      <c r="O197" t="str">
        <f>IFERROR(VLOOKUP(E197,Sales_Reps!$A:$C,3,FALSE()),"")</f>
        <v/>
      </c>
      <c r="P197">
        <f>IFERROR(VLOOKUP(C197,Customers!$A:$C,3,FALSE()),"")</f>
        <v>49</v>
      </c>
      <c r="Q197" t="str">
        <f t="shared" si="3"/>
        <v>Mar-24</v>
      </c>
      <c r="R197">
        <f>IFERROR((VLOOKUP(D197,Products!$A:$E,5,FALSE())-VLOOKUP(D197,Products!$A:$E,4,FALSE()))/VLOOKUP(D197,Products!$A:$E,5,FALSE()),"")</f>
        <v>0.52701612903225803</v>
      </c>
    </row>
    <row r="198" spans="1:18" x14ac:dyDescent="0.3">
      <c r="A198" s="22" t="s">
        <v>702</v>
      </c>
      <c r="B198" s="23">
        <v>45320</v>
      </c>
      <c r="C198" s="22" t="s">
        <v>703</v>
      </c>
      <c r="D198" s="22" t="s">
        <v>167</v>
      </c>
      <c r="E198" s="22" t="s">
        <v>704</v>
      </c>
      <c r="F198" s="24">
        <v>4</v>
      </c>
      <c r="G198" s="24">
        <v>190</v>
      </c>
      <c r="H198" s="24">
        <v>21.5</v>
      </c>
      <c r="I198" s="24">
        <v>596.6</v>
      </c>
      <c r="J198" s="22" t="s">
        <v>104</v>
      </c>
      <c r="K198" s="22" t="s">
        <v>129</v>
      </c>
      <c r="L198" t="str">
        <f>VLOOKUP(D198,Products!A:F,3,FALSE())</f>
        <v>Sports</v>
      </c>
      <c r="M198" t="str">
        <f>VLOOKUP(C198,Customers!A:F,5,FALSE())</f>
        <v>Corporate</v>
      </c>
      <c r="O198" t="str">
        <f>IFERROR(VLOOKUP(E198,Sales_Reps!$A:$C,3,FALSE()),"")</f>
        <v/>
      </c>
      <c r="P198">
        <f>IFERROR(VLOOKUP(C198,Customers!$A:$C,3,FALSE()),"")</f>
        <v>35</v>
      </c>
      <c r="Q198" t="str">
        <f t="shared" si="3"/>
        <v>Jan-24</v>
      </c>
      <c r="R198">
        <f>IFERROR((VLOOKUP(D198,Products!$A:$E,5,FALSE())-VLOOKUP(D198,Products!$A:$E,4,FALSE()))/VLOOKUP(D198,Products!$A:$E,5,FALSE()),"")</f>
        <v>0.22631578947368422</v>
      </c>
    </row>
    <row r="199" spans="1:18" x14ac:dyDescent="0.3">
      <c r="A199" s="22" t="s">
        <v>705</v>
      </c>
      <c r="B199" s="23">
        <v>45355</v>
      </c>
      <c r="C199" s="22" t="s">
        <v>706</v>
      </c>
      <c r="D199" s="22" t="s">
        <v>224</v>
      </c>
      <c r="E199" s="22" t="s">
        <v>707</v>
      </c>
      <c r="F199" s="24">
        <v>1</v>
      </c>
      <c r="G199" s="24">
        <v>2860</v>
      </c>
      <c r="H199" s="24">
        <v>15.3</v>
      </c>
      <c r="I199" s="24">
        <v>2422.42</v>
      </c>
      <c r="J199" s="22" t="s">
        <v>104</v>
      </c>
      <c r="K199" s="22" t="s">
        <v>116</v>
      </c>
      <c r="L199" t="str">
        <f>VLOOKUP(D199,Products!A:F,3,FALSE())</f>
        <v>Sports</v>
      </c>
      <c r="M199" t="str">
        <f>VLOOKUP(C199,Customers!A:F,5,FALSE())</f>
        <v>SMB</v>
      </c>
      <c r="O199" t="str">
        <f>IFERROR(VLOOKUP(E199,Sales_Reps!$A:$C,3,FALSE()),"")</f>
        <v/>
      </c>
      <c r="P199">
        <f>IFERROR(VLOOKUP(C199,Customers!$A:$C,3,FALSE()),"")</f>
        <v>55</v>
      </c>
      <c r="Q199" t="str">
        <f t="shared" si="3"/>
        <v>Mar-24</v>
      </c>
      <c r="R199">
        <f>IFERROR((VLOOKUP(D199,Products!$A:$E,5,FALSE())-VLOOKUP(D199,Products!$A:$E,4,FALSE()))/VLOOKUP(D199,Products!$A:$E,5,FALSE()),"")</f>
        <v>0.29090909090909089</v>
      </c>
    </row>
    <row r="200" spans="1:18" x14ac:dyDescent="0.3">
      <c r="A200" s="22" t="s">
        <v>708</v>
      </c>
      <c r="B200" s="23">
        <v>45350</v>
      </c>
      <c r="C200" s="22" t="s">
        <v>709</v>
      </c>
      <c r="D200" s="22" t="s">
        <v>442</v>
      </c>
      <c r="E200" s="22" t="s">
        <v>710</v>
      </c>
      <c r="F200" s="24">
        <v>4</v>
      </c>
      <c r="G200" s="24">
        <v>2510</v>
      </c>
      <c r="H200" s="24">
        <v>10.1</v>
      </c>
      <c r="I200" s="24">
        <v>9025.9599999999991</v>
      </c>
      <c r="J200" s="22" t="s">
        <v>164</v>
      </c>
      <c r="K200" s="22" t="s">
        <v>129</v>
      </c>
      <c r="L200" t="str">
        <f>VLOOKUP(D200,Products!A:F,3,FALSE())</f>
        <v>Apparel</v>
      </c>
      <c r="M200" t="str">
        <f>VLOOKUP(C200,Customers!A:F,5,FALSE())</f>
        <v>Corporate</v>
      </c>
      <c r="O200" t="str">
        <f>IFERROR(VLOOKUP(E200,Sales_Reps!$A:$C,3,FALSE()),"")</f>
        <v/>
      </c>
      <c r="P200">
        <f>IFERROR(VLOOKUP(C200,Customers!$A:$C,3,FALSE()),"")</f>
        <v>55</v>
      </c>
      <c r="Q200" t="str">
        <f t="shared" si="3"/>
        <v>Feb-24</v>
      </c>
      <c r="R200">
        <f>IFERROR((VLOOKUP(D200,Products!$A:$E,5,FALSE())-VLOOKUP(D200,Products!$A:$E,4,FALSE()))/VLOOKUP(D200,Products!$A:$E,5,FALSE()),"")</f>
        <v>0.57171314741035861</v>
      </c>
    </row>
    <row r="201" spans="1:18" x14ac:dyDescent="0.3">
      <c r="A201" s="22" t="s">
        <v>711</v>
      </c>
      <c r="B201" s="23">
        <v>45587</v>
      </c>
      <c r="C201" s="22" t="s">
        <v>487</v>
      </c>
      <c r="D201" s="22" t="s">
        <v>216</v>
      </c>
      <c r="E201" s="22" t="s">
        <v>712</v>
      </c>
      <c r="F201" s="24">
        <v>2</v>
      </c>
      <c r="G201" s="24">
        <v>3570</v>
      </c>
      <c r="H201" s="24">
        <v>11.6</v>
      </c>
      <c r="I201" s="24">
        <v>6311.76</v>
      </c>
      <c r="J201" s="22" t="s">
        <v>110</v>
      </c>
      <c r="K201" s="22" t="s">
        <v>134</v>
      </c>
      <c r="L201" t="str">
        <f>VLOOKUP(D201,Products!A:F,3,FALSE())</f>
        <v>Electronics</v>
      </c>
      <c r="M201" t="str">
        <f>VLOOKUP(C201,Customers!A:F,5,FALSE())</f>
        <v>Retail</v>
      </c>
      <c r="O201" t="str">
        <f>IFERROR(VLOOKUP(E201,Sales_Reps!$A:$C,3,FALSE()),"")</f>
        <v/>
      </c>
      <c r="P201">
        <f>IFERROR(VLOOKUP(C201,Customers!$A:$C,3,FALSE()),"")</f>
        <v>23</v>
      </c>
      <c r="Q201" t="str">
        <f t="shared" si="3"/>
        <v>Oct-24</v>
      </c>
      <c r="R201">
        <f>IFERROR((VLOOKUP(D201,Products!$A:$E,5,FALSE())-VLOOKUP(D201,Products!$A:$E,4,FALSE()))/VLOOKUP(D201,Products!$A:$E,5,FALSE()),"")</f>
        <v>0.53361344537815125</v>
      </c>
    </row>
    <row r="202" spans="1:18" x14ac:dyDescent="0.3">
      <c r="A202" s="22" t="s">
        <v>713</v>
      </c>
      <c r="B202" s="23">
        <v>45344</v>
      </c>
      <c r="C202" s="22" t="s">
        <v>653</v>
      </c>
      <c r="D202" s="22" t="s">
        <v>265</v>
      </c>
      <c r="E202" s="22" t="s">
        <v>714</v>
      </c>
      <c r="F202" s="24">
        <v>7</v>
      </c>
      <c r="G202" s="24">
        <v>3730</v>
      </c>
      <c r="H202" s="24">
        <v>2.5</v>
      </c>
      <c r="I202" s="24">
        <v>25457.25</v>
      </c>
      <c r="J202" s="22" t="s">
        <v>159</v>
      </c>
      <c r="K202" s="22" t="s">
        <v>116</v>
      </c>
      <c r="L202" t="str">
        <f>VLOOKUP(D202,Products!A:F,3,FALSE())</f>
        <v>Home</v>
      </c>
      <c r="M202" t="str">
        <f>VLOOKUP(C202,Customers!A:F,5,FALSE())</f>
        <v>Retail</v>
      </c>
      <c r="O202" t="str">
        <f>IFERROR(VLOOKUP(E202,Sales_Reps!$A:$C,3,FALSE()),"")</f>
        <v/>
      </c>
      <c r="P202">
        <f>IFERROR(VLOOKUP(C202,Customers!$A:$C,3,FALSE()),"")</f>
        <v>59</v>
      </c>
      <c r="Q202" t="str">
        <f t="shared" si="3"/>
        <v>Feb-24</v>
      </c>
      <c r="R202">
        <f>IFERROR((VLOOKUP(D202,Products!$A:$E,5,FALSE())-VLOOKUP(D202,Products!$A:$E,4,FALSE()))/VLOOKUP(D202,Products!$A:$E,5,FALSE()),"")</f>
        <v>0.42761394101876676</v>
      </c>
    </row>
    <row r="203" spans="1:18" x14ac:dyDescent="0.3">
      <c r="A203" s="22" t="s">
        <v>715</v>
      </c>
      <c r="B203" s="23">
        <v>45492</v>
      </c>
      <c r="C203" s="22" t="s">
        <v>716</v>
      </c>
      <c r="D203" s="22" t="s">
        <v>127</v>
      </c>
      <c r="E203" s="22" t="s">
        <v>717</v>
      </c>
      <c r="F203" s="24">
        <v>6</v>
      </c>
      <c r="G203" s="24">
        <v>370</v>
      </c>
      <c r="H203" s="24">
        <v>9.9</v>
      </c>
      <c r="I203" s="24">
        <v>2000.22</v>
      </c>
      <c r="J203" s="22" t="s">
        <v>104</v>
      </c>
      <c r="K203" s="22" t="s">
        <v>129</v>
      </c>
      <c r="L203" t="str">
        <f>VLOOKUP(D203,Products!A:F,3,FALSE())</f>
        <v>Home</v>
      </c>
      <c r="M203" t="str">
        <f>VLOOKUP(C203,Customers!A:F,5,FALSE())</f>
        <v>Retail</v>
      </c>
      <c r="O203" t="str">
        <f>IFERROR(VLOOKUP(E203,Sales_Reps!$A:$C,3,FALSE()),"")</f>
        <v/>
      </c>
      <c r="P203">
        <f>IFERROR(VLOOKUP(C203,Customers!$A:$C,3,FALSE()),"")</f>
        <v>44</v>
      </c>
      <c r="Q203" t="str">
        <f t="shared" si="3"/>
        <v>Jul-24</v>
      </c>
      <c r="R203">
        <f>IFERROR((VLOOKUP(D203,Products!$A:$E,5,FALSE())-VLOOKUP(D203,Products!$A:$E,4,FALSE()))/VLOOKUP(D203,Products!$A:$E,5,FALSE()),"")</f>
        <v>0.22162162162162163</v>
      </c>
    </row>
    <row r="204" spans="1:18" x14ac:dyDescent="0.3">
      <c r="A204" s="22" t="s">
        <v>718</v>
      </c>
      <c r="B204" s="23">
        <v>45490</v>
      </c>
      <c r="C204" s="22" t="s">
        <v>719</v>
      </c>
      <c r="D204" s="22" t="s">
        <v>334</v>
      </c>
      <c r="E204" s="22" t="s">
        <v>720</v>
      </c>
      <c r="F204" s="24">
        <v>4</v>
      </c>
      <c r="G204" s="24">
        <v>2660</v>
      </c>
      <c r="H204" s="24">
        <v>29.7</v>
      </c>
      <c r="I204" s="24">
        <v>7479.92</v>
      </c>
      <c r="J204" s="22" t="s">
        <v>104</v>
      </c>
      <c r="K204" s="22" t="s">
        <v>116</v>
      </c>
      <c r="L204" t="str">
        <f>VLOOKUP(D204,Products!A:F,3,FALSE())</f>
        <v>Electronics</v>
      </c>
      <c r="M204" t="str">
        <f>VLOOKUP(C204,Customers!A:F,5,FALSE())</f>
        <v>Retail</v>
      </c>
      <c r="O204" t="str">
        <f>IFERROR(VLOOKUP(E204,Sales_Reps!$A:$C,3,FALSE()),"")</f>
        <v/>
      </c>
      <c r="P204">
        <f>IFERROR(VLOOKUP(C204,Customers!$A:$C,3,FALSE()),"")</f>
        <v>45</v>
      </c>
      <c r="Q204" t="str">
        <f t="shared" si="3"/>
        <v>Jul-24</v>
      </c>
      <c r="R204">
        <f>IFERROR((VLOOKUP(D204,Products!$A:$E,5,FALSE())-VLOOKUP(D204,Products!$A:$E,4,FALSE()))/VLOOKUP(D204,Products!$A:$E,5,FALSE()),"")</f>
        <v>0.52669172932330832</v>
      </c>
    </row>
    <row r="205" spans="1:18" x14ac:dyDescent="0.3">
      <c r="A205" s="22" t="s">
        <v>721</v>
      </c>
      <c r="B205" s="23">
        <v>45538</v>
      </c>
      <c r="C205" s="22" t="s">
        <v>487</v>
      </c>
      <c r="D205" s="22" t="s">
        <v>231</v>
      </c>
      <c r="E205" s="22" t="s">
        <v>722</v>
      </c>
      <c r="F205" s="24">
        <v>6</v>
      </c>
      <c r="G205" s="24">
        <v>2760</v>
      </c>
      <c r="H205" s="24">
        <v>0.9</v>
      </c>
      <c r="I205" s="24">
        <v>16410.96</v>
      </c>
      <c r="J205" s="22" t="s">
        <v>104</v>
      </c>
      <c r="K205" s="22" t="s">
        <v>134</v>
      </c>
      <c r="L205" t="str">
        <f>VLOOKUP(D205,Products!A:F,3,FALSE())</f>
        <v>Grocery</v>
      </c>
      <c r="M205" t="str">
        <f>VLOOKUP(C205,Customers!A:F,5,FALSE())</f>
        <v>Retail</v>
      </c>
      <c r="O205" t="str">
        <f>IFERROR(VLOOKUP(E205,Sales_Reps!$A:$C,3,FALSE()),"")</f>
        <v/>
      </c>
      <c r="P205">
        <f>IFERROR(VLOOKUP(C205,Customers!$A:$C,3,FALSE()),"")</f>
        <v>23</v>
      </c>
      <c r="Q205" t="str">
        <f t="shared" si="3"/>
        <v>Sep-24</v>
      </c>
      <c r="R205">
        <f>IFERROR((VLOOKUP(D205,Products!$A:$E,5,FALSE())-VLOOKUP(D205,Products!$A:$E,4,FALSE()))/VLOOKUP(D205,Products!$A:$E,5,FALSE()),"")</f>
        <v>0.48007246376811596</v>
      </c>
    </row>
    <row r="206" spans="1:18" x14ac:dyDescent="0.3">
      <c r="A206" s="22" t="s">
        <v>723</v>
      </c>
      <c r="B206" s="23">
        <v>45591</v>
      </c>
      <c r="C206" s="22" t="s">
        <v>724</v>
      </c>
      <c r="D206" s="22" t="s">
        <v>205</v>
      </c>
      <c r="E206" s="22" t="s">
        <v>725</v>
      </c>
      <c r="F206" s="24">
        <v>6</v>
      </c>
      <c r="G206" s="24">
        <v>3350</v>
      </c>
      <c r="H206" s="24">
        <v>17.899999999999999</v>
      </c>
      <c r="I206" s="24">
        <v>16502.099999999999</v>
      </c>
      <c r="J206" s="22" t="s">
        <v>104</v>
      </c>
      <c r="K206" s="22" t="s">
        <v>116</v>
      </c>
      <c r="L206" t="str">
        <f>VLOOKUP(D206,Products!A:F,3,FALSE())</f>
        <v>Beauty</v>
      </c>
      <c r="M206" t="str">
        <f>VLOOKUP(C206,Customers!A:F,5,FALSE())</f>
        <v>SMB</v>
      </c>
      <c r="O206" t="str">
        <f>IFERROR(VLOOKUP(E206,Sales_Reps!$A:$C,3,FALSE()),"")</f>
        <v/>
      </c>
      <c r="P206">
        <f>IFERROR(VLOOKUP(C206,Customers!$A:$C,3,FALSE()),"")</f>
        <v>48</v>
      </c>
      <c r="Q206" t="str">
        <f t="shared" si="3"/>
        <v>Oct-24</v>
      </c>
      <c r="R206">
        <f>IFERROR((VLOOKUP(D206,Products!$A:$E,5,FALSE())-VLOOKUP(D206,Products!$A:$E,4,FALSE()))/VLOOKUP(D206,Products!$A:$E,5,FALSE()),"")</f>
        <v>0.48417910447761192</v>
      </c>
    </row>
    <row r="207" spans="1:18" x14ac:dyDescent="0.3">
      <c r="A207" s="22" t="s">
        <v>726</v>
      </c>
      <c r="B207" s="23">
        <v>45319</v>
      </c>
      <c r="C207" s="22" t="s">
        <v>573</v>
      </c>
      <c r="D207" s="22" t="s">
        <v>338</v>
      </c>
      <c r="E207" s="22" t="s">
        <v>727</v>
      </c>
      <c r="F207" s="24">
        <v>8</v>
      </c>
      <c r="G207" s="24">
        <v>300</v>
      </c>
      <c r="H207" s="24">
        <v>20.6</v>
      </c>
      <c r="I207" s="24">
        <v>1905.6</v>
      </c>
      <c r="J207" s="22" t="s">
        <v>164</v>
      </c>
      <c r="K207" s="22" t="s">
        <v>105</v>
      </c>
      <c r="L207" t="str">
        <f>VLOOKUP(D207,Products!A:F,3,FALSE())</f>
        <v>Electronics</v>
      </c>
      <c r="M207" t="str">
        <f>VLOOKUP(C207,Customers!A:F,5,FALSE())</f>
        <v>SMB</v>
      </c>
      <c r="O207" t="str">
        <f>IFERROR(VLOOKUP(E207,Sales_Reps!$A:$C,3,FALSE()),"")</f>
        <v/>
      </c>
      <c r="P207">
        <f>IFERROR(VLOOKUP(C207,Customers!$A:$C,3,FALSE()),"")</f>
        <v>30</v>
      </c>
      <c r="Q207" t="str">
        <f t="shared" si="3"/>
        <v>Jan-24</v>
      </c>
      <c r="R207">
        <f>IFERROR((VLOOKUP(D207,Products!$A:$E,5,FALSE())-VLOOKUP(D207,Products!$A:$E,4,FALSE()))/VLOOKUP(D207,Products!$A:$E,5,FALSE()),"")</f>
        <v>0.57333333333333336</v>
      </c>
    </row>
    <row r="208" spans="1:18" x14ac:dyDescent="0.3">
      <c r="A208" s="22" t="s">
        <v>728</v>
      </c>
      <c r="B208" s="23">
        <v>45527</v>
      </c>
      <c r="C208" s="22" t="s">
        <v>716</v>
      </c>
      <c r="D208" s="22" t="s">
        <v>197</v>
      </c>
      <c r="E208" s="22" t="s">
        <v>729</v>
      </c>
      <c r="F208" s="24">
        <v>5</v>
      </c>
      <c r="G208" s="24">
        <v>2720</v>
      </c>
      <c r="H208" s="24">
        <v>17.100000000000001</v>
      </c>
      <c r="I208" s="24">
        <v>11274.4</v>
      </c>
      <c r="J208" s="22" t="s">
        <v>110</v>
      </c>
      <c r="K208" s="22" t="s">
        <v>129</v>
      </c>
      <c r="L208" t="str">
        <f>VLOOKUP(D208,Products!A:F,3,FALSE())</f>
        <v>Apparel</v>
      </c>
      <c r="M208" t="str">
        <f>VLOOKUP(C208,Customers!A:F,5,FALSE())</f>
        <v>Retail</v>
      </c>
      <c r="O208" t="str">
        <f>IFERROR(VLOOKUP(E208,Sales_Reps!$A:$C,3,FALSE()),"")</f>
        <v/>
      </c>
      <c r="P208">
        <f>IFERROR(VLOOKUP(C208,Customers!$A:$C,3,FALSE()),"")</f>
        <v>44</v>
      </c>
      <c r="Q208" t="str">
        <f t="shared" si="3"/>
        <v>Aug-24</v>
      </c>
      <c r="R208">
        <f>IFERROR((VLOOKUP(D208,Products!$A:$E,5,FALSE())-VLOOKUP(D208,Products!$A:$E,4,FALSE()))/VLOOKUP(D208,Products!$A:$E,5,FALSE()),"")</f>
        <v>0.2786764705882353</v>
      </c>
    </row>
    <row r="209" spans="1:18" x14ac:dyDescent="0.3">
      <c r="A209" s="22" t="s">
        <v>730</v>
      </c>
      <c r="B209" s="23">
        <v>45572</v>
      </c>
      <c r="C209" s="22" t="s">
        <v>731</v>
      </c>
      <c r="D209" s="22" t="s">
        <v>293</v>
      </c>
      <c r="E209" s="22" t="s">
        <v>732</v>
      </c>
      <c r="F209" s="24">
        <v>1</v>
      </c>
      <c r="G209" s="24">
        <v>3870</v>
      </c>
      <c r="H209" s="24">
        <v>23.5</v>
      </c>
      <c r="I209" s="24">
        <v>2960.55</v>
      </c>
      <c r="J209" s="22" t="s">
        <v>110</v>
      </c>
      <c r="K209" s="22" t="s">
        <v>151</v>
      </c>
      <c r="L209" t="str">
        <f>VLOOKUP(D209,Products!A:F,3,FALSE())</f>
        <v>Electronics</v>
      </c>
      <c r="M209" t="str">
        <f>VLOOKUP(C209,Customers!A:F,5,FALSE())</f>
        <v>SMB</v>
      </c>
      <c r="O209" t="str">
        <f>IFERROR(VLOOKUP(E209,Sales_Reps!$A:$C,3,FALSE()),"")</f>
        <v/>
      </c>
      <c r="P209">
        <f>IFERROR(VLOOKUP(C209,Customers!$A:$C,3,FALSE()),"")</f>
        <v>48</v>
      </c>
      <c r="Q209" t="str">
        <f t="shared" si="3"/>
        <v>Oct-24</v>
      </c>
      <c r="R209">
        <f>IFERROR((VLOOKUP(D209,Products!$A:$E,5,FALSE())-VLOOKUP(D209,Products!$A:$E,4,FALSE()))/VLOOKUP(D209,Products!$A:$E,5,FALSE()),"")</f>
        <v>0.59715762273901807</v>
      </c>
    </row>
    <row r="210" spans="1:18" x14ac:dyDescent="0.3">
      <c r="A210" s="22" t="s">
        <v>733</v>
      </c>
      <c r="B210" s="23">
        <v>45637</v>
      </c>
      <c r="C210" s="22" t="s">
        <v>734</v>
      </c>
      <c r="D210" s="22" t="s">
        <v>265</v>
      </c>
      <c r="E210" s="22" t="s">
        <v>735</v>
      </c>
      <c r="F210" s="24">
        <v>3</v>
      </c>
      <c r="G210" s="24">
        <v>3730</v>
      </c>
      <c r="H210" s="24">
        <v>0.7</v>
      </c>
      <c r="I210" s="24">
        <v>11111.67</v>
      </c>
      <c r="J210" s="22" t="s">
        <v>110</v>
      </c>
      <c r="K210" s="22" t="s">
        <v>151</v>
      </c>
      <c r="L210" t="str">
        <f>VLOOKUP(D210,Products!A:F,3,FALSE())</f>
        <v>Home</v>
      </c>
      <c r="M210" t="str">
        <f>VLOOKUP(C210,Customers!A:F,5,FALSE())</f>
        <v>Retail</v>
      </c>
      <c r="O210" t="str">
        <f>IFERROR(VLOOKUP(E210,Sales_Reps!$A:$C,3,FALSE()),"")</f>
        <v/>
      </c>
      <c r="P210">
        <f>IFERROR(VLOOKUP(C210,Customers!$A:$C,3,FALSE()),"")</f>
        <v>38</v>
      </c>
      <c r="Q210" t="str">
        <f t="shared" si="3"/>
        <v>Dec-24</v>
      </c>
      <c r="R210">
        <f>IFERROR((VLOOKUP(D210,Products!$A:$E,5,FALSE())-VLOOKUP(D210,Products!$A:$E,4,FALSE()))/VLOOKUP(D210,Products!$A:$E,5,FALSE()),"")</f>
        <v>0.42761394101876676</v>
      </c>
    </row>
    <row r="211" spans="1:18" x14ac:dyDescent="0.3">
      <c r="A211" s="22" t="s">
        <v>736</v>
      </c>
      <c r="B211" s="23">
        <v>45315</v>
      </c>
      <c r="C211" s="22" t="s">
        <v>737</v>
      </c>
      <c r="D211" s="22" t="s">
        <v>190</v>
      </c>
      <c r="E211" s="22" t="s">
        <v>738</v>
      </c>
      <c r="F211" s="24">
        <v>8</v>
      </c>
      <c r="G211" s="24">
        <v>2480</v>
      </c>
      <c r="H211" s="24">
        <v>18.2</v>
      </c>
      <c r="I211" s="24">
        <v>16229.12</v>
      </c>
      <c r="J211" s="22" t="s">
        <v>159</v>
      </c>
      <c r="K211" s="22" t="s">
        <v>111</v>
      </c>
      <c r="L211" t="str">
        <f>VLOOKUP(D211,Products!A:F,3,FALSE())</f>
        <v>Apparel</v>
      </c>
      <c r="M211" t="str">
        <f>VLOOKUP(C211,Customers!A:F,5,FALSE())</f>
        <v>Corporate</v>
      </c>
      <c r="O211" t="str">
        <f>IFERROR(VLOOKUP(E211,Sales_Reps!$A:$C,3,FALSE()),"")</f>
        <v/>
      </c>
      <c r="P211">
        <f>IFERROR(VLOOKUP(C211,Customers!$A:$C,3,FALSE()),"")</f>
        <v>34</v>
      </c>
      <c r="Q211" t="str">
        <f t="shared" si="3"/>
        <v>Jan-24</v>
      </c>
      <c r="R211">
        <f>IFERROR((VLOOKUP(D211,Products!$A:$E,5,FALSE())-VLOOKUP(D211,Products!$A:$E,4,FALSE()))/VLOOKUP(D211,Products!$A:$E,5,FALSE()),"")</f>
        <v>0.52701612903225803</v>
      </c>
    </row>
    <row r="212" spans="1:18" x14ac:dyDescent="0.3">
      <c r="A212" s="22" t="s">
        <v>739</v>
      </c>
      <c r="B212" s="23">
        <v>45374</v>
      </c>
      <c r="C212" s="22" t="s">
        <v>491</v>
      </c>
      <c r="D212" s="22" t="s">
        <v>132</v>
      </c>
      <c r="E212" s="22" t="s">
        <v>740</v>
      </c>
      <c r="F212" s="24">
        <v>2</v>
      </c>
      <c r="G212" s="24">
        <v>960</v>
      </c>
      <c r="H212" s="24">
        <v>2.2000000000000002</v>
      </c>
      <c r="I212" s="24">
        <v>1877.76</v>
      </c>
      <c r="J212" s="22" t="s">
        <v>104</v>
      </c>
      <c r="K212" s="22" t="s">
        <v>151</v>
      </c>
      <c r="L212" t="str">
        <f>VLOOKUP(D212,Products!A:F,3,FALSE())</f>
        <v>Sports</v>
      </c>
      <c r="M212" t="str">
        <f>VLOOKUP(C212,Customers!A:F,5,FALSE())</f>
        <v>Retail</v>
      </c>
      <c r="O212" t="str">
        <f>IFERROR(VLOOKUP(E212,Sales_Reps!$A:$C,3,FALSE()),"")</f>
        <v/>
      </c>
      <c r="P212">
        <f>IFERROR(VLOOKUP(C212,Customers!$A:$C,3,FALSE()),"")</f>
        <v>44</v>
      </c>
      <c r="Q212" t="str">
        <f t="shared" si="3"/>
        <v>Mar-24</v>
      </c>
      <c r="R212">
        <f>IFERROR((VLOOKUP(D212,Products!$A:$E,5,FALSE())-VLOOKUP(D212,Products!$A:$E,4,FALSE()))/VLOOKUP(D212,Products!$A:$E,5,FALSE()),"")</f>
        <v>0.265625</v>
      </c>
    </row>
    <row r="213" spans="1:18" x14ac:dyDescent="0.3">
      <c r="A213" s="22" t="s">
        <v>741</v>
      </c>
      <c r="B213" s="23">
        <v>45335</v>
      </c>
      <c r="C213" s="22" t="s">
        <v>742</v>
      </c>
      <c r="D213" s="22" t="s">
        <v>212</v>
      </c>
      <c r="E213" s="22" t="s">
        <v>743</v>
      </c>
      <c r="F213" s="24">
        <v>8</v>
      </c>
      <c r="G213" s="24">
        <v>4880</v>
      </c>
      <c r="H213" s="24">
        <v>11.9</v>
      </c>
      <c r="I213" s="24">
        <v>34394.239999999998</v>
      </c>
      <c r="J213" s="22" t="s">
        <v>104</v>
      </c>
      <c r="K213" s="22" t="s">
        <v>151</v>
      </c>
      <c r="L213" t="str">
        <f>VLOOKUP(D213,Products!A:F,3,FALSE())</f>
        <v>Beauty</v>
      </c>
      <c r="M213" t="str">
        <f>VLOOKUP(C213,Customers!A:F,5,FALSE())</f>
        <v>Retail</v>
      </c>
      <c r="O213" t="str">
        <f>IFERROR(VLOOKUP(E213,Sales_Reps!$A:$C,3,FALSE()),"")</f>
        <v/>
      </c>
      <c r="P213">
        <f>IFERROR(VLOOKUP(C213,Customers!$A:$C,3,FALSE()),"")</f>
        <v>25</v>
      </c>
      <c r="Q213" t="str">
        <f t="shared" si="3"/>
        <v>Feb-24</v>
      </c>
      <c r="R213">
        <f>IFERROR((VLOOKUP(D213,Products!$A:$E,5,FALSE())-VLOOKUP(D213,Products!$A:$E,4,FALSE()))/VLOOKUP(D213,Products!$A:$E,5,FALSE()),"")</f>
        <v>0.43278688524590164</v>
      </c>
    </row>
    <row r="214" spans="1:18" x14ac:dyDescent="0.3">
      <c r="A214" s="22" t="s">
        <v>744</v>
      </c>
      <c r="B214" s="23">
        <v>45656</v>
      </c>
      <c r="C214" s="22" t="s">
        <v>745</v>
      </c>
      <c r="D214" s="22" t="s">
        <v>102</v>
      </c>
      <c r="E214" s="22" t="s">
        <v>746</v>
      </c>
      <c r="F214" s="24">
        <v>2</v>
      </c>
      <c r="G214" s="24">
        <v>3620</v>
      </c>
      <c r="H214" s="24">
        <v>1.1000000000000001</v>
      </c>
      <c r="I214" s="24">
        <v>7160.36</v>
      </c>
      <c r="J214" s="22" t="s">
        <v>110</v>
      </c>
      <c r="K214" s="22" t="s">
        <v>116</v>
      </c>
      <c r="L214" t="str">
        <f>VLOOKUP(D214,Products!A:F,3,FALSE())</f>
        <v>Apparel</v>
      </c>
      <c r="M214" t="str">
        <f>VLOOKUP(C214,Customers!A:F,5,FALSE())</f>
        <v>SMB</v>
      </c>
      <c r="O214" t="str">
        <f>IFERROR(VLOOKUP(E214,Sales_Reps!$A:$C,3,FALSE()),"")</f>
        <v/>
      </c>
      <c r="P214">
        <f>IFERROR(VLOOKUP(C214,Customers!$A:$C,3,FALSE()),"")</f>
        <v>29</v>
      </c>
      <c r="Q214" t="str">
        <f t="shared" si="3"/>
        <v>Dec-24</v>
      </c>
      <c r="R214">
        <f>IFERROR((VLOOKUP(D214,Products!$A:$E,5,FALSE())-VLOOKUP(D214,Products!$A:$E,4,FALSE()))/VLOOKUP(D214,Products!$A:$E,5,FALSE()),"")</f>
        <v>0.3069060773480663</v>
      </c>
    </row>
    <row r="215" spans="1:18" x14ac:dyDescent="0.3">
      <c r="A215" s="22" t="s">
        <v>747</v>
      </c>
      <c r="B215" s="23">
        <v>45573</v>
      </c>
      <c r="C215" s="22" t="s">
        <v>351</v>
      </c>
      <c r="D215" s="22" t="s">
        <v>521</v>
      </c>
      <c r="E215" s="22" t="s">
        <v>748</v>
      </c>
      <c r="F215" s="24">
        <v>8</v>
      </c>
      <c r="G215" s="24">
        <v>3970</v>
      </c>
      <c r="H215" s="24">
        <v>18.100000000000001</v>
      </c>
      <c r="I215" s="24">
        <v>26011.439999999999</v>
      </c>
      <c r="J215" s="22" t="s">
        <v>104</v>
      </c>
      <c r="K215" s="22" t="s">
        <v>116</v>
      </c>
      <c r="L215" t="str">
        <f>VLOOKUP(D215,Products!A:F,3,FALSE())</f>
        <v>Electronics</v>
      </c>
      <c r="M215" t="str">
        <f>VLOOKUP(C215,Customers!A:F,5,FALSE())</f>
        <v>Retail</v>
      </c>
      <c r="O215" t="str">
        <f>IFERROR(VLOOKUP(E215,Sales_Reps!$A:$C,3,FALSE()),"")</f>
        <v/>
      </c>
      <c r="P215">
        <f>IFERROR(VLOOKUP(C215,Customers!$A:$C,3,FALSE()),"")</f>
        <v>35</v>
      </c>
      <c r="Q215" t="str">
        <f t="shared" si="3"/>
        <v>Oct-24</v>
      </c>
      <c r="R215">
        <f>IFERROR((VLOOKUP(D215,Products!$A:$E,5,FALSE())-VLOOKUP(D215,Products!$A:$E,4,FALSE()))/VLOOKUP(D215,Products!$A:$E,5,FALSE()),"")</f>
        <v>0.27833753148614609</v>
      </c>
    </row>
    <row r="216" spans="1:18" x14ac:dyDescent="0.3">
      <c r="A216" s="22" t="s">
        <v>749</v>
      </c>
      <c r="B216" s="23">
        <v>45534</v>
      </c>
      <c r="C216" s="22" t="s">
        <v>189</v>
      </c>
      <c r="D216" s="22" t="s">
        <v>289</v>
      </c>
      <c r="E216" s="22" t="s">
        <v>750</v>
      </c>
      <c r="F216" s="24">
        <v>8</v>
      </c>
      <c r="G216" s="24">
        <v>2270</v>
      </c>
      <c r="H216" s="24">
        <v>19.600000000000001</v>
      </c>
      <c r="I216" s="24">
        <v>14600.64</v>
      </c>
      <c r="J216" s="22" t="s">
        <v>104</v>
      </c>
      <c r="K216" s="22" t="s">
        <v>151</v>
      </c>
      <c r="L216" t="str">
        <f>VLOOKUP(D216,Products!A:F,3,FALSE())</f>
        <v>Grocery</v>
      </c>
      <c r="M216" t="str">
        <f>VLOOKUP(C216,Customers!A:F,5,FALSE())</f>
        <v>Retail</v>
      </c>
      <c r="O216" t="str">
        <f>IFERROR(VLOOKUP(E216,Sales_Reps!$A:$C,3,FALSE()),"")</f>
        <v/>
      </c>
      <c r="P216">
        <f>IFERROR(VLOOKUP(C216,Customers!$A:$C,3,FALSE()),"")</f>
        <v>32</v>
      </c>
      <c r="Q216" t="str">
        <f t="shared" si="3"/>
        <v>Aug-24</v>
      </c>
      <c r="R216">
        <f>IFERROR((VLOOKUP(D216,Products!$A:$E,5,FALSE())-VLOOKUP(D216,Products!$A:$E,4,FALSE()))/VLOOKUP(D216,Products!$A:$E,5,FALSE()),"")</f>
        <v>0.37797356828193834</v>
      </c>
    </row>
    <row r="217" spans="1:18" x14ac:dyDescent="0.3">
      <c r="A217" s="22" t="s">
        <v>751</v>
      </c>
      <c r="B217" s="23">
        <v>45639</v>
      </c>
      <c r="C217" s="22" t="s">
        <v>318</v>
      </c>
      <c r="D217" s="22" t="s">
        <v>275</v>
      </c>
      <c r="E217" s="22" t="s">
        <v>752</v>
      </c>
      <c r="F217" s="24">
        <v>1</v>
      </c>
      <c r="G217" s="24">
        <v>3780</v>
      </c>
      <c r="H217" s="24">
        <v>22.6</v>
      </c>
      <c r="I217" s="24">
        <v>2925.72</v>
      </c>
      <c r="J217" s="22" t="s">
        <v>104</v>
      </c>
      <c r="K217" s="22" t="s">
        <v>116</v>
      </c>
      <c r="L217" t="str">
        <f>VLOOKUP(D217,Products!A:F,3,FALSE())</f>
        <v>Grocery</v>
      </c>
      <c r="M217" t="str">
        <f>VLOOKUP(C217,Customers!A:F,5,FALSE())</f>
        <v>Corporate</v>
      </c>
      <c r="O217" t="str">
        <f>IFERROR(VLOOKUP(E217,Sales_Reps!$A:$C,3,FALSE()),"")</f>
        <v/>
      </c>
      <c r="P217">
        <f>IFERROR(VLOOKUP(C217,Customers!$A:$C,3,FALSE()),"")</f>
        <v>55</v>
      </c>
      <c r="Q217" t="str">
        <f t="shared" si="3"/>
        <v>Dec-24</v>
      </c>
      <c r="R217">
        <f>IFERROR((VLOOKUP(D217,Products!$A:$E,5,FALSE())-VLOOKUP(D217,Products!$A:$E,4,FALSE()))/VLOOKUP(D217,Products!$A:$E,5,FALSE()),"")</f>
        <v>0.35555555555555557</v>
      </c>
    </row>
    <row r="218" spans="1:18" x14ac:dyDescent="0.3">
      <c r="A218" s="22" t="s">
        <v>753</v>
      </c>
      <c r="B218" s="23">
        <v>45653</v>
      </c>
      <c r="C218" s="22" t="s">
        <v>754</v>
      </c>
      <c r="D218" s="22" t="s">
        <v>315</v>
      </c>
      <c r="E218" s="22" t="s">
        <v>755</v>
      </c>
      <c r="F218" s="24">
        <v>9</v>
      </c>
      <c r="G218" s="24">
        <v>4070</v>
      </c>
      <c r="H218" s="24">
        <v>28.2</v>
      </c>
      <c r="I218" s="24">
        <v>26300.34</v>
      </c>
      <c r="J218" s="22" t="s">
        <v>104</v>
      </c>
      <c r="K218" s="22" t="s">
        <v>129</v>
      </c>
      <c r="L218" t="str">
        <f>VLOOKUP(D218,Products!A:F,3,FALSE())</f>
        <v>Grocery</v>
      </c>
      <c r="M218" t="str">
        <f>VLOOKUP(C218,Customers!A:F,5,FALSE())</f>
        <v>Corporate</v>
      </c>
      <c r="O218" t="str">
        <f>IFERROR(VLOOKUP(E218,Sales_Reps!$A:$C,3,FALSE()),"")</f>
        <v/>
      </c>
      <c r="P218">
        <f>IFERROR(VLOOKUP(C218,Customers!$A:$C,3,FALSE()),"")</f>
        <v>60</v>
      </c>
      <c r="Q218" t="str">
        <f t="shared" si="3"/>
        <v>Dec-24</v>
      </c>
      <c r="R218">
        <f>IFERROR((VLOOKUP(D218,Products!$A:$E,5,FALSE())-VLOOKUP(D218,Products!$A:$E,4,FALSE()))/VLOOKUP(D218,Products!$A:$E,5,FALSE()),"")</f>
        <v>0.50196560196560192</v>
      </c>
    </row>
    <row r="219" spans="1:18" x14ac:dyDescent="0.3">
      <c r="A219" s="22" t="s">
        <v>756</v>
      </c>
      <c r="B219" s="23">
        <v>45424</v>
      </c>
      <c r="C219" s="22" t="s">
        <v>757</v>
      </c>
      <c r="D219" s="22" t="s">
        <v>334</v>
      </c>
      <c r="E219" s="22" t="s">
        <v>758</v>
      </c>
      <c r="F219" s="24">
        <v>9</v>
      </c>
      <c r="G219" s="24">
        <v>2660</v>
      </c>
      <c r="H219" s="24">
        <v>13.1</v>
      </c>
      <c r="I219" s="24">
        <v>20803.86</v>
      </c>
      <c r="J219" s="22" t="s">
        <v>110</v>
      </c>
      <c r="K219" s="22" t="s">
        <v>129</v>
      </c>
      <c r="L219" t="str">
        <f>VLOOKUP(D219,Products!A:F,3,FALSE())</f>
        <v>Electronics</v>
      </c>
      <c r="M219" t="str">
        <f>VLOOKUP(C219,Customers!A:F,5,FALSE())</f>
        <v>Retail</v>
      </c>
      <c r="O219" t="str">
        <f>IFERROR(VLOOKUP(E219,Sales_Reps!$A:$C,3,FALSE()),"")</f>
        <v/>
      </c>
      <c r="P219">
        <f>IFERROR(VLOOKUP(C219,Customers!$A:$C,3,FALSE()),"")</f>
        <v>65</v>
      </c>
      <c r="Q219" t="str">
        <f t="shared" si="3"/>
        <v>May-24</v>
      </c>
      <c r="R219">
        <f>IFERROR((VLOOKUP(D219,Products!$A:$E,5,FALSE())-VLOOKUP(D219,Products!$A:$E,4,FALSE()))/VLOOKUP(D219,Products!$A:$E,5,FALSE()),"")</f>
        <v>0.52669172932330832</v>
      </c>
    </row>
    <row r="220" spans="1:18" x14ac:dyDescent="0.3">
      <c r="A220" s="22" t="s">
        <v>759</v>
      </c>
      <c r="B220" s="23">
        <v>45400</v>
      </c>
      <c r="C220" s="22" t="s">
        <v>760</v>
      </c>
      <c r="D220" s="22" t="s">
        <v>216</v>
      </c>
      <c r="E220" s="22" t="s">
        <v>761</v>
      </c>
      <c r="F220" s="24">
        <v>4</v>
      </c>
      <c r="G220" s="24">
        <v>3570</v>
      </c>
      <c r="H220" s="24">
        <v>1.5</v>
      </c>
      <c r="I220" s="24">
        <v>14065.8</v>
      </c>
      <c r="J220" s="22" t="s">
        <v>159</v>
      </c>
      <c r="K220" s="22" t="s">
        <v>129</v>
      </c>
      <c r="L220" t="str">
        <f>VLOOKUP(D220,Products!A:F,3,FALSE())</f>
        <v>Electronics</v>
      </c>
      <c r="M220" t="str">
        <f>VLOOKUP(C220,Customers!A:F,5,FALSE())</f>
        <v>Retail</v>
      </c>
      <c r="O220" t="str">
        <f>IFERROR(VLOOKUP(E220,Sales_Reps!$A:$C,3,FALSE()),"")</f>
        <v/>
      </c>
      <c r="P220">
        <f>IFERROR(VLOOKUP(C220,Customers!$A:$C,3,FALSE()),"")</f>
        <v>37</v>
      </c>
      <c r="Q220" t="str">
        <f t="shared" si="3"/>
        <v>Apr-24</v>
      </c>
      <c r="R220">
        <f>IFERROR((VLOOKUP(D220,Products!$A:$E,5,FALSE())-VLOOKUP(D220,Products!$A:$E,4,FALSE()))/VLOOKUP(D220,Products!$A:$E,5,FALSE()),"")</f>
        <v>0.53361344537815125</v>
      </c>
    </row>
    <row r="221" spans="1:18" x14ac:dyDescent="0.3">
      <c r="A221" s="22" t="s">
        <v>762</v>
      </c>
      <c r="B221" s="23">
        <v>45531</v>
      </c>
      <c r="C221" s="22" t="s">
        <v>763</v>
      </c>
      <c r="D221" s="22" t="s">
        <v>479</v>
      </c>
      <c r="E221" s="22" t="s">
        <v>764</v>
      </c>
      <c r="F221" s="24">
        <v>2</v>
      </c>
      <c r="G221" s="24">
        <v>960</v>
      </c>
      <c r="H221" s="24">
        <v>18.600000000000001</v>
      </c>
      <c r="I221" s="24">
        <v>1562.88</v>
      </c>
      <c r="J221" s="22" t="s">
        <v>104</v>
      </c>
      <c r="K221" s="22" t="s">
        <v>129</v>
      </c>
      <c r="L221" t="str">
        <f>VLOOKUP(D221,Products!A:F,3,FALSE())</f>
        <v>Beauty</v>
      </c>
      <c r="M221" t="str">
        <f>VLOOKUP(C221,Customers!A:F,5,FALSE())</f>
        <v>Retail</v>
      </c>
      <c r="O221" t="str">
        <f>IFERROR(VLOOKUP(E221,Sales_Reps!$A:$C,3,FALSE()),"")</f>
        <v/>
      </c>
      <c r="P221">
        <f>IFERROR(VLOOKUP(C221,Customers!$A:$C,3,FALSE()),"")</f>
        <v>65</v>
      </c>
      <c r="Q221" t="str">
        <f t="shared" si="3"/>
        <v>Aug-24</v>
      </c>
      <c r="R221">
        <f>IFERROR((VLOOKUP(D221,Products!$A:$E,5,FALSE())-VLOOKUP(D221,Products!$A:$E,4,FALSE()))/VLOOKUP(D221,Products!$A:$E,5,FALSE()),"")</f>
        <v>0.296875</v>
      </c>
    </row>
    <row r="222" spans="1:18" x14ac:dyDescent="0.3">
      <c r="A222" s="22" t="s">
        <v>765</v>
      </c>
      <c r="B222" s="23">
        <v>45546</v>
      </c>
      <c r="C222" s="22" t="s">
        <v>766</v>
      </c>
      <c r="D222" s="22" t="s">
        <v>178</v>
      </c>
      <c r="E222" s="22" t="s">
        <v>767</v>
      </c>
      <c r="F222" s="24">
        <v>2</v>
      </c>
      <c r="G222" s="24">
        <v>3450</v>
      </c>
      <c r="H222" s="24">
        <v>3.7</v>
      </c>
      <c r="I222" s="24">
        <v>6644.7</v>
      </c>
      <c r="J222" s="22" t="s">
        <v>104</v>
      </c>
      <c r="K222" s="22" t="s">
        <v>105</v>
      </c>
      <c r="L222" t="str">
        <f>VLOOKUP(D222,Products!A:F,3,FALSE())</f>
        <v>Beauty</v>
      </c>
      <c r="M222" t="str">
        <f>VLOOKUP(C222,Customers!A:F,5,FALSE())</f>
        <v>Retail</v>
      </c>
      <c r="O222" t="str">
        <f>IFERROR(VLOOKUP(E222,Sales_Reps!$A:$C,3,FALSE()),"")</f>
        <v/>
      </c>
      <c r="P222">
        <f>IFERROR(VLOOKUP(C222,Customers!$A:$C,3,FALSE()),"")</f>
        <v>62</v>
      </c>
      <c r="Q222" t="str">
        <f t="shared" si="3"/>
        <v>Sep-24</v>
      </c>
      <c r="R222">
        <f>IFERROR((VLOOKUP(D222,Products!$A:$E,5,FALSE())-VLOOKUP(D222,Products!$A:$E,4,FALSE()))/VLOOKUP(D222,Products!$A:$E,5,FALSE()),"")</f>
        <v>0.29855072463768118</v>
      </c>
    </row>
    <row r="223" spans="1:18" x14ac:dyDescent="0.3">
      <c r="A223" s="22" t="s">
        <v>768</v>
      </c>
      <c r="B223" s="23">
        <v>45608</v>
      </c>
      <c r="C223" s="22" t="s">
        <v>769</v>
      </c>
      <c r="D223" s="22" t="s">
        <v>220</v>
      </c>
      <c r="E223" s="22" t="s">
        <v>770</v>
      </c>
      <c r="F223" s="24">
        <v>6</v>
      </c>
      <c r="G223" s="24">
        <v>5100</v>
      </c>
      <c r="H223" s="24">
        <v>1.2</v>
      </c>
      <c r="I223" s="24">
        <v>30232.799999999999</v>
      </c>
      <c r="J223" s="22" t="s">
        <v>104</v>
      </c>
      <c r="K223" s="22" t="s">
        <v>151</v>
      </c>
      <c r="L223" t="str">
        <f>VLOOKUP(D223,Products!A:F,3,FALSE())</f>
        <v>Beauty</v>
      </c>
      <c r="M223" t="str">
        <f>VLOOKUP(C223,Customers!A:F,5,FALSE())</f>
        <v>SMB</v>
      </c>
      <c r="O223" t="str">
        <f>IFERROR(VLOOKUP(E223,Sales_Reps!$A:$C,3,FALSE()),"")</f>
        <v/>
      </c>
      <c r="P223">
        <f>IFERROR(VLOOKUP(C223,Customers!$A:$C,3,FALSE()),"")</f>
        <v>43</v>
      </c>
      <c r="Q223" t="str">
        <f t="shared" si="3"/>
        <v>Nov-24</v>
      </c>
      <c r="R223">
        <f>IFERROR((VLOOKUP(D223,Products!$A:$E,5,FALSE())-VLOOKUP(D223,Products!$A:$E,4,FALSE()))/VLOOKUP(D223,Products!$A:$E,5,FALSE()),"")</f>
        <v>0.56137254901960787</v>
      </c>
    </row>
    <row r="224" spans="1:18" x14ac:dyDescent="0.3">
      <c r="A224" s="22" t="s">
        <v>771</v>
      </c>
      <c r="B224" s="23">
        <v>45614</v>
      </c>
      <c r="C224" s="22" t="s">
        <v>772</v>
      </c>
      <c r="D224" s="22" t="s">
        <v>338</v>
      </c>
      <c r="E224" s="22" t="s">
        <v>773</v>
      </c>
      <c r="F224" s="24">
        <v>9</v>
      </c>
      <c r="G224" s="24">
        <v>300</v>
      </c>
      <c r="H224" s="24">
        <v>25.4</v>
      </c>
      <c r="I224" s="24">
        <v>2014.2</v>
      </c>
      <c r="J224" s="22" t="s">
        <v>159</v>
      </c>
      <c r="K224" s="22" t="s">
        <v>105</v>
      </c>
      <c r="L224" t="str">
        <f>VLOOKUP(D224,Products!A:F,3,FALSE())</f>
        <v>Electronics</v>
      </c>
      <c r="M224" t="str">
        <f>VLOOKUP(C224,Customers!A:F,5,FALSE())</f>
        <v>SMB</v>
      </c>
      <c r="O224" t="str">
        <f>IFERROR(VLOOKUP(E224,Sales_Reps!$A:$C,3,FALSE()),"")</f>
        <v/>
      </c>
      <c r="P224">
        <f>IFERROR(VLOOKUP(C224,Customers!$A:$C,3,FALSE()),"")</f>
        <v>24</v>
      </c>
      <c r="Q224" t="str">
        <f t="shared" si="3"/>
        <v>Nov-24</v>
      </c>
      <c r="R224">
        <f>IFERROR((VLOOKUP(D224,Products!$A:$E,5,FALSE())-VLOOKUP(D224,Products!$A:$E,4,FALSE()))/VLOOKUP(D224,Products!$A:$E,5,FALSE()),"")</f>
        <v>0.57333333333333336</v>
      </c>
    </row>
    <row r="225" spans="1:18" x14ac:dyDescent="0.3">
      <c r="A225" s="22" t="s">
        <v>774</v>
      </c>
      <c r="B225" s="23">
        <v>45405</v>
      </c>
      <c r="C225" s="22" t="s">
        <v>775</v>
      </c>
      <c r="D225" s="22" t="s">
        <v>212</v>
      </c>
      <c r="E225" s="22" t="s">
        <v>776</v>
      </c>
      <c r="F225" s="24">
        <v>7</v>
      </c>
      <c r="G225" s="24">
        <v>4880</v>
      </c>
      <c r="H225" s="24">
        <v>16.899999999999999</v>
      </c>
      <c r="I225" s="24">
        <v>28386.959999999999</v>
      </c>
      <c r="J225" s="22" t="s">
        <v>110</v>
      </c>
      <c r="K225" s="22" t="s">
        <v>129</v>
      </c>
      <c r="L225" t="str">
        <f>VLOOKUP(D225,Products!A:F,3,FALSE())</f>
        <v>Beauty</v>
      </c>
      <c r="M225" t="str">
        <f>VLOOKUP(C225,Customers!A:F,5,FALSE())</f>
        <v>SMB</v>
      </c>
      <c r="O225" t="str">
        <f>IFERROR(VLOOKUP(E225,Sales_Reps!$A:$C,3,FALSE()),"")</f>
        <v/>
      </c>
      <c r="P225">
        <f>IFERROR(VLOOKUP(C225,Customers!$A:$C,3,FALSE()),"")</f>
        <v>61</v>
      </c>
      <c r="Q225" t="str">
        <f t="shared" si="3"/>
        <v>Apr-24</v>
      </c>
      <c r="R225">
        <f>IFERROR((VLOOKUP(D225,Products!$A:$E,5,FALSE())-VLOOKUP(D225,Products!$A:$E,4,FALSE()))/VLOOKUP(D225,Products!$A:$E,5,FALSE()),"")</f>
        <v>0.43278688524590164</v>
      </c>
    </row>
    <row r="226" spans="1:18" x14ac:dyDescent="0.3">
      <c r="A226" s="22" t="s">
        <v>777</v>
      </c>
      <c r="B226" s="23">
        <v>45504</v>
      </c>
      <c r="C226" s="22" t="s">
        <v>778</v>
      </c>
      <c r="D226" s="22" t="s">
        <v>162</v>
      </c>
      <c r="E226" s="22" t="s">
        <v>779</v>
      </c>
      <c r="F226" s="24">
        <v>9</v>
      </c>
      <c r="G226" s="24">
        <v>3250</v>
      </c>
      <c r="H226" s="24">
        <v>10.8</v>
      </c>
      <c r="I226" s="24">
        <v>26091</v>
      </c>
      <c r="J226" s="22" t="s">
        <v>159</v>
      </c>
      <c r="K226" s="22" t="s">
        <v>134</v>
      </c>
      <c r="L226" t="str">
        <f>VLOOKUP(D226,Products!A:F,3,FALSE())</f>
        <v>Home</v>
      </c>
      <c r="M226" t="str">
        <f>VLOOKUP(C226,Customers!A:F,5,FALSE())</f>
        <v>Corporate</v>
      </c>
      <c r="O226" t="str">
        <f>IFERROR(VLOOKUP(E226,Sales_Reps!$A:$C,3,FALSE()),"")</f>
        <v/>
      </c>
      <c r="P226">
        <f>IFERROR(VLOOKUP(C226,Customers!$A:$C,3,FALSE()),"")</f>
        <v>41</v>
      </c>
      <c r="Q226" t="str">
        <f t="shared" si="3"/>
        <v>Jul-24</v>
      </c>
      <c r="R226">
        <f>IFERROR((VLOOKUP(D226,Products!$A:$E,5,FALSE())-VLOOKUP(D226,Products!$A:$E,4,FALSE()))/VLOOKUP(D226,Products!$A:$E,5,FALSE()),"")</f>
        <v>0.52123076923076928</v>
      </c>
    </row>
    <row r="227" spans="1:18" x14ac:dyDescent="0.3">
      <c r="A227" s="22" t="s">
        <v>780</v>
      </c>
      <c r="B227" s="23">
        <v>45298</v>
      </c>
      <c r="C227" s="22" t="s">
        <v>576</v>
      </c>
      <c r="D227" s="22" t="s">
        <v>178</v>
      </c>
      <c r="E227" s="22" t="s">
        <v>781</v>
      </c>
      <c r="F227" s="24">
        <v>3</v>
      </c>
      <c r="G227" s="24">
        <v>3450</v>
      </c>
      <c r="H227" s="24">
        <v>5.4</v>
      </c>
      <c r="I227" s="24">
        <v>9791.1</v>
      </c>
      <c r="J227" s="22" t="s">
        <v>110</v>
      </c>
      <c r="K227" s="22" t="s">
        <v>105</v>
      </c>
      <c r="L227" t="str">
        <f>VLOOKUP(D227,Products!A:F,3,FALSE())</f>
        <v>Beauty</v>
      </c>
      <c r="M227" t="str">
        <f>VLOOKUP(C227,Customers!A:F,5,FALSE())</f>
        <v>Retail</v>
      </c>
      <c r="O227" t="str">
        <f>IFERROR(VLOOKUP(E227,Sales_Reps!$A:$C,3,FALSE()),"")</f>
        <v/>
      </c>
      <c r="P227">
        <f>IFERROR(VLOOKUP(C227,Customers!$A:$C,3,FALSE()),"")</f>
        <v>65</v>
      </c>
      <c r="Q227" t="str">
        <f t="shared" si="3"/>
        <v>Jan-24</v>
      </c>
      <c r="R227">
        <f>IFERROR((VLOOKUP(D227,Products!$A:$E,5,FALSE())-VLOOKUP(D227,Products!$A:$E,4,FALSE()))/VLOOKUP(D227,Products!$A:$E,5,FALSE()),"")</f>
        <v>0.29855072463768118</v>
      </c>
    </row>
    <row r="228" spans="1:18" x14ac:dyDescent="0.3">
      <c r="A228" s="22" t="s">
        <v>782</v>
      </c>
      <c r="B228" s="23">
        <v>45346</v>
      </c>
      <c r="C228" s="22" t="s">
        <v>783</v>
      </c>
      <c r="D228" s="22" t="s">
        <v>283</v>
      </c>
      <c r="E228" s="22" t="s">
        <v>784</v>
      </c>
      <c r="F228" s="24">
        <v>5</v>
      </c>
      <c r="G228" s="24">
        <v>6080</v>
      </c>
      <c r="H228" s="24">
        <v>18</v>
      </c>
      <c r="I228" s="24">
        <v>24928</v>
      </c>
      <c r="J228" s="22" t="s">
        <v>104</v>
      </c>
      <c r="K228" s="22" t="s">
        <v>116</v>
      </c>
      <c r="L228" t="str">
        <f>VLOOKUP(D228,Products!A:F,3,FALSE())</f>
        <v>Beauty</v>
      </c>
      <c r="M228" t="str">
        <f>VLOOKUP(C228,Customers!A:F,5,FALSE())</f>
        <v>Corporate</v>
      </c>
      <c r="O228" t="str">
        <f>IFERROR(VLOOKUP(E228,Sales_Reps!$A:$C,3,FALSE()),"")</f>
        <v/>
      </c>
      <c r="P228">
        <f>IFERROR(VLOOKUP(C228,Customers!$A:$C,3,FALSE()),"")</f>
        <v>47</v>
      </c>
      <c r="Q228" t="str">
        <f t="shared" si="3"/>
        <v>Feb-24</v>
      </c>
      <c r="R228">
        <f>IFERROR((VLOOKUP(D228,Products!$A:$E,5,FALSE())-VLOOKUP(D228,Products!$A:$E,4,FALSE()))/VLOOKUP(D228,Products!$A:$E,5,FALSE()),"")</f>
        <v>0.56957236842105263</v>
      </c>
    </row>
    <row r="229" spans="1:18" x14ac:dyDescent="0.3">
      <c r="A229" s="22" t="s">
        <v>785</v>
      </c>
      <c r="B229" s="23">
        <v>45487</v>
      </c>
      <c r="C229" s="22" t="s">
        <v>573</v>
      </c>
      <c r="D229" s="22" t="s">
        <v>283</v>
      </c>
      <c r="E229" s="22" t="s">
        <v>786</v>
      </c>
      <c r="F229" s="24">
        <v>7</v>
      </c>
      <c r="G229" s="24">
        <v>6080</v>
      </c>
      <c r="H229" s="24">
        <v>9.1999999999999993</v>
      </c>
      <c r="I229" s="24">
        <v>38644.480000000003</v>
      </c>
      <c r="J229" s="22" t="s">
        <v>104</v>
      </c>
      <c r="K229" s="22" t="s">
        <v>105</v>
      </c>
      <c r="L229" t="str">
        <f>VLOOKUP(D229,Products!A:F,3,FALSE())</f>
        <v>Beauty</v>
      </c>
      <c r="M229" t="str">
        <f>VLOOKUP(C229,Customers!A:F,5,FALSE())</f>
        <v>SMB</v>
      </c>
      <c r="O229" t="str">
        <f>IFERROR(VLOOKUP(E229,Sales_Reps!$A:$C,3,FALSE()),"")</f>
        <v/>
      </c>
      <c r="P229">
        <f>IFERROR(VLOOKUP(C229,Customers!$A:$C,3,FALSE()),"")</f>
        <v>30</v>
      </c>
      <c r="Q229" t="str">
        <f t="shared" si="3"/>
        <v>Jul-24</v>
      </c>
      <c r="R229">
        <f>IFERROR((VLOOKUP(D229,Products!$A:$E,5,FALSE())-VLOOKUP(D229,Products!$A:$E,4,FALSE()))/VLOOKUP(D229,Products!$A:$E,5,FALSE()),"")</f>
        <v>0.56957236842105263</v>
      </c>
    </row>
    <row r="230" spans="1:18" x14ac:dyDescent="0.3">
      <c r="A230" s="22" t="s">
        <v>787</v>
      </c>
      <c r="B230" s="23">
        <v>45585</v>
      </c>
      <c r="C230" s="22" t="s">
        <v>734</v>
      </c>
      <c r="D230" s="22" t="s">
        <v>149</v>
      </c>
      <c r="E230" s="22" t="s">
        <v>788</v>
      </c>
      <c r="F230" s="24">
        <v>5</v>
      </c>
      <c r="G230" s="24">
        <v>2270</v>
      </c>
      <c r="H230" s="24">
        <v>0.4</v>
      </c>
      <c r="I230" s="24">
        <v>11304.6</v>
      </c>
      <c r="J230" s="22" t="s">
        <v>159</v>
      </c>
      <c r="K230" s="22" t="s">
        <v>151</v>
      </c>
      <c r="L230" t="str">
        <f>VLOOKUP(D230,Products!A:F,3,FALSE())</f>
        <v>Grocery</v>
      </c>
      <c r="M230" t="str">
        <f>VLOOKUP(C230,Customers!A:F,5,FALSE())</f>
        <v>Retail</v>
      </c>
      <c r="O230" t="str">
        <f>IFERROR(VLOOKUP(E230,Sales_Reps!$A:$C,3,FALSE()),"")</f>
        <v/>
      </c>
      <c r="P230">
        <f>IFERROR(VLOOKUP(C230,Customers!$A:$C,3,FALSE()),"")</f>
        <v>38</v>
      </c>
      <c r="Q230" t="str">
        <f t="shared" si="3"/>
        <v>Oct-24</v>
      </c>
      <c r="R230">
        <f>IFERROR((VLOOKUP(D230,Products!$A:$E,5,FALSE())-VLOOKUP(D230,Products!$A:$E,4,FALSE()))/VLOOKUP(D230,Products!$A:$E,5,FALSE()),"")</f>
        <v>0.47004405286343615</v>
      </c>
    </row>
    <row r="231" spans="1:18" x14ac:dyDescent="0.3">
      <c r="A231" s="22" t="s">
        <v>789</v>
      </c>
      <c r="B231" s="23">
        <v>45373</v>
      </c>
      <c r="C231" s="22" t="s">
        <v>465</v>
      </c>
      <c r="D231" s="22" t="s">
        <v>212</v>
      </c>
      <c r="E231" s="22" t="s">
        <v>790</v>
      </c>
      <c r="F231" s="24">
        <v>10</v>
      </c>
      <c r="G231" s="24">
        <v>4880</v>
      </c>
      <c r="H231" s="24">
        <v>24.5</v>
      </c>
      <c r="I231" s="24">
        <v>36844</v>
      </c>
      <c r="J231" s="22" t="s">
        <v>164</v>
      </c>
      <c r="K231" s="22" t="s">
        <v>129</v>
      </c>
      <c r="L231" t="str">
        <f>VLOOKUP(D231,Products!A:F,3,FALSE())</f>
        <v>Beauty</v>
      </c>
      <c r="M231" t="str">
        <f>VLOOKUP(C231,Customers!A:F,5,FALSE())</f>
        <v>Retail</v>
      </c>
      <c r="O231" t="str">
        <f>IFERROR(VLOOKUP(E231,Sales_Reps!$A:$C,3,FALSE()),"")</f>
        <v/>
      </c>
      <c r="P231">
        <f>IFERROR(VLOOKUP(C231,Customers!$A:$C,3,FALSE()),"")</f>
        <v>42</v>
      </c>
      <c r="Q231" t="str">
        <f t="shared" si="3"/>
        <v>Mar-24</v>
      </c>
      <c r="R231">
        <f>IFERROR((VLOOKUP(D231,Products!$A:$E,5,FALSE())-VLOOKUP(D231,Products!$A:$E,4,FALSE()))/VLOOKUP(D231,Products!$A:$E,5,FALSE()),"")</f>
        <v>0.43278688524590164</v>
      </c>
    </row>
    <row r="232" spans="1:18" x14ac:dyDescent="0.3">
      <c r="A232" s="22" t="s">
        <v>791</v>
      </c>
      <c r="B232" s="23">
        <v>45293</v>
      </c>
      <c r="C232" s="22" t="s">
        <v>204</v>
      </c>
      <c r="D232" s="22" t="s">
        <v>459</v>
      </c>
      <c r="E232" s="22" t="s">
        <v>792</v>
      </c>
      <c r="F232" s="24">
        <v>2</v>
      </c>
      <c r="G232" s="24">
        <v>2380</v>
      </c>
      <c r="H232" s="24">
        <v>2.2999999999999998</v>
      </c>
      <c r="I232" s="24">
        <v>4650.5200000000004</v>
      </c>
      <c r="J232" s="22" t="s">
        <v>104</v>
      </c>
      <c r="K232" s="22" t="s">
        <v>111</v>
      </c>
      <c r="L232" t="str">
        <f>VLOOKUP(D232,Products!A:F,3,FALSE())</f>
        <v>Grocery</v>
      </c>
      <c r="M232" t="str">
        <f>VLOOKUP(C232,Customers!A:F,5,FALSE())</f>
        <v>Corporate</v>
      </c>
      <c r="O232" t="str">
        <f>IFERROR(VLOOKUP(E232,Sales_Reps!$A:$C,3,FALSE()),"")</f>
        <v/>
      </c>
      <c r="P232">
        <f>IFERROR(VLOOKUP(C232,Customers!$A:$C,3,FALSE()),"")</f>
        <v>55</v>
      </c>
      <c r="Q232" t="str">
        <f t="shared" si="3"/>
        <v>Jan-24</v>
      </c>
      <c r="R232">
        <f>IFERROR((VLOOKUP(D232,Products!$A:$E,5,FALSE())-VLOOKUP(D232,Products!$A:$E,4,FALSE()))/VLOOKUP(D232,Products!$A:$E,5,FALSE()),"")</f>
        <v>0.50336134453781511</v>
      </c>
    </row>
    <row r="233" spans="1:18" x14ac:dyDescent="0.3">
      <c r="A233" s="22" t="s">
        <v>793</v>
      </c>
      <c r="B233" s="23">
        <v>45498</v>
      </c>
      <c r="C233" s="22" t="s">
        <v>348</v>
      </c>
      <c r="D233" s="22" t="s">
        <v>209</v>
      </c>
      <c r="E233" s="22" t="s">
        <v>794</v>
      </c>
      <c r="F233" s="24">
        <v>1</v>
      </c>
      <c r="G233" s="24">
        <v>1010</v>
      </c>
      <c r="H233" s="24">
        <v>29.9</v>
      </c>
      <c r="I233" s="24">
        <v>708.01</v>
      </c>
      <c r="J233" s="22" t="s">
        <v>104</v>
      </c>
      <c r="K233" s="22" t="s">
        <v>111</v>
      </c>
      <c r="L233" t="str">
        <f>VLOOKUP(D233,Products!A:F,3,FALSE())</f>
        <v>Sports</v>
      </c>
      <c r="M233" t="str">
        <f>VLOOKUP(C233,Customers!A:F,5,FALSE())</f>
        <v>Retail</v>
      </c>
      <c r="O233" t="str">
        <f>IFERROR(VLOOKUP(E233,Sales_Reps!$A:$C,3,FALSE()),"")</f>
        <v/>
      </c>
      <c r="P233">
        <f>IFERROR(VLOOKUP(C233,Customers!$A:$C,3,FALSE()),"")</f>
        <v>38</v>
      </c>
      <c r="Q233" t="str">
        <f t="shared" si="3"/>
        <v>Jul-24</v>
      </c>
      <c r="R233">
        <f>IFERROR((VLOOKUP(D233,Products!$A:$E,5,FALSE())-VLOOKUP(D233,Products!$A:$E,4,FALSE()))/VLOOKUP(D233,Products!$A:$E,5,FALSE()),"")</f>
        <v>0.4891089108910891</v>
      </c>
    </row>
    <row r="234" spans="1:18" x14ac:dyDescent="0.3">
      <c r="A234" s="22" t="s">
        <v>795</v>
      </c>
      <c r="B234" s="23">
        <v>45643</v>
      </c>
      <c r="C234" s="22" t="s">
        <v>380</v>
      </c>
      <c r="D234" s="22" t="s">
        <v>695</v>
      </c>
      <c r="E234" s="22" t="s">
        <v>796</v>
      </c>
      <c r="F234" s="24">
        <v>7</v>
      </c>
      <c r="G234" s="24">
        <v>6940</v>
      </c>
      <c r="H234" s="24">
        <v>25.8</v>
      </c>
      <c r="I234" s="24">
        <v>36046.36</v>
      </c>
      <c r="J234" s="22" t="s">
        <v>104</v>
      </c>
      <c r="K234" s="22" t="s">
        <v>151</v>
      </c>
      <c r="L234" t="str">
        <f>VLOOKUP(D234,Products!A:F,3,FALSE())</f>
        <v>Sports</v>
      </c>
      <c r="M234" t="str">
        <f>VLOOKUP(C234,Customers!A:F,5,FALSE())</f>
        <v>Retail</v>
      </c>
      <c r="O234" t="str">
        <f>IFERROR(VLOOKUP(E234,Sales_Reps!$A:$C,3,FALSE()),"")</f>
        <v/>
      </c>
      <c r="P234">
        <f>IFERROR(VLOOKUP(C234,Customers!$A:$C,3,FALSE()),"")</f>
        <v>46</v>
      </c>
      <c r="Q234" t="str">
        <f t="shared" si="3"/>
        <v>Dec-24</v>
      </c>
      <c r="R234">
        <f>IFERROR((VLOOKUP(D234,Products!$A:$E,5,FALSE())-VLOOKUP(D234,Products!$A:$E,4,FALSE()))/VLOOKUP(D234,Products!$A:$E,5,FALSE()),"")</f>
        <v>0.5926512968299712</v>
      </c>
    </row>
    <row r="235" spans="1:18" x14ac:dyDescent="0.3">
      <c r="A235" s="22" t="s">
        <v>797</v>
      </c>
      <c r="B235" s="23">
        <v>45542</v>
      </c>
      <c r="C235" s="22" t="s">
        <v>757</v>
      </c>
      <c r="D235" s="22" t="s">
        <v>488</v>
      </c>
      <c r="E235" s="22" t="s">
        <v>798</v>
      </c>
      <c r="F235" s="24">
        <v>6</v>
      </c>
      <c r="G235" s="24">
        <v>2290</v>
      </c>
      <c r="H235" s="24">
        <v>25.9</v>
      </c>
      <c r="I235" s="24">
        <v>10181.34</v>
      </c>
      <c r="J235" s="22" t="s">
        <v>110</v>
      </c>
      <c r="K235" s="22" t="s">
        <v>129</v>
      </c>
      <c r="L235" t="str">
        <f>VLOOKUP(D235,Products!A:F,3,FALSE())</f>
        <v>Beauty</v>
      </c>
      <c r="M235" t="str">
        <f>VLOOKUP(C235,Customers!A:F,5,FALSE())</f>
        <v>Retail</v>
      </c>
      <c r="O235" t="str">
        <f>IFERROR(VLOOKUP(E235,Sales_Reps!$A:$C,3,FALSE()),"")</f>
        <v/>
      </c>
      <c r="P235">
        <f>IFERROR(VLOOKUP(C235,Customers!$A:$C,3,FALSE()),"")</f>
        <v>65</v>
      </c>
      <c r="Q235" t="str">
        <f t="shared" si="3"/>
        <v>Sep-24</v>
      </c>
      <c r="R235">
        <f>IFERROR((VLOOKUP(D235,Products!$A:$E,5,FALSE())-VLOOKUP(D235,Products!$A:$E,4,FALSE()))/VLOOKUP(D235,Products!$A:$E,5,FALSE()),"")</f>
        <v>0.46768558951965067</v>
      </c>
    </row>
    <row r="236" spans="1:18" x14ac:dyDescent="0.3">
      <c r="A236" s="22" t="s">
        <v>799</v>
      </c>
      <c r="B236" s="23">
        <v>45508</v>
      </c>
      <c r="C236" s="22" t="s">
        <v>156</v>
      </c>
      <c r="D236" s="22" t="s">
        <v>127</v>
      </c>
      <c r="E236" s="22" t="s">
        <v>800</v>
      </c>
      <c r="F236" s="24">
        <v>2</v>
      </c>
      <c r="G236" s="24">
        <v>370</v>
      </c>
      <c r="H236" s="24">
        <v>3.9</v>
      </c>
      <c r="I236" s="24">
        <v>711.14</v>
      </c>
      <c r="J236" s="22" t="s">
        <v>104</v>
      </c>
      <c r="K236" s="22" t="s">
        <v>116</v>
      </c>
      <c r="L236" t="str">
        <f>VLOOKUP(D236,Products!A:F,3,FALSE())</f>
        <v>Home</v>
      </c>
      <c r="M236" t="str">
        <f>VLOOKUP(C236,Customers!A:F,5,FALSE())</f>
        <v>SMB</v>
      </c>
      <c r="O236" t="str">
        <f>IFERROR(VLOOKUP(E236,Sales_Reps!$A:$C,3,FALSE()),"")</f>
        <v/>
      </c>
      <c r="P236">
        <f>IFERROR(VLOOKUP(C236,Customers!$A:$C,3,FALSE()),"")</f>
        <v>27</v>
      </c>
      <c r="Q236" t="str">
        <f t="shared" si="3"/>
        <v>Aug-24</v>
      </c>
      <c r="R236">
        <f>IFERROR((VLOOKUP(D236,Products!$A:$E,5,FALSE())-VLOOKUP(D236,Products!$A:$E,4,FALSE()))/VLOOKUP(D236,Products!$A:$E,5,FALSE()),"")</f>
        <v>0.22162162162162163</v>
      </c>
    </row>
    <row r="237" spans="1:18" x14ac:dyDescent="0.3">
      <c r="A237" s="22" t="s">
        <v>801</v>
      </c>
      <c r="B237" s="23">
        <v>45353</v>
      </c>
      <c r="C237" s="22" t="s">
        <v>802</v>
      </c>
      <c r="D237" s="22" t="s">
        <v>289</v>
      </c>
      <c r="E237" s="22" t="s">
        <v>803</v>
      </c>
      <c r="F237" s="24">
        <v>1</v>
      </c>
      <c r="G237" s="24">
        <v>2270</v>
      </c>
      <c r="H237" s="24">
        <v>25.3</v>
      </c>
      <c r="I237" s="24">
        <v>1695.69</v>
      </c>
      <c r="J237" s="22" t="s">
        <v>104</v>
      </c>
      <c r="K237" s="22" t="s">
        <v>105</v>
      </c>
      <c r="L237" t="str">
        <f>VLOOKUP(D237,Products!A:F,3,FALSE())</f>
        <v>Grocery</v>
      </c>
      <c r="M237" t="str">
        <f>VLOOKUP(C237,Customers!A:F,5,FALSE())</f>
        <v>Corporate</v>
      </c>
      <c r="O237" t="str">
        <f>IFERROR(VLOOKUP(E237,Sales_Reps!$A:$C,3,FALSE()),"")</f>
        <v/>
      </c>
      <c r="P237">
        <f>IFERROR(VLOOKUP(C237,Customers!$A:$C,3,FALSE()),"")</f>
        <v>40</v>
      </c>
      <c r="Q237" t="str">
        <f t="shared" si="3"/>
        <v>Mar-24</v>
      </c>
      <c r="R237">
        <f>IFERROR((VLOOKUP(D237,Products!$A:$E,5,FALSE())-VLOOKUP(D237,Products!$A:$E,4,FALSE()))/VLOOKUP(D237,Products!$A:$E,5,FALSE()),"")</f>
        <v>0.37797356828193834</v>
      </c>
    </row>
    <row r="238" spans="1:18" x14ac:dyDescent="0.3">
      <c r="A238" s="22" t="s">
        <v>804</v>
      </c>
      <c r="B238" s="23">
        <v>45344</v>
      </c>
      <c r="C238" s="22" t="s">
        <v>805</v>
      </c>
      <c r="D238" s="22" t="s">
        <v>283</v>
      </c>
      <c r="E238" s="22" t="s">
        <v>806</v>
      </c>
      <c r="F238" s="24">
        <v>4</v>
      </c>
      <c r="G238" s="24">
        <v>6080</v>
      </c>
      <c r="H238" s="24">
        <v>28.8</v>
      </c>
      <c r="I238" s="24">
        <v>17315.84</v>
      </c>
      <c r="J238" s="22" t="s">
        <v>110</v>
      </c>
      <c r="K238" s="22" t="s">
        <v>111</v>
      </c>
      <c r="L238" t="str">
        <f>VLOOKUP(D238,Products!A:F,3,FALSE())</f>
        <v>Beauty</v>
      </c>
      <c r="M238" t="str">
        <f>VLOOKUP(C238,Customers!A:F,5,FALSE())</f>
        <v>SMB</v>
      </c>
      <c r="O238" t="str">
        <f>IFERROR(VLOOKUP(E238,Sales_Reps!$A:$C,3,FALSE()),"")</f>
        <v/>
      </c>
      <c r="P238">
        <f>IFERROR(VLOOKUP(C238,Customers!$A:$C,3,FALSE()),"")</f>
        <v>59</v>
      </c>
      <c r="Q238" t="str">
        <f t="shared" si="3"/>
        <v>Feb-24</v>
      </c>
      <c r="R238">
        <f>IFERROR((VLOOKUP(D238,Products!$A:$E,5,FALSE())-VLOOKUP(D238,Products!$A:$E,4,FALSE()))/VLOOKUP(D238,Products!$A:$E,5,FALSE()),"")</f>
        <v>0.56957236842105263</v>
      </c>
    </row>
    <row r="239" spans="1:18" x14ac:dyDescent="0.3">
      <c r="A239" s="22" t="s">
        <v>807</v>
      </c>
      <c r="B239" s="23">
        <v>45389</v>
      </c>
      <c r="C239" s="22" t="s">
        <v>292</v>
      </c>
      <c r="D239" s="22" t="s">
        <v>455</v>
      </c>
      <c r="E239" s="22" t="s">
        <v>808</v>
      </c>
      <c r="F239" s="24">
        <v>2</v>
      </c>
      <c r="G239" s="24">
        <v>5330</v>
      </c>
      <c r="H239" s="24">
        <v>23.8</v>
      </c>
      <c r="I239" s="24">
        <v>8122.92</v>
      </c>
      <c r="J239" s="22" t="s">
        <v>110</v>
      </c>
      <c r="K239" s="22" t="s">
        <v>134</v>
      </c>
      <c r="L239" t="str">
        <f>VLOOKUP(D239,Products!A:F,3,FALSE())</f>
        <v>Electronics</v>
      </c>
      <c r="M239" t="str">
        <f>VLOOKUP(C239,Customers!A:F,5,FALSE())</f>
        <v>Retail</v>
      </c>
      <c r="O239" t="str">
        <f>IFERROR(VLOOKUP(E239,Sales_Reps!$A:$C,3,FALSE()),"")</f>
        <v/>
      </c>
      <c r="P239">
        <f>IFERROR(VLOOKUP(C239,Customers!$A:$C,3,FALSE()),"")</f>
        <v>34</v>
      </c>
      <c r="Q239" t="str">
        <f t="shared" si="3"/>
        <v>Apr-24</v>
      </c>
      <c r="R239">
        <f>IFERROR((VLOOKUP(D239,Products!$A:$E,5,FALSE())-VLOOKUP(D239,Products!$A:$E,4,FALSE()))/VLOOKUP(D239,Products!$A:$E,5,FALSE()),"")</f>
        <v>0.54878048780487809</v>
      </c>
    </row>
    <row r="240" spans="1:18" x14ac:dyDescent="0.3">
      <c r="A240" s="22" t="s">
        <v>809</v>
      </c>
      <c r="B240" s="23">
        <v>45344</v>
      </c>
      <c r="C240" s="22" t="s">
        <v>810</v>
      </c>
      <c r="D240" s="22" t="s">
        <v>315</v>
      </c>
      <c r="E240" s="22" t="s">
        <v>811</v>
      </c>
      <c r="F240" s="24">
        <v>2</v>
      </c>
      <c r="G240" s="24">
        <v>4070</v>
      </c>
      <c r="H240" s="24">
        <v>4.3</v>
      </c>
      <c r="I240" s="24">
        <v>7789.98</v>
      </c>
      <c r="J240" s="22" t="s">
        <v>104</v>
      </c>
      <c r="K240" s="22" t="s">
        <v>111</v>
      </c>
      <c r="L240" t="str">
        <f>VLOOKUP(D240,Products!A:F,3,FALSE())</f>
        <v>Grocery</v>
      </c>
      <c r="M240" t="str">
        <f>VLOOKUP(C240,Customers!A:F,5,FALSE())</f>
        <v>Retail</v>
      </c>
      <c r="O240" t="str">
        <f>IFERROR(VLOOKUP(E240,Sales_Reps!$A:$C,3,FALSE()),"")</f>
        <v/>
      </c>
      <c r="P240">
        <f>IFERROR(VLOOKUP(C240,Customers!$A:$C,3,FALSE()),"")</f>
        <v>26</v>
      </c>
      <c r="Q240" t="str">
        <f t="shared" si="3"/>
        <v>Feb-24</v>
      </c>
      <c r="R240">
        <f>IFERROR((VLOOKUP(D240,Products!$A:$E,5,FALSE())-VLOOKUP(D240,Products!$A:$E,4,FALSE()))/VLOOKUP(D240,Products!$A:$E,5,FALSE()),"")</f>
        <v>0.50196560196560192</v>
      </c>
    </row>
    <row r="241" spans="1:18" x14ac:dyDescent="0.3">
      <c r="A241" s="22" t="s">
        <v>812</v>
      </c>
      <c r="B241" s="23">
        <v>45480</v>
      </c>
      <c r="C241" s="22" t="s">
        <v>604</v>
      </c>
      <c r="D241" s="22" t="s">
        <v>338</v>
      </c>
      <c r="E241" s="22" t="s">
        <v>813</v>
      </c>
      <c r="F241" s="24">
        <v>6</v>
      </c>
      <c r="G241" s="24">
        <v>300</v>
      </c>
      <c r="H241" s="24">
        <v>17.399999999999999</v>
      </c>
      <c r="I241" s="24">
        <v>1486.8</v>
      </c>
      <c r="J241" s="22" t="s">
        <v>159</v>
      </c>
      <c r="K241" s="22" t="s">
        <v>105</v>
      </c>
      <c r="L241" t="str">
        <f>VLOOKUP(D241,Products!A:F,3,FALSE())</f>
        <v>Electronics</v>
      </c>
      <c r="M241" t="str">
        <f>VLOOKUP(C241,Customers!A:F,5,FALSE())</f>
        <v>Corporate</v>
      </c>
      <c r="O241" t="str">
        <f>IFERROR(VLOOKUP(E241,Sales_Reps!$A:$C,3,FALSE()),"")</f>
        <v/>
      </c>
      <c r="P241">
        <f>IFERROR(VLOOKUP(C241,Customers!$A:$C,3,FALSE()),"")</f>
        <v>37</v>
      </c>
      <c r="Q241" t="str">
        <f t="shared" si="3"/>
        <v>Jul-24</v>
      </c>
      <c r="R241">
        <f>IFERROR((VLOOKUP(D241,Products!$A:$E,5,FALSE())-VLOOKUP(D241,Products!$A:$E,4,FALSE()))/VLOOKUP(D241,Products!$A:$E,5,FALSE()),"")</f>
        <v>0.57333333333333336</v>
      </c>
    </row>
    <row r="242" spans="1:18" x14ac:dyDescent="0.3">
      <c r="A242" s="22" t="s">
        <v>814</v>
      </c>
      <c r="B242" s="23">
        <v>45488</v>
      </c>
      <c r="C242" s="22" t="s">
        <v>144</v>
      </c>
      <c r="D242" s="22" t="s">
        <v>212</v>
      </c>
      <c r="E242" s="22" t="s">
        <v>815</v>
      </c>
      <c r="F242" s="24">
        <v>1</v>
      </c>
      <c r="G242" s="24">
        <v>4880</v>
      </c>
      <c r="H242" s="24">
        <v>17.5</v>
      </c>
      <c r="I242" s="24">
        <v>4026</v>
      </c>
      <c r="J242" s="22" t="s">
        <v>104</v>
      </c>
      <c r="K242" s="22" t="s">
        <v>105</v>
      </c>
      <c r="L242" t="str">
        <f>VLOOKUP(D242,Products!A:F,3,FALSE())</f>
        <v>Beauty</v>
      </c>
      <c r="M242" t="str">
        <f>VLOOKUP(C242,Customers!A:F,5,FALSE())</f>
        <v>Retail</v>
      </c>
      <c r="O242" t="str">
        <f>IFERROR(VLOOKUP(E242,Sales_Reps!$A:$C,3,FALSE()),"")</f>
        <v/>
      </c>
      <c r="P242">
        <f>IFERROR(VLOOKUP(C242,Customers!$A:$C,3,FALSE()),"")</f>
        <v>56</v>
      </c>
      <c r="Q242" t="str">
        <f t="shared" si="3"/>
        <v>Jul-24</v>
      </c>
      <c r="R242">
        <f>IFERROR((VLOOKUP(D242,Products!$A:$E,5,FALSE())-VLOOKUP(D242,Products!$A:$E,4,FALSE()))/VLOOKUP(D242,Products!$A:$E,5,FALSE()),"")</f>
        <v>0.43278688524590164</v>
      </c>
    </row>
    <row r="243" spans="1:18" x14ac:dyDescent="0.3">
      <c r="A243" s="22" t="s">
        <v>816</v>
      </c>
      <c r="B243" s="23">
        <v>45326</v>
      </c>
      <c r="C243" s="22" t="s">
        <v>817</v>
      </c>
      <c r="D243" s="22" t="s">
        <v>224</v>
      </c>
      <c r="E243" s="22" t="s">
        <v>818</v>
      </c>
      <c r="F243" s="24">
        <v>3</v>
      </c>
      <c r="G243" s="24">
        <v>2860</v>
      </c>
      <c r="H243" s="24">
        <v>20.100000000000001</v>
      </c>
      <c r="I243" s="24">
        <v>6855.42</v>
      </c>
      <c r="J243" s="22" t="s">
        <v>104</v>
      </c>
      <c r="K243" s="22" t="s">
        <v>111</v>
      </c>
      <c r="L243" t="str">
        <f>VLOOKUP(D243,Products!A:F,3,FALSE())</f>
        <v>Sports</v>
      </c>
      <c r="M243" t="str">
        <f>VLOOKUP(C243,Customers!A:F,5,FALSE())</f>
        <v>Corporate</v>
      </c>
      <c r="O243" t="str">
        <f>IFERROR(VLOOKUP(E243,Sales_Reps!$A:$C,3,FALSE()),"")</f>
        <v/>
      </c>
      <c r="P243">
        <f>IFERROR(VLOOKUP(C243,Customers!$A:$C,3,FALSE()),"")</f>
        <v>30</v>
      </c>
      <c r="Q243" t="str">
        <f t="shared" si="3"/>
        <v>Feb-24</v>
      </c>
      <c r="R243">
        <f>IFERROR((VLOOKUP(D243,Products!$A:$E,5,FALSE())-VLOOKUP(D243,Products!$A:$E,4,FALSE()))/VLOOKUP(D243,Products!$A:$E,5,FALSE()),"")</f>
        <v>0.29090909090909089</v>
      </c>
    </row>
    <row r="244" spans="1:18" x14ac:dyDescent="0.3">
      <c r="A244" s="22" t="s">
        <v>819</v>
      </c>
      <c r="B244" s="23">
        <v>45627</v>
      </c>
      <c r="C244" s="22" t="s">
        <v>374</v>
      </c>
      <c r="D244" s="22" t="s">
        <v>308</v>
      </c>
      <c r="E244" s="22" t="s">
        <v>820</v>
      </c>
      <c r="F244" s="24">
        <v>3</v>
      </c>
      <c r="G244" s="24">
        <v>1540</v>
      </c>
      <c r="H244" s="24">
        <v>20.9</v>
      </c>
      <c r="I244" s="24">
        <v>3654.42</v>
      </c>
      <c r="J244" s="22" t="s">
        <v>104</v>
      </c>
      <c r="K244" s="22" t="s">
        <v>105</v>
      </c>
      <c r="L244" t="str">
        <f>VLOOKUP(D244,Products!A:F,3,FALSE())</f>
        <v>Beauty</v>
      </c>
      <c r="M244" t="str">
        <f>VLOOKUP(C244,Customers!A:F,5,FALSE())</f>
        <v>SMB</v>
      </c>
      <c r="O244" t="str">
        <f>IFERROR(VLOOKUP(E244,Sales_Reps!$A:$C,3,FALSE()),"")</f>
        <v/>
      </c>
      <c r="P244">
        <f>IFERROR(VLOOKUP(C244,Customers!$A:$C,3,FALSE()),"")</f>
        <v>54</v>
      </c>
      <c r="Q244" t="str">
        <f t="shared" si="3"/>
        <v>Dec-24</v>
      </c>
      <c r="R244">
        <f>IFERROR((VLOOKUP(D244,Products!$A:$E,5,FALSE())-VLOOKUP(D244,Products!$A:$E,4,FALSE()))/VLOOKUP(D244,Products!$A:$E,5,FALSE()),"")</f>
        <v>0.57987012987012987</v>
      </c>
    </row>
    <row r="245" spans="1:18" x14ac:dyDescent="0.3">
      <c r="A245" s="22" t="s">
        <v>821</v>
      </c>
      <c r="B245" s="23">
        <v>45576</v>
      </c>
      <c r="C245" s="22" t="s">
        <v>822</v>
      </c>
      <c r="D245" s="22" t="s">
        <v>153</v>
      </c>
      <c r="E245" s="22" t="s">
        <v>823</v>
      </c>
      <c r="F245" s="24">
        <v>10</v>
      </c>
      <c r="G245" s="24">
        <v>2640</v>
      </c>
      <c r="H245" s="24">
        <v>11.2</v>
      </c>
      <c r="I245" s="24">
        <v>23443.200000000001</v>
      </c>
      <c r="J245" s="22" t="s">
        <v>110</v>
      </c>
      <c r="K245" s="22" t="s">
        <v>151</v>
      </c>
      <c r="L245" t="str">
        <f>VLOOKUP(D245,Products!A:F,3,FALSE())</f>
        <v>Electronics</v>
      </c>
      <c r="M245" t="str">
        <f>VLOOKUP(C245,Customers!A:F,5,FALSE())</f>
        <v>Retail</v>
      </c>
      <c r="O245" t="str">
        <f>IFERROR(VLOOKUP(E245,Sales_Reps!$A:$C,3,FALSE()),"")</f>
        <v/>
      </c>
      <c r="P245">
        <f>IFERROR(VLOOKUP(C245,Customers!$A:$C,3,FALSE()),"")</f>
        <v>22</v>
      </c>
      <c r="Q245" t="str">
        <f t="shared" si="3"/>
        <v>Oct-24</v>
      </c>
      <c r="R245">
        <f>IFERROR((VLOOKUP(D245,Products!$A:$E,5,FALSE())-VLOOKUP(D245,Products!$A:$E,4,FALSE()))/VLOOKUP(D245,Products!$A:$E,5,FALSE()),"")</f>
        <v>0.56477272727272732</v>
      </c>
    </row>
    <row r="246" spans="1:18" x14ac:dyDescent="0.3">
      <c r="A246" s="22" t="s">
        <v>824</v>
      </c>
      <c r="B246" s="23">
        <v>45317</v>
      </c>
      <c r="C246" s="22" t="s">
        <v>534</v>
      </c>
      <c r="D246" s="22" t="s">
        <v>123</v>
      </c>
      <c r="E246" s="22" t="s">
        <v>825</v>
      </c>
      <c r="F246" s="24">
        <v>1</v>
      </c>
      <c r="G246" s="24">
        <v>3160</v>
      </c>
      <c r="H246" s="24">
        <v>11.5</v>
      </c>
      <c r="I246" s="24">
        <v>2796.6</v>
      </c>
      <c r="J246" s="22" t="s">
        <v>104</v>
      </c>
      <c r="K246" s="22" t="s">
        <v>134</v>
      </c>
      <c r="L246" t="str">
        <f>VLOOKUP(D246,Products!A:F,3,FALSE())</f>
        <v>Apparel</v>
      </c>
      <c r="M246" t="str">
        <f>VLOOKUP(C246,Customers!A:F,5,FALSE())</f>
        <v>Corporate</v>
      </c>
      <c r="O246" t="str">
        <f>IFERROR(VLOOKUP(E246,Sales_Reps!$A:$C,3,FALSE()),"")</f>
        <v/>
      </c>
      <c r="P246">
        <f>IFERROR(VLOOKUP(C246,Customers!$A:$C,3,FALSE()),"")</f>
        <v>42</v>
      </c>
      <c r="Q246" t="str">
        <f t="shared" si="3"/>
        <v>Jan-24</v>
      </c>
      <c r="R246">
        <f>IFERROR((VLOOKUP(D246,Products!$A:$E,5,FALSE())-VLOOKUP(D246,Products!$A:$E,4,FALSE()))/VLOOKUP(D246,Products!$A:$E,5,FALSE()),"")</f>
        <v>0.4031645569620253</v>
      </c>
    </row>
    <row r="247" spans="1:18" x14ac:dyDescent="0.3">
      <c r="A247" s="22" t="s">
        <v>826</v>
      </c>
      <c r="B247" s="23">
        <v>45650</v>
      </c>
      <c r="C247" s="22" t="s">
        <v>827</v>
      </c>
      <c r="D247" s="22" t="s">
        <v>186</v>
      </c>
      <c r="E247" s="22" t="s">
        <v>828</v>
      </c>
      <c r="F247" s="24">
        <v>4</v>
      </c>
      <c r="G247" s="24">
        <v>1080</v>
      </c>
      <c r="H247" s="24">
        <v>20.7</v>
      </c>
      <c r="I247" s="24">
        <v>3425.76</v>
      </c>
      <c r="J247" s="22" t="s">
        <v>110</v>
      </c>
      <c r="K247" s="22" t="s">
        <v>116</v>
      </c>
      <c r="L247" t="str">
        <f>VLOOKUP(D247,Products!A:F,3,FALSE())</f>
        <v>Home</v>
      </c>
      <c r="M247" t="str">
        <f>VLOOKUP(C247,Customers!A:F,5,FALSE())</f>
        <v>SMB</v>
      </c>
      <c r="O247" t="str">
        <f>IFERROR(VLOOKUP(E247,Sales_Reps!$A:$C,3,FALSE()),"")</f>
        <v/>
      </c>
      <c r="P247">
        <f>IFERROR(VLOOKUP(C247,Customers!$A:$C,3,FALSE()),"")</f>
        <v>48</v>
      </c>
      <c r="Q247" t="str">
        <f t="shared" si="3"/>
        <v>Dec-24</v>
      </c>
      <c r="R247">
        <f>IFERROR((VLOOKUP(D247,Products!$A:$E,5,FALSE())-VLOOKUP(D247,Products!$A:$E,4,FALSE()))/VLOOKUP(D247,Products!$A:$E,5,FALSE()),"")</f>
        <v>0.51944444444444449</v>
      </c>
    </row>
    <row r="248" spans="1:18" x14ac:dyDescent="0.3">
      <c r="A248" s="22" t="s">
        <v>829</v>
      </c>
      <c r="B248" s="23">
        <v>45585</v>
      </c>
      <c r="C248" s="22" t="s">
        <v>830</v>
      </c>
      <c r="D248" s="22" t="s">
        <v>209</v>
      </c>
      <c r="E248" s="22" t="s">
        <v>831</v>
      </c>
      <c r="F248" s="24">
        <v>4</v>
      </c>
      <c r="G248" s="24">
        <v>1010</v>
      </c>
      <c r="H248" s="24">
        <v>29.5</v>
      </c>
      <c r="I248" s="24">
        <v>2848.2</v>
      </c>
      <c r="J248" s="22" t="s">
        <v>110</v>
      </c>
      <c r="K248" s="22" t="s">
        <v>129</v>
      </c>
      <c r="L248" t="str">
        <f>VLOOKUP(D248,Products!A:F,3,FALSE())</f>
        <v>Sports</v>
      </c>
      <c r="M248" t="str">
        <f>VLOOKUP(C248,Customers!A:F,5,FALSE())</f>
        <v>Retail</v>
      </c>
      <c r="O248" t="str">
        <f>IFERROR(VLOOKUP(E248,Sales_Reps!$A:$C,3,FALSE()),"")</f>
        <v/>
      </c>
      <c r="P248">
        <f>IFERROR(VLOOKUP(C248,Customers!$A:$C,3,FALSE()),"")</f>
        <v>39</v>
      </c>
      <c r="Q248" t="str">
        <f t="shared" si="3"/>
        <v>Oct-24</v>
      </c>
      <c r="R248">
        <f>IFERROR((VLOOKUP(D248,Products!$A:$E,5,FALSE())-VLOOKUP(D248,Products!$A:$E,4,FALSE()))/VLOOKUP(D248,Products!$A:$E,5,FALSE()),"")</f>
        <v>0.4891089108910891</v>
      </c>
    </row>
    <row r="249" spans="1:18" x14ac:dyDescent="0.3">
      <c r="A249" s="22" t="s">
        <v>832</v>
      </c>
      <c r="B249" s="23">
        <v>45545</v>
      </c>
      <c r="C249" s="22" t="s">
        <v>833</v>
      </c>
      <c r="D249" s="22" t="s">
        <v>157</v>
      </c>
      <c r="E249" s="22" t="s">
        <v>834</v>
      </c>
      <c r="F249" s="24">
        <v>7</v>
      </c>
      <c r="G249" s="24">
        <v>2600</v>
      </c>
      <c r="H249" s="24">
        <v>6.6</v>
      </c>
      <c r="I249" s="24">
        <v>16998.8</v>
      </c>
      <c r="J249" s="22" t="s">
        <v>104</v>
      </c>
      <c r="K249" s="22" t="s">
        <v>134</v>
      </c>
      <c r="L249" t="str">
        <f>VLOOKUP(D249,Products!A:F,3,FALSE())</f>
        <v>Electronics</v>
      </c>
      <c r="M249" t="str">
        <f>VLOOKUP(C249,Customers!A:F,5,FALSE())</f>
        <v>Corporate</v>
      </c>
      <c r="O249" t="str">
        <f>IFERROR(VLOOKUP(E249,Sales_Reps!$A:$C,3,FALSE()),"")</f>
        <v/>
      </c>
      <c r="P249">
        <f>IFERROR(VLOOKUP(C249,Customers!$A:$C,3,FALSE()),"")</f>
        <v>26</v>
      </c>
      <c r="Q249" t="str">
        <f t="shared" si="3"/>
        <v>Sep-24</v>
      </c>
      <c r="R249">
        <f>IFERROR((VLOOKUP(D249,Products!$A:$E,5,FALSE())-VLOOKUP(D249,Products!$A:$E,4,FALSE()))/VLOOKUP(D249,Products!$A:$E,5,FALSE()),"")</f>
        <v>0.5953846153846154</v>
      </c>
    </row>
    <row r="250" spans="1:18" x14ac:dyDescent="0.3">
      <c r="A250" s="22" t="s">
        <v>835</v>
      </c>
      <c r="B250" s="23">
        <v>45395</v>
      </c>
      <c r="C250" s="22" t="s">
        <v>307</v>
      </c>
      <c r="D250" s="22" t="s">
        <v>442</v>
      </c>
      <c r="E250" s="22" t="s">
        <v>836</v>
      </c>
      <c r="F250" s="24">
        <v>4</v>
      </c>
      <c r="G250" s="24">
        <v>2510</v>
      </c>
      <c r="H250" s="24">
        <v>1</v>
      </c>
      <c r="I250" s="24">
        <v>9939.6</v>
      </c>
      <c r="J250" s="22" t="s">
        <v>104</v>
      </c>
      <c r="K250" s="22" t="s">
        <v>116</v>
      </c>
      <c r="L250" t="str">
        <f>VLOOKUP(D250,Products!A:F,3,FALSE())</f>
        <v>Apparel</v>
      </c>
      <c r="M250" t="str">
        <f>VLOOKUP(C250,Customers!A:F,5,FALSE())</f>
        <v>SMB</v>
      </c>
      <c r="O250" t="str">
        <f>IFERROR(VLOOKUP(E250,Sales_Reps!$A:$C,3,FALSE()),"")</f>
        <v/>
      </c>
      <c r="P250">
        <f>IFERROR(VLOOKUP(C250,Customers!$A:$C,3,FALSE()),"")</f>
        <v>55</v>
      </c>
      <c r="Q250" t="str">
        <f t="shared" si="3"/>
        <v>Apr-24</v>
      </c>
      <c r="R250">
        <f>IFERROR((VLOOKUP(D250,Products!$A:$E,5,FALSE())-VLOOKUP(D250,Products!$A:$E,4,FALSE()))/VLOOKUP(D250,Products!$A:$E,5,FALSE()),"")</f>
        <v>0.57171314741035861</v>
      </c>
    </row>
    <row r="251" spans="1:18" x14ac:dyDescent="0.3">
      <c r="A251" s="22" t="s">
        <v>837</v>
      </c>
      <c r="B251" s="23">
        <v>45636</v>
      </c>
      <c r="C251" s="22" t="s">
        <v>838</v>
      </c>
      <c r="D251" s="22" t="s">
        <v>315</v>
      </c>
      <c r="E251" s="22" t="s">
        <v>839</v>
      </c>
      <c r="F251" s="24">
        <v>9</v>
      </c>
      <c r="G251" s="24">
        <v>4070</v>
      </c>
      <c r="H251" s="24">
        <v>6.7</v>
      </c>
      <c r="I251" s="24">
        <v>34175.79</v>
      </c>
      <c r="J251" s="22" t="s">
        <v>159</v>
      </c>
      <c r="K251" s="22" t="s">
        <v>111</v>
      </c>
      <c r="L251" t="str">
        <f>VLOOKUP(D251,Products!A:F,3,FALSE())</f>
        <v>Grocery</v>
      </c>
      <c r="M251" t="str">
        <f>VLOOKUP(C251,Customers!A:F,5,FALSE())</f>
        <v>Retail</v>
      </c>
      <c r="O251" t="str">
        <f>IFERROR(VLOOKUP(E251,Sales_Reps!$A:$C,3,FALSE()),"")</f>
        <v/>
      </c>
      <c r="P251">
        <f>IFERROR(VLOOKUP(C251,Customers!$A:$C,3,FALSE()),"")</f>
        <v>61</v>
      </c>
      <c r="Q251" t="str">
        <f t="shared" si="3"/>
        <v>Dec-24</v>
      </c>
      <c r="R251">
        <f>IFERROR((VLOOKUP(D251,Products!$A:$E,5,FALSE())-VLOOKUP(D251,Products!$A:$E,4,FALSE()))/VLOOKUP(D251,Products!$A:$E,5,FALSE()),"")</f>
        <v>0.50196560196560192</v>
      </c>
    </row>
    <row r="252" spans="1:18" x14ac:dyDescent="0.3">
      <c r="A252" s="22" t="s">
        <v>840</v>
      </c>
      <c r="B252" s="23">
        <v>45612</v>
      </c>
      <c r="C252" s="22" t="s">
        <v>841</v>
      </c>
      <c r="D252" s="22" t="s">
        <v>108</v>
      </c>
      <c r="E252" s="22" t="s">
        <v>842</v>
      </c>
      <c r="F252" s="24">
        <v>6</v>
      </c>
      <c r="G252" s="24">
        <v>820</v>
      </c>
      <c r="H252" s="24">
        <v>14</v>
      </c>
      <c r="I252" s="24">
        <v>4231.2</v>
      </c>
      <c r="J252" s="22" t="s">
        <v>104</v>
      </c>
      <c r="K252" s="22" t="s">
        <v>134</v>
      </c>
      <c r="L252" t="str">
        <f>VLOOKUP(D252,Products!A:F,3,FALSE())</f>
        <v>Apparel</v>
      </c>
      <c r="M252" t="str">
        <f>VLOOKUP(C252,Customers!A:F,5,FALSE())</f>
        <v>Retail</v>
      </c>
      <c r="O252" t="str">
        <f>IFERROR(VLOOKUP(E252,Sales_Reps!$A:$C,3,FALSE()),"")</f>
        <v/>
      </c>
      <c r="P252">
        <f>IFERROR(VLOOKUP(C252,Customers!$A:$C,3,FALSE()),"")</f>
        <v>34</v>
      </c>
      <c r="Q252" t="str">
        <f t="shared" si="3"/>
        <v>Nov-24</v>
      </c>
      <c r="R252">
        <f>IFERROR((VLOOKUP(D252,Products!$A:$E,5,FALSE())-VLOOKUP(D252,Products!$A:$E,4,FALSE()))/VLOOKUP(D252,Products!$A:$E,5,FALSE()),"")</f>
        <v>0.52317073170731709</v>
      </c>
    </row>
    <row r="253" spans="1:18" x14ac:dyDescent="0.3">
      <c r="A253" s="22" t="s">
        <v>843</v>
      </c>
      <c r="B253" s="23">
        <v>45495</v>
      </c>
      <c r="C253" s="22" t="s">
        <v>844</v>
      </c>
      <c r="D253" s="22" t="s">
        <v>145</v>
      </c>
      <c r="E253" s="22" t="s">
        <v>845</v>
      </c>
      <c r="F253" s="24">
        <v>2</v>
      </c>
      <c r="G253" s="24">
        <v>970</v>
      </c>
      <c r="H253" s="24">
        <v>23.8</v>
      </c>
      <c r="I253" s="24">
        <v>1478.28</v>
      </c>
      <c r="J253" s="22" t="s">
        <v>104</v>
      </c>
      <c r="K253" s="22" t="s">
        <v>129</v>
      </c>
      <c r="L253" t="str">
        <f>VLOOKUP(D253,Products!A:F,3,FALSE())</f>
        <v>Grocery</v>
      </c>
      <c r="M253" t="str">
        <f>VLOOKUP(C253,Customers!A:F,5,FALSE())</f>
        <v>Retail</v>
      </c>
      <c r="O253" t="str">
        <f>IFERROR(VLOOKUP(E253,Sales_Reps!$A:$C,3,FALSE()),"")</f>
        <v/>
      </c>
      <c r="P253">
        <f>IFERROR(VLOOKUP(C253,Customers!$A:$C,3,FALSE()),"")</f>
        <v>52</v>
      </c>
      <c r="Q253" t="str">
        <f t="shared" si="3"/>
        <v>Jul-24</v>
      </c>
      <c r="R253">
        <f>IFERROR((VLOOKUP(D253,Products!$A:$E,5,FALSE())-VLOOKUP(D253,Products!$A:$E,4,FALSE()))/VLOOKUP(D253,Products!$A:$E,5,FALSE()),"")</f>
        <v>0.5525773195876289</v>
      </c>
    </row>
    <row r="254" spans="1:18" x14ac:dyDescent="0.3">
      <c r="A254" s="22" t="s">
        <v>846</v>
      </c>
      <c r="B254" s="23">
        <v>45337</v>
      </c>
      <c r="C254" s="22" t="s">
        <v>847</v>
      </c>
      <c r="D254" s="22" t="s">
        <v>315</v>
      </c>
      <c r="E254" s="22" t="s">
        <v>848</v>
      </c>
      <c r="F254" s="24">
        <v>4</v>
      </c>
      <c r="G254" s="24">
        <v>4070</v>
      </c>
      <c r="H254" s="24">
        <v>19</v>
      </c>
      <c r="I254" s="24">
        <v>13186.8</v>
      </c>
      <c r="J254" s="22" t="s">
        <v>110</v>
      </c>
      <c r="K254" s="22" t="s">
        <v>105</v>
      </c>
      <c r="L254" t="str">
        <f>VLOOKUP(D254,Products!A:F,3,FALSE())</f>
        <v>Grocery</v>
      </c>
      <c r="M254" t="str">
        <f>VLOOKUP(C254,Customers!A:F,5,FALSE())</f>
        <v>Corporate</v>
      </c>
      <c r="O254" t="str">
        <f>IFERROR(VLOOKUP(E254,Sales_Reps!$A:$C,3,FALSE()),"")</f>
        <v/>
      </c>
      <c r="P254">
        <f>IFERROR(VLOOKUP(C254,Customers!$A:$C,3,FALSE()),"")</f>
        <v>40</v>
      </c>
      <c r="Q254" t="str">
        <f t="shared" si="3"/>
        <v>Feb-24</v>
      </c>
      <c r="R254">
        <f>IFERROR((VLOOKUP(D254,Products!$A:$E,5,FALSE())-VLOOKUP(D254,Products!$A:$E,4,FALSE()))/VLOOKUP(D254,Products!$A:$E,5,FALSE()),"")</f>
        <v>0.50196560196560192</v>
      </c>
    </row>
    <row r="255" spans="1:18" x14ac:dyDescent="0.3">
      <c r="A255" s="22" t="s">
        <v>849</v>
      </c>
      <c r="B255" s="23">
        <v>45333</v>
      </c>
      <c r="C255" s="22" t="s">
        <v>850</v>
      </c>
      <c r="D255" s="22" t="s">
        <v>178</v>
      </c>
      <c r="E255" s="22" t="s">
        <v>851</v>
      </c>
      <c r="F255" s="24">
        <v>3</v>
      </c>
      <c r="G255" s="24">
        <v>3450</v>
      </c>
      <c r="H255" s="24">
        <v>4.4000000000000004</v>
      </c>
      <c r="I255" s="24">
        <v>9894.6</v>
      </c>
      <c r="J255" s="22" t="s">
        <v>159</v>
      </c>
      <c r="K255" s="22" t="s">
        <v>134</v>
      </c>
      <c r="L255" t="str">
        <f>VLOOKUP(D255,Products!A:F,3,FALSE())</f>
        <v>Beauty</v>
      </c>
      <c r="M255" t="str">
        <f>VLOOKUP(C255,Customers!A:F,5,FALSE())</f>
        <v>SMB</v>
      </c>
      <c r="O255" t="str">
        <f>IFERROR(VLOOKUP(E255,Sales_Reps!$A:$C,3,FALSE()),"")</f>
        <v/>
      </c>
      <c r="P255">
        <f>IFERROR(VLOOKUP(C255,Customers!$A:$C,3,FALSE()),"")</f>
        <v>42</v>
      </c>
      <c r="Q255" t="str">
        <f t="shared" si="3"/>
        <v>Feb-24</v>
      </c>
      <c r="R255">
        <f>IFERROR((VLOOKUP(D255,Products!$A:$E,5,FALSE())-VLOOKUP(D255,Products!$A:$E,4,FALSE()))/VLOOKUP(D255,Products!$A:$E,5,FALSE()),"")</f>
        <v>0.29855072463768118</v>
      </c>
    </row>
    <row r="256" spans="1:18" x14ac:dyDescent="0.3">
      <c r="A256" s="22" t="s">
        <v>852</v>
      </c>
      <c r="B256" s="23">
        <v>45511</v>
      </c>
      <c r="C256" s="22" t="s">
        <v>416</v>
      </c>
      <c r="D256" s="22" t="s">
        <v>275</v>
      </c>
      <c r="E256" s="22" t="s">
        <v>853</v>
      </c>
      <c r="F256" s="24">
        <v>5</v>
      </c>
      <c r="G256" s="24">
        <v>3780</v>
      </c>
      <c r="H256" s="24">
        <v>13.5</v>
      </c>
      <c r="I256" s="24">
        <v>16348.5</v>
      </c>
      <c r="J256" s="22" t="s">
        <v>104</v>
      </c>
      <c r="K256" s="22" t="s">
        <v>129</v>
      </c>
      <c r="L256" t="str">
        <f>VLOOKUP(D256,Products!A:F,3,FALSE())</f>
        <v>Grocery</v>
      </c>
      <c r="M256" t="str">
        <f>VLOOKUP(C256,Customers!A:F,5,FALSE())</f>
        <v>Retail</v>
      </c>
      <c r="O256" t="str">
        <f>IFERROR(VLOOKUP(E256,Sales_Reps!$A:$C,3,FALSE()),"")</f>
        <v/>
      </c>
      <c r="P256">
        <f>IFERROR(VLOOKUP(C256,Customers!$A:$C,3,FALSE()),"")</f>
        <v>49</v>
      </c>
      <c r="Q256" t="str">
        <f t="shared" si="3"/>
        <v>Aug-24</v>
      </c>
      <c r="R256">
        <f>IFERROR((VLOOKUP(D256,Products!$A:$E,5,FALSE())-VLOOKUP(D256,Products!$A:$E,4,FALSE()))/VLOOKUP(D256,Products!$A:$E,5,FALSE()),"")</f>
        <v>0.35555555555555557</v>
      </c>
    </row>
    <row r="257" spans="1:18" x14ac:dyDescent="0.3">
      <c r="A257" s="22" t="s">
        <v>854</v>
      </c>
      <c r="B257" s="23">
        <v>45595</v>
      </c>
      <c r="C257" s="22" t="s">
        <v>855</v>
      </c>
      <c r="D257" s="22" t="s">
        <v>132</v>
      </c>
      <c r="E257" s="22" t="s">
        <v>856</v>
      </c>
      <c r="F257" s="24">
        <v>1</v>
      </c>
      <c r="G257" s="24">
        <v>960</v>
      </c>
      <c r="H257" s="24">
        <v>29.2</v>
      </c>
      <c r="I257" s="24">
        <v>679.68</v>
      </c>
      <c r="J257" s="22" t="s">
        <v>104</v>
      </c>
      <c r="K257" s="22" t="s">
        <v>129</v>
      </c>
      <c r="L257" t="str">
        <f>VLOOKUP(D257,Products!A:F,3,FALSE())</f>
        <v>Sports</v>
      </c>
      <c r="M257" t="str">
        <f>VLOOKUP(C257,Customers!A:F,5,FALSE())</f>
        <v>Retail</v>
      </c>
      <c r="O257" t="str">
        <f>IFERROR(VLOOKUP(E257,Sales_Reps!$A:$C,3,FALSE()),"")</f>
        <v/>
      </c>
      <c r="P257">
        <f>IFERROR(VLOOKUP(C257,Customers!$A:$C,3,FALSE()),"")</f>
        <v>44</v>
      </c>
      <c r="Q257" t="str">
        <f t="shared" si="3"/>
        <v>Oct-24</v>
      </c>
      <c r="R257">
        <f>IFERROR((VLOOKUP(D257,Products!$A:$E,5,FALSE())-VLOOKUP(D257,Products!$A:$E,4,FALSE()))/VLOOKUP(D257,Products!$A:$E,5,FALSE()),"")</f>
        <v>0.265625</v>
      </c>
    </row>
    <row r="258" spans="1:18" x14ac:dyDescent="0.3">
      <c r="A258" s="22" t="s">
        <v>857</v>
      </c>
      <c r="B258" s="23">
        <v>45321</v>
      </c>
      <c r="C258" s="22" t="s">
        <v>858</v>
      </c>
      <c r="D258" s="22" t="s">
        <v>216</v>
      </c>
      <c r="E258" s="22" t="s">
        <v>859</v>
      </c>
      <c r="F258" s="24">
        <v>10</v>
      </c>
      <c r="G258" s="24">
        <v>3570</v>
      </c>
      <c r="H258" s="24">
        <v>10.7</v>
      </c>
      <c r="I258" s="24">
        <v>31880.1</v>
      </c>
      <c r="J258" s="22" t="s">
        <v>104</v>
      </c>
      <c r="K258" s="22" t="s">
        <v>129</v>
      </c>
      <c r="L258" t="str">
        <f>VLOOKUP(D258,Products!A:F,3,FALSE())</f>
        <v>Electronics</v>
      </c>
      <c r="M258" t="str">
        <f>VLOOKUP(C258,Customers!A:F,5,FALSE())</f>
        <v>Retail</v>
      </c>
      <c r="O258" t="str">
        <f>IFERROR(VLOOKUP(E258,Sales_Reps!$A:$C,3,FALSE()),"")</f>
        <v/>
      </c>
      <c r="P258">
        <f>IFERROR(VLOOKUP(C258,Customers!$A:$C,3,FALSE()),"")</f>
        <v>53</v>
      </c>
      <c r="Q258" t="str">
        <f t="shared" ref="Q258:Q321" si="4">TEXT(B258,"mmm-yy")</f>
        <v>Jan-24</v>
      </c>
      <c r="R258">
        <f>IFERROR((VLOOKUP(D258,Products!$A:$E,5,FALSE())-VLOOKUP(D258,Products!$A:$E,4,FALSE()))/VLOOKUP(D258,Products!$A:$E,5,FALSE()),"")</f>
        <v>0.53361344537815125</v>
      </c>
    </row>
    <row r="259" spans="1:18" x14ac:dyDescent="0.3">
      <c r="A259" s="22" t="s">
        <v>860</v>
      </c>
      <c r="B259" s="23">
        <v>45511</v>
      </c>
      <c r="C259" s="22" t="s">
        <v>861</v>
      </c>
      <c r="D259" s="22" t="s">
        <v>216</v>
      </c>
      <c r="E259" s="22" t="s">
        <v>862</v>
      </c>
      <c r="F259" s="24">
        <v>7</v>
      </c>
      <c r="G259" s="24">
        <v>3570</v>
      </c>
      <c r="H259" s="24">
        <v>12.2</v>
      </c>
      <c r="I259" s="24">
        <v>21941.22</v>
      </c>
      <c r="J259" s="22" t="s">
        <v>104</v>
      </c>
      <c r="K259" s="22" t="s">
        <v>129</v>
      </c>
      <c r="L259" t="str">
        <f>VLOOKUP(D259,Products!A:F,3,FALSE())</f>
        <v>Electronics</v>
      </c>
      <c r="M259" t="str">
        <f>VLOOKUP(C259,Customers!A:F,5,FALSE())</f>
        <v>SMB</v>
      </c>
      <c r="O259" t="str">
        <f>IFERROR(VLOOKUP(E259,Sales_Reps!$A:$C,3,FALSE()),"")</f>
        <v/>
      </c>
      <c r="P259">
        <f>IFERROR(VLOOKUP(C259,Customers!$A:$C,3,FALSE()),"")</f>
        <v>65</v>
      </c>
      <c r="Q259" t="str">
        <f t="shared" si="4"/>
        <v>Aug-24</v>
      </c>
      <c r="R259">
        <f>IFERROR((VLOOKUP(D259,Products!$A:$E,5,FALSE())-VLOOKUP(D259,Products!$A:$E,4,FALSE()))/VLOOKUP(D259,Products!$A:$E,5,FALSE()),"")</f>
        <v>0.53361344537815125</v>
      </c>
    </row>
    <row r="260" spans="1:18" x14ac:dyDescent="0.3">
      <c r="A260" s="22" t="s">
        <v>863</v>
      </c>
      <c r="B260" s="23">
        <v>45575</v>
      </c>
      <c r="C260" s="22" t="s">
        <v>687</v>
      </c>
      <c r="D260" s="22" t="s">
        <v>186</v>
      </c>
      <c r="E260" s="22" t="s">
        <v>864</v>
      </c>
      <c r="F260" s="24">
        <v>6</v>
      </c>
      <c r="G260" s="24">
        <v>1080</v>
      </c>
      <c r="H260" s="24">
        <v>19.8</v>
      </c>
      <c r="I260" s="24">
        <v>5196.96</v>
      </c>
      <c r="J260" s="22" t="s">
        <v>104</v>
      </c>
      <c r="K260" s="22" t="s">
        <v>134</v>
      </c>
      <c r="L260" t="str">
        <f>VLOOKUP(D260,Products!A:F,3,FALSE())</f>
        <v>Home</v>
      </c>
      <c r="M260" t="str">
        <f>VLOOKUP(C260,Customers!A:F,5,FALSE())</f>
        <v>SMB</v>
      </c>
      <c r="O260" t="str">
        <f>IFERROR(VLOOKUP(E260,Sales_Reps!$A:$C,3,FALSE()),"")</f>
        <v/>
      </c>
      <c r="P260">
        <f>IFERROR(VLOOKUP(C260,Customers!$A:$C,3,FALSE()),"")</f>
        <v>26</v>
      </c>
      <c r="Q260" t="str">
        <f t="shared" si="4"/>
        <v>Oct-24</v>
      </c>
      <c r="R260">
        <f>IFERROR((VLOOKUP(D260,Products!$A:$E,5,FALSE())-VLOOKUP(D260,Products!$A:$E,4,FALSE()))/VLOOKUP(D260,Products!$A:$E,5,FALSE()),"")</f>
        <v>0.51944444444444449</v>
      </c>
    </row>
    <row r="261" spans="1:18" x14ac:dyDescent="0.3">
      <c r="A261" s="22" t="s">
        <v>865</v>
      </c>
      <c r="B261" s="23">
        <v>45649</v>
      </c>
      <c r="C261" s="22" t="s">
        <v>200</v>
      </c>
      <c r="D261" s="22" t="s">
        <v>591</v>
      </c>
      <c r="E261" s="22" t="s">
        <v>866</v>
      </c>
      <c r="F261" s="24">
        <v>8</v>
      </c>
      <c r="G261" s="24">
        <v>3450</v>
      </c>
      <c r="H261" s="24">
        <v>19</v>
      </c>
      <c r="I261" s="24">
        <v>22356</v>
      </c>
      <c r="J261" s="22" t="s">
        <v>104</v>
      </c>
      <c r="K261" s="22" t="s">
        <v>151</v>
      </c>
      <c r="L261" t="str">
        <f>VLOOKUP(D261,Products!A:F,3,FALSE())</f>
        <v>Apparel</v>
      </c>
      <c r="M261" t="str">
        <f>VLOOKUP(C261,Customers!A:F,5,FALSE())</f>
        <v>SMB</v>
      </c>
      <c r="O261" t="str">
        <f>IFERROR(VLOOKUP(E261,Sales_Reps!$A:$C,3,FALSE()),"")</f>
        <v/>
      </c>
      <c r="P261">
        <f>IFERROR(VLOOKUP(C261,Customers!$A:$C,3,FALSE()),"")</f>
        <v>40</v>
      </c>
      <c r="Q261" t="str">
        <f t="shared" si="4"/>
        <v>Dec-24</v>
      </c>
      <c r="R261">
        <f>IFERROR((VLOOKUP(D261,Products!$A:$E,5,FALSE())-VLOOKUP(D261,Products!$A:$E,4,FALSE()))/VLOOKUP(D261,Products!$A:$E,5,FALSE()),"")</f>
        <v>0.49333333333333335</v>
      </c>
    </row>
    <row r="262" spans="1:18" x14ac:dyDescent="0.3">
      <c r="A262" s="22" t="s">
        <v>867</v>
      </c>
      <c r="B262" s="23">
        <v>45371</v>
      </c>
      <c r="C262" s="22" t="s">
        <v>868</v>
      </c>
      <c r="D262" s="22" t="s">
        <v>334</v>
      </c>
      <c r="E262" s="22" t="s">
        <v>869</v>
      </c>
      <c r="F262" s="24">
        <v>4</v>
      </c>
      <c r="G262" s="24">
        <v>2660</v>
      </c>
      <c r="H262" s="24">
        <v>18.8</v>
      </c>
      <c r="I262" s="24">
        <v>8639.68</v>
      </c>
      <c r="J262" s="22" t="s">
        <v>110</v>
      </c>
      <c r="K262" s="22" t="s">
        <v>111</v>
      </c>
      <c r="L262" t="str">
        <f>VLOOKUP(D262,Products!A:F,3,FALSE())</f>
        <v>Electronics</v>
      </c>
      <c r="M262" t="str">
        <f>VLOOKUP(C262,Customers!A:F,5,FALSE())</f>
        <v>Corporate</v>
      </c>
      <c r="O262" t="str">
        <f>IFERROR(VLOOKUP(E262,Sales_Reps!$A:$C,3,FALSE()),"")</f>
        <v/>
      </c>
      <c r="P262">
        <f>IFERROR(VLOOKUP(C262,Customers!$A:$C,3,FALSE()),"")</f>
        <v>22</v>
      </c>
      <c r="Q262" t="str">
        <f t="shared" si="4"/>
        <v>Mar-24</v>
      </c>
      <c r="R262">
        <f>IFERROR((VLOOKUP(D262,Products!$A:$E,5,FALSE())-VLOOKUP(D262,Products!$A:$E,4,FALSE()))/VLOOKUP(D262,Products!$A:$E,5,FALSE()),"")</f>
        <v>0.52669172932330832</v>
      </c>
    </row>
    <row r="263" spans="1:18" x14ac:dyDescent="0.3">
      <c r="A263" s="22" t="s">
        <v>870</v>
      </c>
      <c r="B263" s="23">
        <v>45522</v>
      </c>
      <c r="C263" s="22" t="s">
        <v>369</v>
      </c>
      <c r="D263" s="22" t="s">
        <v>171</v>
      </c>
      <c r="E263" s="22" t="s">
        <v>871</v>
      </c>
      <c r="F263" s="24">
        <v>4</v>
      </c>
      <c r="G263" s="24">
        <v>2400</v>
      </c>
      <c r="H263" s="24">
        <v>5.6</v>
      </c>
      <c r="I263" s="24">
        <v>9062.4</v>
      </c>
      <c r="J263" s="22" t="s">
        <v>104</v>
      </c>
      <c r="K263" s="22" t="s">
        <v>151</v>
      </c>
      <c r="L263" t="str">
        <f>VLOOKUP(D263,Products!A:F,3,FALSE())</f>
        <v>Sports</v>
      </c>
      <c r="M263" t="str">
        <f>VLOOKUP(C263,Customers!A:F,5,FALSE())</f>
        <v>Corporate</v>
      </c>
      <c r="O263" t="str">
        <f>IFERROR(VLOOKUP(E263,Sales_Reps!$A:$C,3,FALSE()),"")</f>
        <v/>
      </c>
      <c r="P263">
        <f>IFERROR(VLOOKUP(C263,Customers!$A:$C,3,FALSE()),"")</f>
        <v>46</v>
      </c>
      <c r="Q263" t="str">
        <f t="shared" si="4"/>
        <v>Aug-24</v>
      </c>
      <c r="R263">
        <f>IFERROR((VLOOKUP(D263,Products!$A:$E,5,FALSE())-VLOOKUP(D263,Products!$A:$E,4,FALSE()))/VLOOKUP(D263,Products!$A:$E,5,FALSE()),"")</f>
        <v>0.59416666666666662</v>
      </c>
    </row>
    <row r="264" spans="1:18" x14ac:dyDescent="0.3">
      <c r="A264" s="22" t="s">
        <v>872</v>
      </c>
      <c r="B264" s="23">
        <v>45513</v>
      </c>
      <c r="C264" s="22" t="s">
        <v>873</v>
      </c>
      <c r="D264" s="22" t="s">
        <v>157</v>
      </c>
      <c r="E264" s="22" t="s">
        <v>874</v>
      </c>
      <c r="F264" s="24">
        <v>10</v>
      </c>
      <c r="G264" s="24">
        <v>2600</v>
      </c>
      <c r="H264" s="24">
        <v>24.7</v>
      </c>
      <c r="I264" s="24">
        <v>19578</v>
      </c>
      <c r="J264" s="22" t="s">
        <v>104</v>
      </c>
      <c r="K264" s="22" t="s">
        <v>105</v>
      </c>
      <c r="L264" t="str">
        <f>VLOOKUP(D264,Products!A:F,3,FALSE())</f>
        <v>Electronics</v>
      </c>
      <c r="M264" t="str">
        <f>VLOOKUP(C264,Customers!A:F,5,FALSE())</f>
        <v>Corporate</v>
      </c>
      <c r="O264" t="str">
        <f>IFERROR(VLOOKUP(E264,Sales_Reps!$A:$C,3,FALSE()),"")</f>
        <v/>
      </c>
      <c r="P264">
        <f>IFERROR(VLOOKUP(C264,Customers!$A:$C,3,FALSE()),"")</f>
        <v>31</v>
      </c>
      <c r="Q264" t="str">
        <f t="shared" si="4"/>
        <v>Aug-24</v>
      </c>
      <c r="R264">
        <f>IFERROR((VLOOKUP(D264,Products!$A:$E,5,FALSE())-VLOOKUP(D264,Products!$A:$E,4,FALSE()))/VLOOKUP(D264,Products!$A:$E,5,FALSE()),"")</f>
        <v>0.5953846153846154</v>
      </c>
    </row>
    <row r="265" spans="1:18" x14ac:dyDescent="0.3">
      <c r="A265" s="22" t="s">
        <v>875</v>
      </c>
      <c r="B265" s="23">
        <v>45513</v>
      </c>
      <c r="C265" s="22" t="s">
        <v>876</v>
      </c>
      <c r="D265" s="22" t="s">
        <v>436</v>
      </c>
      <c r="E265" s="22" t="s">
        <v>877</v>
      </c>
      <c r="F265" s="24">
        <v>3</v>
      </c>
      <c r="G265" s="24">
        <v>4060</v>
      </c>
      <c r="H265" s="24">
        <v>6.9</v>
      </c>
      <c r="I265" s="24">
        <v>11339.58</v>
      </c>
      <c r="J265" s="22" t="s">
        <v>104</v>
      </c>
      <c r="K265" s="22" t="s">
        <v>116</v>
      </c>
      <c r="L265" t="str">
        <f>VLOOKUP(D265,Products!A:F,3,FALSE())</f>
        <v>Grocery</v>
      </c>
      <c r="M265" t="str">
        <f>VLOOKUP(C265,Customers!A:F,5,FALSE())</f>
        <v>Retail</v>
      </c>
      <c r="O265" t="str">
        <f>IFERROR(VLOOKUP(E265,Sales_Reps!$A:$C,3,FALSE()),"")</f>
        <v/>
      </c>
      <c r="P265">
        <f>IFERROR(VLOOKUP(C265,Customers!$A:$C,3,FALSE()),"")</f>
        <v>40</v>
      </c>
      <c r="Q265" t="str">
        <f t="shared" si="4"/>
        <v>Aug-24</v>
      </c>
      <c r="R265">
        <f>IFERROR((VLOOKUP(D265,Products!$A:$E,5,FALSE())-VLOOKUP(D265,Products!$A:$E,4,FALSE()))/VLOOKUP(D265,Products!$A:$E,5,FALSE()),"")</f>
        <v>0.28300492610837441</v>
      </c>
    </row>
    <row r="266" spans="1:18" x14ac:dyDescent="0.3">
      <c r="A266" s="22" t="s">
        <v>878</v>
      </c>
      <c r="B266" s="23">
        <v>45465</v>
      </c>
      <c r="C266" s="22" t="s">
        <v>879</v>
      </c>
      <c r="D266" s="22" t="s">
        <v>141</v>
      </c>
      <c r="E266" s="22" t="s">
        <v>880</v>
      </c>
      <c r="F266" s="24">
        <v>6</v>
      </c>
      <c r="G266" s="24">
        <v>5490</v>
      </c>
      <c r="H266" s="24">
        <v>8.4</v>
      </c>
      <c r="I266" s="24">
        <v>30173.040000000001</v>
      </c>
      <c r="J266" s="22" t="s">
        <v>104</v>
      </c>
      <c r="K266" s="22" t="s">
        <v>151</v>
      </c>
      <c r="L266" t="str">
        <f>VLOOKUP(D266,Products!A:F,3,FALSE())</f>
        <v>Home</v>
      </c>
      <c r="M266" t="str">
        <f>VLOOKUP(C266,Customers!A:F,5,FALSE())</f>
        <v>Corporate</v>
      </c>
      <c r="O266" t="str">
        <f>IFERROR(VLOOKUP(E266,Sales_Reps!$A:$C,3,FALSE()),"")</f>
        <v/>
      </c>
      <c r="P266">
        <f>IFERROR(VLOOKUP(C266,Customers!$A:$C,3,FALSE()),"")</f>
        <v>22</v>
      </c>
      <c r="Q266" t="str">
        <f t="shared" si="4"/>
        <v>Jun-24</v>
      </c>
      <c r="R266">
        <f>IFERROR((VLOOKUP(D266,Products!$A:$E,5,FALSE())-VLOOKUP(D266,Products!$A:$E,4,FALSE()))/VLOOKUP(D266,Products!$A:$E,5,FALSE()),"")</f>
        <v>0.53570127504553733</v>
      </c>
    </row>
    <row r="267" spans="1:18" x14ac:dyDescent="0.3">
      <c r="A267" s="22" t="s">
        <v>881</v>
      </c>
      <c r="B267" s="23">
        <v>45407</v>
      </c>
      <c r="C267" s="22" t="s">
        <v>645</v>
      </c>
      <c r="D267" s="22" t="s">
        <v>127</v>
      </c>
      <c r="E267" s="22" t="s">
        <v>882</v>
      </c>
      <c r="F267" s="24">
        <v>6</v>
      </c>
      <c r="G267" s="24">
        <v>370</v>
      </c>
      <c r="H267" s="24">
        <v>15.1</v>
      </c>
      <c r="I267" s="24">
        <v>1884.78</v>
      </c>
      <c r="J267" s="22" t="s">
        <v>104</v>
      </c>
      <c r="K267" s="22" t="s">
        <v>105</v>
      </c>
      <c r="L267" t="str">
        <f>VLOOKUP(D267,Products!A:F,3,FALSE())</f>
        <v>Home</v>
      </c>
      <c r="M267" t="str">
        <f>VLOOKUP(C267,Customers!A:F,5,FALSE())</f>
        <v>Retail</v>
      </c>
      <c r="O267" t="str">
        <f>IFERROR(VLOOKUP(E267,Sales_Reps!$A:$C,3,FALSE()),"")</f>
        <v/>
      </c>
      <c r="P267">
        <f>IFERROR(VLOOKUP(C267,Customers!$A:$C,3,FALSE()),"")</f>
        <v>49</v>
      </c>
      <c r="Q267" t="str">
        <f t="shared" si="4"/>
        <v>Apr-24</v>
      </c>
      <c r="R267">
        <f>IFERROR((VLOOKUP(D267,Products!$A:$E,5,FALSE())-VLOOKUP(D267,Products!$A:$E,4,FALSE()))/VLOOKUP(D267,Products!$A:$E,5,FALSE()),"")</f>
        <v>0.22162162162162163</v>
      </c>
    </row>
    <row r="268" spans="1:18" x14ac:dyDescent="0.3">
      <c r="A268" s="22" t="s">
        <v>883</v>
      </c>
      <c r="B268" s="23">
        <v>45405</v>
      </c>
      <c r="C268" s="22" t="s">
        <v>445</v>
      </c>
      <c r="D268" s="22" t="s">
        <v>352</v>
      </c>
      <c r="E268" s="22" t="s">
        <v>884</v>
      </c>
      <c r="F268" s="24">
        <v>5</v>
      </c>
      <c r="G268" s="24">
        <v>620</v>
      </c>
      <c r="H268" s="24">
        <v>13.1</v>
      </c>
      <c r="I268" s="24">
        <v>2693.9</v>
      </c>
      <c r="J268" s="22" t="s">
        <v>159</v>
      </c>
      <c r="K268" s="22" t="s">
        <v>116</v>
      </c>
      <c r="L268" t="str">
        <f>VLOOKUP(D268,Products!A:F,3,FALSE())</f>
        <v>Apparel</v>
      </c>
      <c r="M268" t="str">
        <f>VLOOKUP(C268,Customers!A:F,5,FALSE())</f>
        <v>SMB</v>
      </c>
      <c r="O268" t="str">
        <f>IFERROR(VLOOKUP(E268,Sales_Reps!$A:$C,3,FALSE()),"")</f>
        <v/>
      </c>
      <c r="P268">
        <f>IFERROR(VLOOKUP(C268,Customers!$A:$C,3,FALSE()),"")</f>
        <v>38</v>
      </c>
      <c r="Q268" t="str">
        <f t="shared" si="4"/>
        <v>Apr-24</v>
      </c>
      <c r="R268">
        <f>IFERROR((VLOOKUP(D268,Products!$A:$E,5,FALSE())-VLOOKUP(D268,Products!$A:$E,4,FALSE()))/VLOOKUP(D268,Products!$A:$E,5,FALSE()),"")</f>
        <v>0.36129032258064514</v>
      </c>
    </row>
    <row r="269" spans="1:18" x14ac:dyDescent="0.3">
      <c r="A269" s="22" t="s">
        <v>885</v>
      </c>
      <c r="B269" s="23">
        <v>45332</v>
      </c>
      <c r="C269" s="22" t="s">
        <v>425</v>
      </c>
      <c r="D269" s="22" t="s">
        <v>162</v>
      </c>
      <c r="E269" s="22" t="s">
        <v>886</v>
      </c>
      <c r="F269" s="24">
        <v>9</v>
      </c>
      <c r="G269" s="24">
        <v>3250</v>
      </c>
      <c r="H269" s="24">
        <v>16.5</v>
      </c>
      <c r="I269" s="24">
        <v>24423.75</v>
      </c>
      <c r="J269" s="22" t="s">
        <v>104</v>
      </c>
      <c r="K269" s="22" t="s">
        <v>111</v>
      </c>
      <c r="L269" t="str">
        <f>VLOOKUP(D269,Products!A:F,3,FALSE())</f>
        <v>Home</v>
      </c>
      <c r="M269" t="str">
        <f>VLOOKUP(C269,Customers!A:F,5,FALSE())</f>
        <v>Retail</v>
      </c>
      <c r="O269" t="str">
        <f>IFERROR(VLOOKUP(E269,Sales_Reps!$A:$C,3,FALSE()),"")</f>
        <v/>
      </c>
      <c r="P269">
        <f>IFERROR(VLOOKUP(C269,Customers!$A:$C,3,FALSE()),"")</f>
        <v>26</v>
      </c>
      <c r="Q269" t="str">
        <f t="shared" si="4"/>
        <v>Feb-24</v>
      </c>
      <c r="R269">
        <f>IFERROR((VLOOKUP(D269,Products!$A:$E,5,FALSE())-VLOOKUP(D269,Products!$A:$E,4,FALSE()))/VLOOKUP(D269,Products!$A:$E,5,FALSE()),"")</f>
        <v>0.52123076923076928</v>
      </c>
    </row>
    <row r="270" spans="1:18" x14ac:dyDescent="0.3">
      <c r="A270" s="22" t="s">
        <v>887</v>
      </c>
      <c r="B270" s="23">
        <v>45299</v>
      </c>
      <c r="C270" s="22" t="s">
        <v>268</v>
      </c>
      <c r="D270" s="22" t="s">
        <v>283</v>
      </c>
      <c r="E270" s="22" t="s">
        <v>888</v>
      </c>
      <c r="F270" s="24">
        <v>1</v>
      </c>
      <c r="G270" s="24">
        <v>6080</v>
      </c>
      <c r="H270" s="24">
        <v>0.1</v>
      </c>
      <c r="I270" s="24">
        <v>6073.92</v>
      </c>
      <c r="J270" s="22" t="s">
        <v>104</v>
      </c>
      <c r="K270" s="22" t="s">
        <v>129</v>
      </c>
      <c r="L270" t="str">
        <f>VLOOKUP(D270,Products!A:F,3,FALSE())</f>
        <v>Beauty</v>
      </c>
      <c r="M270" t="str">
        <f>VLOOKUP(C270,Customers!A:F,5,FALSE())</f>
        <v>SMB</v>
      </c>
      <c r="O270" t="str">
        <f>IFERROR(VLOOKUP(E270,Sales_Reps!$A:$C,3,FALSE()),"")</f>
        <v/>
      </c>
      <c r="P270">
        <f>IFERROR(VLOOKUP(C270,Customers!$A:$C,3,FALSE()),"")</f>
        <v>54</v>
      </c>
      <c r="Q270" t="str">
        <f t="shared" si="4"/>
        <v>Jan-24</v>
      </c>
      <c r="R270">
        <f>IFERROR((VLOOKUP(D270,Products!$A:$E,5,FALSE())-VLOOKUP(D270,Products!$A:$E,4,FALSE()))/VLOOKUP(D270,Products!$A:$E,5,FALSE()),"")</f>
        <v>0.56957236842105263</v>
      </c>
    </row>
    <row r="271" spans="1:18" x14ac:dyDescent="0.3">
      <c r="A271" s="22" t="s">
        <v>889</v>
      </c>
      <c r="B271" s="23">
        <v>45386</v>
      </c>
      <c r="C271" s="22" t="s">
        <v>817</v>
      </c>
      <c r="D271" s="22" t="s">
        <v>279</v>
      </c>
      <c r="E271" s="22" t="s">
        <v>890</v>
      </c>
      <c r="F271" s="24">
        <v>8</v>
      </c>
      <c r="G271" s="24">
        <v>3640</v>
      </c>
      <c r="H271" s="24">
        <v>13.5</v>
      </c>
      <c r="I271" s="24">
        <v>25188.799999999999</v>
      </c>
      <c r="J271" s="22" t="s">
        <v>104</v>
      </c>
      <c r="K271" s="22" t="s">
        <v>111</v>
      </c>
      <c r="L271" t="str">
        <f>VLOOKUP(D271,Products!A:F,3,FALSE())</f>
        <v>Apparel</v>
      </c>
      <c r="M271" t="str">
        <f>VLOOKUP(C271,Customers!A:F,5,FALSE())</f>
        <v>Corporate</v>
      </c>
      <c r="O271" t="str">
        <f>IFERROR(VLOOKUP(E271,Sales_Reps!$A:$C,3,FALSE()),"")</f>
        <v/>
      </c>
      <c r="P271">
        <f>IFERROR(VLOOKUP(C271,Customers!$A:$C,3,FALSE()),"")</f>
        <v>30</v>
      </c>
      <c r="Q271" t="str">
        <f t="shared" si="4"/>
        <v>Apr-24</v>
      </c>
      <c r="R271">
        <f>IFERROR((VLOOKUP(D271,Products!$A:$E,5,FALSE())-VLOOKUP(D271,Products!$A:$E,4,FALSE()))/VLOOKUP(D271,Products!$A:$E,5,FALSE()),"")</f>
        <v>0.28269230769230769</v>
      </c>
    </row>
    <row r="272" spans="1:18" x14ac:dyDescent="0.3">
      <c r="A272" s="22" t="s">
        <v>891</v>
      </c>
      <c r="B272" s="23">
        <v>45472</v>
      </c>
      <c r="C272" s="22" t="s">
        <v>892</v>
      </c>
      <c r="D272" s="22" t="s">
        <v>123</v>
      </c>
      <c r="E272" s="22" t="s">
        <v>893</v>
      </c>
      <c r="F272" s="24">
        <v>9</v>
      </c>
      <c r="G272" s="24">
        <v>3160</v>
      </c>
      <c r="H272" s="24">
        <v>29.7</v>
      </c>
      <c r="I272" s="24">
        <v>19993.32</v>
      </c>
      <c r="J272" s="22" t="s">
        <v>104</v>
      </c>
      <c r="K272" s="22" t="s">
        <v>116</v>
      </c>
      <c r="L272" t="str">
        <f>VLOOKUP(D272,Products!A:F,3,FALSE())</f>
        <v>Apparel</v>
      </c>
      <c r="M272" t="str">
        <f>VLOOKUP(C272,Customers!A:F,5,FALSE())</f>
        <v>Retail</v>
      </c>
      <c r="O272" t="str">
        <f>IFERROR(VLOOKUP(E272,Sales_Reps!$A:$C,3,FALSE()),"")</f>
        <v/>
      </c>
      <c r="P272">
        <f>IFERROR(VLOOKUP(C272,Customers!$A:$C,3,FALSE()),"")</f>
        <v>49</v>
      </c>
      <c r="Q272" t="str">
        <f t="shared" si="4"/>
        <v>Jun-24</v>
      </c>
      <c r="R272">
        <f>IFERROR((VLOOKUP(D272,Products!$A:$E,5,FALSE())-VLOOKUP(D272,Products!$A:$E,4,FALSE()))/VLOOKUP(D272,Products!$A:$E,5,FALSE()),"")</f>
        <v>0.4031645569620253</v>
      </c>
    </row>
    <row r="273" spans="1:18" x14ac:dyDescent="0.3">
      <c r="A273" s="22" t="s">
        <v>894</v>
      </c>
      <c r="B273" s="23">
        <v>45428</v>
      </c>
      <c r="C273" s="22" t="s">
        <v>769</v>
      </c>
      <c r="D273" s="22" t="s">
        <v>293</v>
      </c>
      <c r="E273" s="22" t="s">
        <v>895</v>
      </c>
      <c r="F273" s="24">
        <v>2</v>
      </c>
      <c r="G273" s="24">
        <v>3870</v>
      </c>
      <c r="H273" s="24">
        <v>18.100000000000001</v>
      </c>
      <c r="I273" s="24">
        <v>6339.06</v>
      </c>
      <c r="J273" s="22" t="s">
        <v>159</v>
      </c>
      <c r="K273" s="22" t="s">
        <v>151</v>
      </c>
      <c r="L273" t="str">
        <f>VLOOKUP(D273,Products!A:F,3,FALSE())</f>
        <v>Electronics</v>
      </c>
      <c r="M273" t="str">
        <f>VLOOKUP(C273,Customers!A:F,5,FALSE())</f>
        <v>SMB</v>
      </c>
      <c r="O273" t="str">
        <f>IFERROR(VLOOKUP(E273,Sales_Reps!$A:$C,3,FALSE()),"")</f>
        <v/>
      </c>
      <c r="P273">
        <f>IFERROR(VLOOKUP(C273,Customers!$A:$C,3,FALSE()),"")</f>
        <v>43</v>
      </c>
      <c r="Q273" t="str">
        <f t="shared" si="4"/>
        <v>May-24</v>
      </c>
      <c r="R273">
        <f>IFERROR((VLOOKUP(D273,Products!$A:$E,5,FALSE())-VLOOKUP(D273,Products!$A:$E,4,FALSE()))/VLOOKUP(D273,Products!$A:$E,5,FALSE()),"")</f>
        <v>0.59715762273901807</v>
      </c>
    </row>
    <row r="274" spans="1:18" x14ac:dyDescent="0.3">
      <c r="A274" s="22" t="s">
        <v>896</v>
      </c>
      <c r="B274" s="23">
        <v>45430</v>
      </c>
      <c r="C274" s="22" t="s">
        <v>897</v>
      </c>
      <c r="D274" s="22" t="s">
        <v>234</v>
      </c>
      <c r="E274" s="22" t="s">
        <v>898</v>
      </c>
      <c r="F274" s="24">
        <v>3</v>
      </c>
      <c r="G274" s="24">
        <v>660</v>
      </c>
      <c r="H274" s="24">
        <v>9.1999999999999993</v>
      </c>
      <c r="I274" s="24">
        <v>1797.84</v>
      </c>
      <c r="J274" s="22" t="s">
        <v>104</v>
      </c>
      <c r="K274" s="22" t="s">
        <v>116</v>
      </c>
      <c r="L274" t="str">
        <f>VLOOKUP(D274,Products!A:F,3,FALSE())</f>
        <v>Home</v>
      </c>
      <c r="M274" t="str">
        <f>VLOOKUP(C274,Customers!A:F,5,FALSE())</f>
        <v>Retail</v>
      </c>
      <c r="O274" t="str">
        <f>IFERROR(VLOOKUP(E274,Sales_Reps!$A:$C,3,FALSE()),"")</f>
        <v/>
      </c>
      <c r="P274">
        <f>IFERROR(VLOOKUP(C274,Customers!$A:$C,3,FALSE()),"")</f>
        <v>43</v>
      </c>
      <c r="Q274" t="str">
        <f t="shared" si="4"/>
        <v>May-24</v>
      </c>
      <c r="R274">
        <f>IFERROR((VLOOKUP(D274,Products!$A:$E,5,FALSE())-VLOOKUP(D274,Products!$A:$E,4,FALSE()))/VLOOKUP(D274,Products!$A:$E,5,FALSE()),"")</f>
        <v>0.50151515151515147</v>
      </c>
    </row>
    <row r="275" spans="1:18" x14ac:dyDescent="0.3">
      <c r="A275" s="22" t="s">
        <v>899</v>
      </c>
      <c r="B275" s="23">
        <v>45418</v>
      </c>
      <c r="C275" s="22" t="s">
        <v>517</v>
      </c>
      <c r="D275" s="22" t="s">
        <v>436</v>
      </c>
      <c r="E275" s="22" t="s">
        <v>900</v>
      </c>
      <c r="F275" s="24">
        <v>4</v>
      </c>
      <c r="G275" s="24">
        <v>4060</v>
      </c>
      <c r="H275" s="24">
        <v>28</v>
      </c>
      <c r="I275" s="24">
        <v>11692.8</v>
      </c>
      <c r="J275" s="22" t="s">
        <v>104</v>
      </c>
      <c r="K275" s="22" t="s">
        <v>111</v>
      </c>
      <c r="L275" t="str">
        <f>VLOOKUP(D275,Products!A:F,3,FALSE())</f>
        <v>Grocery</v>
      </c>
      <c r="M275" t="str">
        <f>VLOOKUP(C275,Customers!A:F,5,FALSE())</f>
        <v>Corporate</v>
      </c>
      <c r="O275" t="str">
        <f>IFERROR(VLOOKUP(E275,Sales_Reps!$A:$C,3,FALSE()),"")</f>
        <v/>
      </c>
      <c r="P275">
        <f>IFERROR(VLOOKUP(C275,Customers!$A:$C,3,FALSE()),"")</f>
        <v>24</v>
      </c>
      <c r="Q275" t="str">
        <f t="shared" si="4"/>
        <v>May-24</v>
      </c>
      <c r="R275">
        <f>IFERROR((VLOOKUP(D275,Products!$A:$E,5,FALSE())-VLOOKUP(D275,Products!$A:$E,4,FALSE()))/VLOOKUP(D275,Products!$A:$E,5,FALSE()),"")</f>
        <v>0.28300492610837441</v>
      </c>
    </row>
    <row r="276" spans="1:18" x14ac:dyDescent="0.3">
      <c r="A276" s="22" t="s">
        <v>901</v>
      </c>
      <c r="B276" s="23">
        <v>45360</v>
      </c>
      <c r="C276" s="22" t="s">
        <v>445</v>
      </c>
      <c r="D276" s="22" t="s">
        <v>577</v>
      </c>
      <c r="E276" s="22" t="s">
        <v>902</v>
      </c>
      <c r="F276" s="24">
        <v>2</v>
      </c>
      <c r="G276" s="24">
        <v>5080</v>
      </c>
      <c r="H276" s="24">
        <v>7.7</v>
      </c>
      <c r="I276" s="24">
        <v>9377.68</v>
      </c>
      <c r="J276" s="22" t="s">
        <v>164</v>
      </c>
      <c r="K276" s="22" t="s">
        <v>116</v>
      </c>
      <c r="L276" t="str">
        <f>VLOOKUP(D276,Products!A:F,3,FALSE())</f>
        <v>Home</v>
      </c>
      <c r="M276" t="str">
        <f>VLOOKUP(C276,Customers!A:F,5,FALSE())</f>
        <v>SMB</v>
      </c>
      <c r="O276" t="str">
        <f>IFERROR(VLOOKUP(E276,Sales_Reps!$A:$C,3,FALSE()),"")</f>
        <v/>
      </c>
      <c r="P276">
        <f>IFERROR(VLOOKUP(C276,Customers!$A:$C,3,FALSE()),"")</f>
        <v>38</v>
      </c>
      <c r="Q276" t="str">
        <f t="shared" si="4"/>
        <v>Mar-24</v>
      </c>
      <c r="R276">
        <f>IFERROR((VLOOKUP(D276,Products!$A:$E,5,FALSE())-VLOOKUP(D276,Products!$A:$E,4,FALSE()))/VLOOKUP(D276,Products!$A:$E,5,FALSE()),"")</f>
        <v>0.51594488188976373</v>
      </c>
    </row>
    <row r="277" spans="1:18" x14ac:dyDescent="0.3">
      <c r="A277" s="22" t="s">
        <v>903</v>
      </c>
      <c r="B277" s="23">
        <v>45296</v>
      </c>
      <c r="C277" s="22" t="s">
        <v>380</v>
      </c>
      <c r="D277" s="22" t="s">
        <v>216</v>
      </c>
      <c r="E277" s="22" t="s">
        <v>904</v>
      </c>
      <c r="F277" s="24">
        <v>3</v>
      </c>
      <c r="G277" s="24">
        <v>3570</v>
      </c>
      <c r="H277" s="24">
        <v>9.5</v>
      </c>
      <c r="I277" s="24">
        <v>9692.5499999999993</v>
      </c>
      <c r="J277" s="22" t="s">
        <v>104</v>
      </c>
      <c r="K277" s="22" t="s">
        <v>151</v>
      </c>
      <c r="L277" t="str">
        <f>VLOOKUP(D277,Products!A:F,3,FALSE())</f>
        <v>Electronics</v>
      </c>
      <c r="M277" t="str">
        <f>VLOOKUP(C277,Customers!A:F,5,FALSE())</f>
        <v>Retail</v>
      </c>
      <c r="O277" t="str">
        <f>IFERROR(VLOOKUP(E277,Sales_Reps!$A:$C,3,FALSE()),"")</f>
        <v/>
      </c>
      <c r="P277">
        <f>IFERROR(VLOOKUP(C277,Customers!$A:$C,3,FALSE()),"")</f>
        <v>46</v>
      </c>
      <c r="Q277" t="str">
        <f t="shared" si="4"/>
        <v>Jan-24</v>
      </c>
      <c r="R277">
        <f>IFERROR((VLOOKUP(D277,Products!$A:$E,5,FALSE())-VLOOKUP(D277,Products!$A:$E,4,FALSE()))/VLOOKUP(D277,Products!$A:$E,5,FALSE()),"")</f>
        <v>0.53361344537815125</v>
      </c>
    </row>
    <row r="278" spans="1:18" x14ac:dyDescent="0.3">
      <c r="A278" s="22" t="s">
        <v>905</v>
      </c>
      <c r="B278" s="23">
        <v>45460</v>
      </c>
      <c r="C278" s="22" t="s">
        <v>906</v>
      </c>
      <c r="D278" s="22" t="s">
        <v>352</v>
      </c>
      <c r="E278" s="22" t="s">
        <v>907</v>
      </c>
      <c r="F278" s="24">
        <v>2</v>
      </c>
      <c r="G278" s="24">
        <v>620</v>
      </c>
      <c r="H278" s="24">
        <v>29.5</v>
      </c>
      <c r="I278" s="24">
        <v>874.2</v>
      </c>
      <c r="J278" s="22" t="s">
        <v>104</v>
      </c>
      <c r="K278" s="22" t="s">
        <v>129</v>
      </c>
      <c r="L278" t="str">
        <f>VLOOKUP(D278,Products!A:F,3,FALSE())</f>
        <v>Apparel</v>
      </c>
      <c r="M278" t="str">
        <f>VLOOKUP(C278,Customers!A:F,5,FALSE())</f>
        <v>SMB</v>
      </c>
      <c r="O278" t="str">
        <f>IFERROR(VLOOKUP(E278,Sales_Reps!$A:$C,3,FALSE()),"")</f>
        <v/>
      </c>
      <c r="P278">
        <f>IFERROR(VLOOKUP(C278,Customers!$A:$C,3,FALSE()),"")</f>
        <v>27</v>
      </c>
      <c r="Q278" t="str">
        <f t="shared" si="4"/>
        <v>Jun-24</v>
      </c>
      <c r="R278">
        <f>IFERROR((VLOOKUP(D278,Products!$A:$E,5,FALSE())-VLOOKUP(D278,Products!$A:$E,4,FALSE()))/VLOOKUP(D278,Products!$A:$E,5,FALSE()),"")</f>
        <v>0.36129032258064514</v>
      </c>
    </row>
    <row r="279" spans="1:18" x14ac:dyDescent="0.3">
      <c r="A279" s="22" t="s">
        <v>908</v>
      </c>
      <c r="B279" s="23">
        <v>45638</v>
      </c>
      <c r="C279" s="22" t="s">
        <v>514</v>
      </c>
      <c r="D279" s="22" t="s">
        <v>591</v>
      </c>
      <c r="E279" s="22" t="s">
        <v>909</v>
      </c>
      <c r="F279" s="24">
        <v>3</v>
      </c>
      <c r="G279" s="24">
        <v>3450</v>
      </c>
      <c r="H279" s="24">
        <v>3</v>
      </c>
      <c r="I279" s="24">
        <v>10039.5</v>
      </c>
      <c r="J279" s="22" t="s">
        <v>104</v>
      </c>
      <c r="K279" s="22" t="s">
        <v>134</v>
      </c>
      <c r="L279" t="str">
        <f>VLOOKUP(D279,Products!A:F,3,FALSE())</f>
        <v>Apparel</v>
      </c>
      <c r="M279" t="str">
        <f>VLOOKUP(C279,Customers!A:F,5,FALSE())</f>
        <v>Retail</v>
      </c>
      <c r="O279" t="str">
        <f>IFERROR(VLOOKUP(E279,Sales_Reps!$A:$C,3,FALSE()),"")</f>
        <v/>
      </c>
      <c r="P279">
        <f>IFERROR(VLOOKUP(C279,Customers!$A:$C,3,FALSE()),"")</f>
        <v>59</v>
      </c>
      <c r="Q279" t="str">
        <f t="shared" si="4"/>
        <v>Dec-24</v>
      </c>
      <c r="R279">
        <f>IFERROR((VLOOKUP(D279,Products!$A:$E,5,FALSE())-VLOOKUP(D279,Products!$A:$E,4,FALSE()))/VLOOKUP(D279,Products!$A:$E,5,FALSE()),"")</f>
        <v>0.49333333333333335</v>
      </c>
    </row>
    <row r="280" spans="1:18" x14ac:dyDescent="0.3">
      <c r="A280" s="22" t="s">
        <v>910</v>
      </c>
      <c r="B280" s="23">
        <v>45408</v>
      </c>
      <c r="C280" s="22" t="s">
        <v>706</v>
      </c>
      <c r="D280" s="22" t="s">
        <v>220</v>
      </c>
      <c r="E280" s="22" t="s">
        <v>911</v>
      </c>
      <c r="F280" s="24">
        <v>7</v>
      </c>
      <c r="G280" s="24">
        <v>5100</v>
      </c>
      <c r="H280" s="24">
        <v>4.3</v>
      </c>
      <c r="I280" s="24">
        <v>34164.9</v>
      </c>
      <c r="J280" s="22" t="s">
        <v>104</v>
      </c>
      <c r="K280" s="22" t="s">
        <v>116</v>
      </c>
      <c r="L280" t="str">
        <f>VLOOKUP(D280,Products!A:F,3,FALSE())</f>
        <v>Beauty</v>
      </c>
      <c r="M280" t="str">
        <f>VLOOKUP(C280,Customers!A:F,5,FALSE())</f>
        <v>SMB</v>
      </c>
      <c r="O280" t="str">
        <f>IFERROR(VLOOKUP(E280,Sales_Reps!$A:$C,3,FALSE()),"")</f>
        <v/>
      </c>
      <c r="P280">
        <f>IFERROR(VLOOKUP(C280,Customers!$A:$C,3,FALSE()),"")</f>
        <v>55</v>
      </c>
      <c r="Q280" t="str">
        <f t="shared" si="4"/>
        <v>Apr-24</v>
      </c>
      <c r="R280">
        <f>IFERROR((VLOOKUP(D280,Products!$A:$E,5,FALSE())-VLOOKUP(D280,Products!$A:$E,4,FALSE()))/VLOOKUP(D280,Products!$A:$E,5,FALSE()),"")</f>
        <v>0.56137254901960787</v>
      </c>
    </row>
    <row r="281" spans="1:18" x14ac:dyDescent="0.3">
      <c r="A281" s="22" t="s">
        <v>912</v>
      </c>
      <c r="B281" s="23">
        <v>45541</v>
      </c>
      <c r="C281" s="22" t="s">
        <v>554</v>
      </c>
      <c r="D281" s="22" t="s">
        <v>293</v>
      </c>
      <c r="E281" s="22" t="s">
        <v>913</v>
      </c>
      <c r="F281" s="24">
        <v>9</v>
      </c>
      <c r="G281" s="24">
        <v>3870</v>
      </c>
      <c r="H281" s="24">
        <v>4.8</v>
      </c>
      <c r="I281" s="24">
        <v>33158.160000000003</v>
      </c>
      <c r="J281" s="22" t="s">
        <v>104</v>
      </c>
      <c r="K281" s="22" t="s">
        <v>134</v>
      </c>
      <c r="L281" t="str">
        <f>VLOOKUP(D281,Products!A:F,3,FALSE())</f>
        <v>Electronics</v>
      </c>
      <c r="M281" t="str">
        <f>VLOOKUP(C281,Customers!A:F,5,FALSE())</f>
        <v>Retail</v>
      </c>
      <c r="O281" t="str">
        <f>IFERROR(VLOOKUP(E281,Sales_Reps!$A:$C,3,FALSE()),"")</f>
        <v/>
      </c>
      <c r="P281">
        <f>IFERROR(VLOOKUP(C281,Customers!$A:$C,3,FALSE()),"")</f>
        <v>55</v>
      </c>
      <c r="Q281" t="str">
        <f t="shared" si="4"/>
        <v>Sep-24</v>
      </c>
      <c r="R281">
        <f>IFERROR((VLOOKUP(D281,Products!$A:$E,5,FALSE())-VLOOKUP(D281,Products!$A:$E,4,FALSE()))/VLOOKUP(D281,Products!$A:$E,5,FALSE()),"")</f>
        <v>0.59715762273901807</v>
      </c>
    </row>
    <row r="282" spans="1:18" x14ac:dyDescent="0.3">
      <c r="A282" s="22" t="s">
        <v>914</v>
      </c>
      <c r="B282" s="23">
        <v>45633</v>
      </c>
      <c r="C282" s="22" t="s">
        <v>847</v>
      </c>
      <c r="D282" s="22" t="s">
        <v>319</v>
      </c>
      <c r="E282" s="22" t="s">
        <v>915</v>
      </c>
      <c r="F282" s="24">
        <v>5</v>
      </c>
      <c r="G282" s="24">
        <v>1220</v>
      </c>
      <c r="H282" s="24">
        <v>4</v>
      </c>
      <c r="I282" s="24">
        <v>5856</v>
      </c>
      <c r="J282" s="22" t="s">
        <v>159</v>
      </c>
      <c r="K282" s="22" t="s">
        <v>105</v>
      </c>
      <c r="L282" t="str">
        <f>VLOOKUP(D282,Products!A:F,3,FALSE())</f>
        <v>Electronics</v>
      </c>
      <c r="M282" t="str">
        <f>VLOOKUP(C282,Customers!A:F,5,FALSE())</f>
        <v>Corporate</v>
      </c>
      <c r="O282" t="str">
        <f>IFERROR(VLOOKUP(E282,Sales_Reps!$A:$C,3,FALSE()),"")</f>
        <v/>
      </c>
      <c r="P282">
        <f>IFERROR(VLOOKUP(C282,Customers!$A:$C,3,FALSE()),"")</f>
        <v>40</v>
      </c>
      <c r="Q282" t="str">
        <f t="shared" si="4"/>
        <v>Dec-24</v>
      </c>
      <c r="R282">
        <f>IFERROR((VLOOKUP(D282,Products!$A:$E,5,FALSE())-VLOOKUP(D282,Products!$A:$E,4,FALSE()))/VLOOKUP(D282,Products!$A:$E,5,FALSE()),"")</f>
        <v>0.57622950819672136</v>
      </c>
    </row>
    <row r="283" spans="1:18" x14ac:dyDescent="0.3">
      <c r="A283" s="22" t="s">
        <v>916</v>
      </c>
      <c r="B283" s="23">
        <v>45338</v>
      </c>
      <c r="C283" s="22" t="s">
        <v>189</v>
      </c>
      <c r="D283" s="22" t="s">
        <v>141</v>
      </c>
      <c r="E283" s="22" t="s">
        <v>917</v>
      </c>
      <c r="F283" s="24">
        <v>5</v>
      </c>
      <c r="G283" s="24">
        <v>5490</v>
      </c>
      <c r="H283" s="24">
        <v>19.8</v>
      </c>
      <c r="I283" s="24">
        <v>22014.9</v>
      </c>
      <c r="J283" s="22" t="s">
        <v>104</v>
      </c>
      <c r="K283" s="22" t="s">
        <v>151</v>
      </c>
      <c r="L283" t="str">
        <f>VLOOKUP(D283,Products!A:F,3,FALSE())</f>
        <v>Home</v>
      </c>
      <c r="M283" t="str">
        <f>VLOOKUP(C283,Customers!A:F,5,FALSE())</f>
        <v>Retail</v>
      </c>
      <c r="O283" t="str">
        <f>IFERROR(VLOOKUP(E283,Sales_Reps!$A:$C,3,FALSE()),"")</f>
        <v/>
      </c>
      <c r="P283">
        <f>IFERROR(VLOOKUP(C283,Customers!$A:$C,3,FALSE()),"")</f>
        <v>32</v>
      </c>
      <c r="Q283" t="str">
        <f t="shared" si="4"/>
        <v>Feb-24</v>
      </c>
      <c r="R283">
        <f>IFERROR((VLOOKUP(D283,Products!$A:$E,5,FALSE())-VLOOKUP(D283,Products!$A:$E,4,FALSE()))/VLOOKUP(D283,Products!$A:$E,5,FALSE()),"")</f>
        <v>0.53570127504553733</v>
      </c>
    </row>
    <row r="284" spans="1:18" x14ac:dyDescent="0.3">
      <c r="A284" s="22" t="s">
        <v>918</v>
      </c>
      <c r="B284" s="23">
        <v>45529</v>
      </c>
      <c r="C284" s="22" t="s">
        <v>487</v>
      </c>
      <c r="D284" s="22" t="s">
        <v>201</v>
      </c>
      <c r="E284" s="22" t="s">
        <v>919</v>
      </c>
      <c r="F284" s="24">
        <v>1</v>
      </c>
      <c r="G284" s="24">
        <v>1650</v>
      </c>
      <c r="H284" s="24">
        <v>26.2</v>
      </c>
      <c r="I284" s="24">
        <v>1217.7</v>
      </c>
      <c r="J284" s="22" t="s">
        <v>104</v>
      </c>
      <c r="K284" s="22" t="s">
        <v>134</v>
      </c>
      <c r="L284" t="str">
        <f>VLOOKUP(D284,Products!A:F,3,FALSE())</f>
        <v>Beauty</v>
      </c>
      <c r="M284" t="str">
        <f>VLOOKUP(C284,Customers!A:F,5,FALSE())</f>
        <v>Retail</v>
      </c>
      <c r="O284" t="str">
        <f>IFERROR(VLOOKUP(E284,Sales_Reps!$A:$C,3,FALSE()),"")</f>
        <v/>
      </c>
      <c r="P284">
        <f>IFERROR(VLOOKUP(C284,Customers!$A:$C,3,FALSE()),"")</f>
        <v>23</v>
      </c>
      <c r="Q284" t="str">
        <f t="shared" si="4"/>
        <v>Aug-24</v>
      </c>
      <c r="R284">
        <f>IFERROR((VLOOKUP(D284,Products!$A:$E,5,FALSE())-VLOOKUP(D284,Products!$A:$E,4,FALSE()))/VLOOKUP(D284,Products!$A:$E,5,FALSE()),"")</f>
        <v>0.2593939393939394</v>
      </c>
    </row>
    <row r="285" spans="1:18" x14ac:dyDescent="0.3">
      <c r="A285" s="22" t="s">
        <v>920</v>
      </c>
      <c r="B285" s="23">
        <v>45460</v>
      </c>
      <c r="C285" s="22" t="s">
        <v>921</v>
      </c>
      <c r="D285" s="22" t="s">
        <v>334</v>
      </c>
      <c r="E285" s="22" t="s">
        <v>922</v>
      </c>
      <c r="F285" s="24">
        <v>1</v>
      </c>
      <c r="G285" s="24">
        <v>2660</v>
      </c>
      <c r="H285" s="24">
        <v>21</v>
      </c>
      <c r="I285" s="24">
        <v>2101.4</v>
      </c>
      <c r="J285" s="22" t="s">
        <v>104</v>
      </c>
      <c r="K285" s="22" t="s">
        <v>151</v>
      </c>
      <c r="L285" t="str">
        <f>VLOOKUP(D285,Products!A:F,3,FALSE())</f>
        <v>Electronics</v>
      </c>
      <c r="M285" t="str">
        <f>VLOOKUP(C285,Customers!A:F,5,FALSE())</f>
        <v>Retail</v>
      </c>
      <c r="O285" t="str">
        <f>IFERROR(VLOOKUP(E285,Sales_Reps!$A:$C,3,FALSE()),"")</f>
        <v/>
      </c>
      <c r="P285">
        <f>IFERROR(VLOOKUP(C285,Customers!$A:$C,3,FALSE()),"")</f>
        <v>50</v>
      </c>
      <c r="Q285" t="str">
        <f t="shared" si="4"/>
        <v>Jun-24</v>
      </c>
      <c r="R285">
        <f>IFERROR((VLOOKUP(D285,Products!$A:$E,5,FALSE())-VLOOKUP(D285,Products!$A:$E,4,FALSE()))/VLOOKUP(D285,Products!$A:$E,5,FALSE()),"")</f>
        <v>0.52669172932330832</v>
      </c>
    </row>
    <row r="286" spans="1:18" x14ac:dyDescent="0.3">
      <c r="A286" s="22" t="s">
        <v>923</v>
      </c>
      <c r="B286" s="23">
        <v>45375</v>
      </c>
      <c r="C286" s="22" t="s">
        <v>408</v>
      </c>
      <c r="D286" s="22" t="s">
        <v>419</v>
      </c>
      <c r="E286" s="22" t="s">
        <v>924</v>
      </c>
      <c r="F286" s="24">
        <v>6</v>
      </c>
      <c r="G286" s="24">
        <v>2210</v>
      </c>
      <c r="H286" s="24">
        <v>9.8000000000000007</v>
      </c>
      <c r="I286" s="24">
        <v>11960.52</v>
      </c>
      <c r="J286" s="22" t="s">
        <v>110</v>
      </c>
      <c r="K286" s="22" t="s">
        <v>134</v>
      </c>
      <c r="L286" t="str">
        <f>VLOOKUP(D286,Products!A:F,3,FALSE())</f>
        <v>Grocery</v>
      </c>
      <c r="M286" t="str">
        <f>VLOOKUP(C286,Customers!A:F,5,FALSE())</f>
        <v>Corporate</v>
      </c>
      <c r="O286" t="str">
        <f>IFERROR(VLOOKUP(E286,Sales_Reps!$A:$C,3,FALSE()),"")</f>
        <v/>
      </c>
      <c r="P286">
        <f>IFERROR(VLOOKUP(C286,Customers!$A:$C,3,FALSE()),"")</f>
        <v>59</v>
      </c>
      <c r="Q286" t="str">
        <f t="shared" si="4"/>
        <v>Mar-24</v>
      </c>
      <c r="R286">
        <f>IFERROR((VLOOKUP(D286,Products!$A:$E,5,FALSE())-VLOOKUP(D286,Products!$A:$E,4,FALSE()))/VLOOKUP(D286,Products!$A:$E,5,FALSE()),"")</f>
        <v>0.54298642533936647</v>
      </c>
    </row>
    <row r="287" spans="1:18" x14ac:dyDescent="0.3">
      <c r="A287" s="22" t="s">
        <v>925</v>
      </c>
      <c r="B287" s="23">
        <v>45310</v>
      </c>
      <c r="C287" s="22" t="s">
        <v>706</v>
      </c>
      <c r="D287" s="22" t="s">
        <v>157</v>
      </c>
      <c r="E287" s="22" t="s">
        <v>926</v>
      </c>
      <c r="F287" s="24">
        <v>9</v>
      </c>
      <c r="G287" s="24">
        <v>2600</v>
      </c>
      <c r="H287" s="24">
        <v>15.7</v>
      </c>
      <c r="I287" s="24">
        <v>19726.2</v>
      </c>
      <c r="J287" s="22" t="s">
        <v>104</v>
      </c>
      <c r="K287" s="22" t="s">
        <v>116</v>
      </c>
      <c r="L287" t="str">
        <f>VLOOKUP(D287,Products!A:F,3,FALSE())</f>
        <v>Electronics</v>
      </c>
      <c r="M287" t="str">
        <f>VLOOKUP(C287,Customers!A:F,5,FALSE())</f>
        <v>SMB</v>
      </c>
      <c r="O287" t="str">
        <f>IFERROR(VLOOKUP(E287,Sales_Reps!$A:$C,3,FALSE()),"")</f>
        <v/>
      </c>
      <c r="P287">
        <f>IFERROR(VLOOKUP(C287,Customers!$A:$C,3,FALSE()),"")</f>
        <v>55</v>
      </c>
      <c r="Q287" t="str">
        <f t="shared" si="4"/>
        <v>Jan-24</v>
      </c>
      <c r="R287">
        <f>IFERROR((VLOOKUP(D287,Products!$A:$E,5,FALSE())-VLOOKUP(D287,Products!$A:$E,4,FALSE()))/VLOOKUP(D287,Products!$A:$E,5,FALSE()),"")</f>
        <v>0.5953846153846154</v>
      </c>
    </row>
    <row r="288" spans="1:18" x14ac:dyDescent="0.3">
      <c r="A288" s="22" t="s">
        <v>927</v>
      </c>
      <c r="B288" s="23">
        <v>45314</v>
      </c>
      <c r="C288" s="22" t="s">
        <v>928</v>
      </c>
      <c r="D288" s="22" t="s">
        <v>330</v>
      </c>
      <c r="E288" s="22" t="s">
        <v>929</v>
      </c>
      <c r="F288" s="24">
        <v>3</v>
      </c>
      <c r="G288" s="24">
        <v>3020</v>
      </c>
      <c r="H288" s="24">
        <v>22.6</v>
      </c>
      <c r="I288" s="24">
        <v>7012.44</v>
      </c>
      <c r="J288" s="22" t="s">
        <v>104</v>
      </c>
      <c r="K288" s="22" t="s">
        <v>151</v>
      </c>
      <c r="L288" t="str">
        <f>VLOOKUP(D288,Products!A:F,3,FALSE())</f>
        <v>Beauty</v>
      </c>
      <c r="M288" t="str">
        <f>VLOOKUP(C288,Customers!A:F,5,FALSE())</f>
        <v>Retail</v>
      </c>
      <c r="O288" t="str">
        <f>IFERROR(VLOOKUP(E288,Sales_Reps!$A:$C,3,FALSE()),"")</f>
        <v/>
      </c>
      <c r="P288">
        <f>IFERROR(VLOOKUP(C288,Customers!$A:$C,3,FALSE()),"")</f>
        <v>27</v>
      </c>
      <c r="Q288" t="str">
        <f t="shared" si="4"/>
        <v>Jan-24</v>
      </c>
      <c r="R288">
        <f>IFERROR((VLOOKUP(D288,Products!$A:$E,5,FALSE())-VLOOKUP(D288,Products!$A:$E,4,FALSE()))/VLOOKUP(D288,Products!$A:$E,5,FALSE()),"")</f>
        <v>0.46158940397350995</v>
      </c>
    </row>
    <row r="289" spans="1:18" x14ac:dyDescent="0.3">
      <c r="A289" s="22" t="s">
        <v>930</v>
      </c>
      <c r="B289" s="23">
        <v>45459</v>
      </c>
      <c r="C289" s="22" t="s">
        <v>383</v>
      </c>
      <c r="D289" s="22" t="s">
        <v>127</v>
      </c>
      <c r="E289" s="22" t="s">
        <v>931</v>
      </c>
      <c r="F289" s="24">
        <v>6</v>
      </c>
      <c r="G289" s="24">
        <v>370</v>
      </c>
      <c r="H289" s="24">
        <v>12.4</v>
      </c>
      <c r="I289" s="24">
        <v>1944.72</v>
      </c>
      <c r="J289" s="22" t="s">
        <v>104</v>
      </c>
      <c r="K289" s="22" t="s">
        <v>105</v>
      </c>
      <c r="L289" t="str">
        <f>VLOOKUP(D289,Products!A:F,3,FALSE())</f>
        <v>Home</v>
      </c>
      <c r="M289" t="str">
        <f>VLOOKUP(C289,Customers!A:F,5,FALSE())</f>
        <v>Corporate</v>
      </c>
      <c r="O289" t="str">
        <f>IFERROR(VLOOKUP(E289,Sales_Reps!$A:$C,3,FALSE()),"")</f>
        <v/>
      </c>
      <c r="P289">
        <f>IFERROR(VLOOKUP(C289,Customers!$A:$C,3,FALSE()),"")</f>
        <v>33</v>
      </c>
      <c r="Q289" t="str">
        <f t="shared" si="4"/>
        <v>Jun-24</v>
      </c>
      <c r="R289">
        <f>IFERROR((VLOOKUP(D289,Products!$A:$E,5,FALSE())-VLOOKUP(D289,Products!$A:$E,4,FALSE()))/VLOOKUP(D289,Products!$A:$E,5,FALSE()),"")</f>
        <v>0.22162162162162163</v>
      </c>
    </row>
    <row r="290" spans="1:18" x14ac:dyDescent="0.3">
      <c r="A290" s="22" t="s">
        <v>932</v>
      </c>
      <c r="B290" s="23">
        <v>45312</v>
      </c>
      <c r="C290" s="22" t="s">
        <v>858</v>
      </c>
      <c r="D290" s="22" t="s">
        <v>455</v>
      </c>
      <c r="E290" s="22" t="s">
        <v>933</v>
      </c>
      <c r="F290" s="24">
        <v>8</v>
      </c>
      <c r="G290" s="24">
        <v>5330</v>
      </c>
      <c r="H290" s="24">
        <v>16.2</v>
      </c>
      <c r="I290" s="24">
        <v>35732.32</v>
      </c>
      <c r="J290" s="22" t="s">
        <v>104</v>
      </c>
      <c r="K290" s="22" t="s">
        <v>129</v>
      </c>
      <c r="L290" t="str">
        <f>VLOOKUP(D290,Products!A:F,3,FALSE())</f>
        <v>Electronics</v>
      </c>
      <c r="M290" t="str">
        <f>VLOOKUP(C290,Customers!A:F,5,FALSE())</f>
        <v>Retail</v>
      </c>
      <c r="O290" t="str">
        <f>IFERROR(VLOOKUP(E290,Sales_Reps!$A:$C,3,FALSE()),"")</f>
        <v/>
      </c>
      <c r="P290">
        <f>IFERROR(VLOOKUP(C290,Customers!$A:$C,3,FALSE()),"")</f>
        <v>53</v>
      </c>
      <c r="Q290" t="str">
        <f t="shared" si="4"/>
        <v>Jan-24</v>
      </c>
      <c r="R290">
        <f>IFERROR((VLOOKUP(D290,Products!$A:$E,5,FALSE())-VLOOKUP(D290,Products!$A:$E,4,FALSE()))/VLOOKUP(D290,Products!$A:$E,5,FALSE()),"")</f>
        <v>0.54878048780487809</v>
      </c>
    </row>
    <row r="291" spans="1:18" x14ac:dyDescent="0.3">
      <c r="A291" s="22" t="s">
        <v>934</v>
      </c>
      <c r="B291" s="23">
        <v>45500</v>
      </c>
      <c r="C291" s="22" t="s">
        <v>264</v>
      </c>
      <c r="D291" s="22" t="s">
        <v>935</v>
      </c>
      <c r="E291" s="22" t="s">
        <v>936</v>
      </c>
      <c r="F291" s="24">
        <v>4</v>
      </c>
      <c r="G291" s="24">
        <v>3560</v>
      </c>
      <c r="H291" s="24">
        <v>10.5</v>
      </c>
      <c r="I291" s="24">
        <v>12744.8</v>
      </c>
      <c r="J291" s="22" t="s">
        <v>104</v>
      </c>
      <c r="K291" s="22" t="s">
        <v>111</v>
      </c>
      <c r="L291" t="str">
        <f>VLOOKUP(D291,Products!A:F,3,FALSE())</f>
        <v>Apparel</v>
      </c>
      <c r="M291" t="str">
        <f>VLOOKUP(C291,Customers!A:F,5,FALSE())</f>
        <v>Retail</v>
      </c>
      <c r="O291" t="str">
        <f>IFERROR(VLOOKUP(E291,Sales_Reps!$A:$C,3,FALSE()),"")</f>
        <v/>
      </c>
      <c r="P291">
        <f>IFERROR(VLOOKUP(C291,Customers!$A:$C,3,FALSE()),"")</f>
        <v>37</v>
      </c>
      <c r="Q291" t="str">
        <f t="shared" si="4"/>
        <v>Jul-24</v>
      </c>
      <c r="R291">
        <f>IFERROR((VLOOKUP(D291,Products!$A:$E,5,FALSE())-VLOOKUP(D291,Products!$A:$E,4,FALSE()))/VLOOKUP(D291,Products!$A:$E,5,FALSE()),"")</f>
        <v>0.26151685393258428</v>
      </c>
    </row>
    <row r="292" spans="1:18" x14ac:dyDescent="0.3">
      <c r="A292" s="22" t="s">
        <v>937</v>
      </c>
      <c r="B292" s="23">
        <v>45389</v>
      </c>
      <c r="C292" s="22" t="s">
        <v>841</v>
      </c>
      <c r="D292" s="22" t="s">
        <v>209</v>
      </c>
      <c r="E292" s="22" t="s">
        <v>938</v>
      </c>
      <c r="F292" s="24">
        <v>10</v>
      </c>
      <c r="G292" s="24">
        <v>1010</v>
      </c>
      <c r="H292" s="24">
        <v>10.8</v>
      </c>
      <c r="I292" s="24">
        <v>9009.2000000000007</v>
      </c>
      <c r="J292" s="22" t="s">
        <v>104</v>
      </c>
      <c r="K292" s="22" t="s">
        <v>134</v>
      </c>
      <c r="L292" t="str">
        <f>VLOOKUP(D292,Products!A:F,3,FALSE())</f>
        <v>Sports</v>
      </c>
      <c r="M292" t="str">
        <f>VLOOKUP(C292,Customers!A:F,5,FALSE())</f>
        <v>Retail</v>
      </c>
      <c r="O292" t="str">
        <f>IFERROR(VLOOKUP(E292,Sales_Reps!$A:$C,3,FALSE()),"")</f>
        <v/>
      </c>
      <c r="P292">
        <f>IFERROR(VLOOKUP(C292,Customers!$A:$C,3,FALSE()),"")</f>
        <v>34</v>
      </c>
      <c r="Q292" t="str">
        <f t="shared" si="4"/>
        <v>Apr-24</v>
      </c>
      <c r="R292">
        <f>IFERROR((VLOOKUP(D292,Products!$A:$E,5,FALSE())-VLOOKUP(D292,Products!$A:$E,4,FALSE()))/VLOOKUP(D292,Products!$A:$E,5,FALSE()),"")</f>
        <v>0.4891089108910891</v>
      </c>
    </row>
    <row r="293" spans="1:18" x14ac:dyDescent="0.3">
      <c r="A293" s="22" t="s">
        <v>939</v>
      </c>
      <c r="B293" s="23">
        <v>45619</v>
      </c>
      <c r="C293" s="22" t="s">
        <v>940</v>
      </c>
      <c r="D293" s="22" t="s">
        <v>695</v>
      </c>
      <c r="E293" s="22" t="s">
        <v>941</v>
      </c>
      <c r="F293" s="24">
        <v>8</v>
      </c>
      <c r="G293" s="24">
        <v>6940</v>
      </c>
      <c r="H293" s="24">
        <v>3.2</v>
      </c>
      <c r="I293" s="24">
        <v>53743.360000000001</v>
      </c>
      <c r="J293" s="22" t="s">
        <v>159</v>
      </c>
      <c r="K293" s="22" t="s">
        <v>111</v>
      </c>
      <c r="L293" t="str">
        <f>VLOOKUP(D293,Products!A:F,3,FALSE())</f>
        <v>Sports</v>
      </c>
      <c r="M293" t="str">
        <f>VLOOKUP(C293,Customers!A:F,5,FALSE())</f>
        <v>Corporate</v>
      </c>
      <c r="O293" t="str">
        <f>IFERROR(VLOOKUP(E293,Sales_Reps!$A:$C,3,FALSE()),"")</f>
        <v/>
      </c>
      <c r="P293">
        <f>IFERROR(VLOOKUP(C293,Customers!$A:$C,3,FALSE()),"")</f>
        <v>41</v>
      </c>
      <c r="Q293" t="str">
        <f t="shared" si="4"/>
        <v>Nov-24</v>
      </c>
      <c r="R293">
        <f>IFERROR((VLOOKUP(D293,Products!$A:$E,5,FALSE())-VLOOKUP(D293,Products!$A:$E,4,FALSE()))/VLOOKUP(D293,Products!$A:$E,5,FALSE()),"")</f>
        <v>0.5926512968299712</v>
      </c>
    </row>
    <row r="294" spans="1:18" x14ac:dyDescent="0.3">
      <c r="A294" s="22" t="s">
        <v>942</v>
      </c>
      <c r="B294" s="23">
        <v>45617</v>
      </c>
      <c r="C294" s="22" t="s">
        <v>380</v>
      </c>
      <c r="D294" s="22" t="s">
        <v>123</v>
      </c>
      <c r="E294" s="22" t="s">
        <v>943</v>
      </c>
      <c r="F294" s="24">
        <v>7</v>
      </c>
      <c r="G294" s="24">
        <v>3160</v>
      </c>
      <c r="H294" s="24">
        <v>3.6</v>
      </c>
      <c r="I294" s="24">
        <v>21323.68</v>
      </c>
      <c r="J294" s="22" t="s">
        <v>104</v>
      </c>
      <c r="K294" s="22" t="s">
        <v>151</v>
      </c>
      <c r="L294" t="str">
        <f>VLOOKUP(D294,Products!A:F,3,FALSE())</f>
        <v>Apparel</v>
      </c>
      <c r="M294" t="str">
        <f>VLOOKUP(C294,Customers!A:F,5,FALSE())</f>
        <v>Retail</v>
      </c>
      <c r="O294" t="str">
        <f>IFERROR(VLOOKUP(E294,Sales_Reps!$A:$C,3,FALSE()),"")</f>
        <v/>
      </c>
      <c r="P294">
        <f>IFERROR(VLOOKUP(C294,Customers!$A:$C,3,FALSE()),"")</f>
        <v>46</v>
      </c>
      <c r="Q294" t="str">
        <f t="shared" si="4"/>
        <v>Nov-24</v>
      </c>
      <c r="R294">
        <f>IFERROR((VLOOKUP(D294,Products!$A:$E,5,FALSE())-VLOOKUP(D294,Products!$A:$E,4,FALSE()))/VLOOKUP(D294,Products!$A:$E,5,FALSE()),"")</f>
        <v>0.4031645569620253</v>
      </c>
    </row>
    <row r="295" spans="1:18" x14ac:dyDescent="0.3">
      <c r="A295" s="22" t="s">
        <v>944</v>
      </c>
      <c r="B295" s="23">
        <v>45640</v>
      </c>
      <c r="C295" s="22" t="s">
        <v>645</v>
      </c>
      <c r="D295" s="22" t="s">
        <v>119</v>
      </c>
      <c r="E295" s="22" t="s">
        <v>945</v>
      </c>
      <c r="F295" s="24">
        <v>2</v>
      </c>
      <c r="G295" s="24">
        <v>3660</v>
      </c>
      <c r="H295" s="24">
        <v>30</v>
      </c>
      <c r="I295" s="24">
        <v>5124</v>
      </c>
      <c r="J295" s="22" t="s">
        <v>110</v>
      </c>
      <c r="K295" s="22" t="s">
        <v>105</v>
      </c>
      <c r="L295" t="str">
        <f>VLOOKUP(D295,Products!A:F,3,FALSE())</f>
        <v>Grocery</v>
      </c>
      <c r="M295" t="str">
        <f>VLOOKUP(C295,Customers!A:F,5,FALSE())</f>
        <v>Retail</v>
      </c>
      <c r="O295" t="str">
        <f>IFERROR(VLOOKUP(E295,Sales_Reps!$A:$C,3,FALSE()),"")</f>
        <v/>
      </c>
      <c r="P295">
        <f>IFERROR(VLOOKUP(C295,Customers!$A:$C,3,FALSE()),"")</f>
        <v>49</v>
      </c>
      <c r="Q295" t="str">
        <f t="shared" si="4"/>
        <v>Dec-24</v>
      </c>
      <c r="R295">
        <f>IFERROR((VLOOKUP(D295,Products!$A:$E,5,FALSE())-VLOOKUP(D295,Products!$A:$E,4,FALSE()))/VLOOKUP(D295,Products!$A:$E,5,FALSE()),"")</f>
        <v>0.39508196721311473</v>
      </c>
    </row>
    <row r="296" spans="1:18" x14ac:dyDescent="0.3">
      <c r="A296" s="22" t="s">
        <v>946</v>
      </c>
      <c r="B296" s="23">
        <v>45401</v>
      </c>
      <c r="C296" s="22" t="s">
        <v>458</v>
      </c>
      <c r="D296" s="22" t="s">
        <v>149</v>
      </c>
      <c r="E296" s="22" t="s">
        <v>947</v>
      </c>
      <c r="F296" s="24">
        <v>1</v>
      </c>
      <c r="G296" s="24">
        <v>2270</v>
      </c>
      <c r="H296" s="24">
        <v>4.8</v>
      </c>
      <c r="I296" s="24">
        <v>2161.04</v>
      </c>
      <c r="J296" s="22" t="s">
        <v>159</v>
      </c>
      <c r="K296" s="22" t="s">
        <v>129</v>
      </c>
      <c r="L296" t="str">
        <f>VLOOKUP(D296,Products!A:F,3,FALSE())</f>
        <v>Grocery</v>
      </c>
      <c r="M296" t="str">
        <f>VLOOKUP(C296,Customers!A:F,5,FALSE())</f>
        <v>Retail</v>
      </c>
      <c r="O296" t="str">
        <f>IFERROR(VLOOKUP(E296,Sales_Reps!$A:$C,3,FALSE()),"")</f>
        <v/>
      </c>
      <c r="P296">
        <f>IFERROR(VLOOKUP(C296,Customers!$A:$C,3,FALSE()),"")</f>
        <v>25</v>
      </c>
      <c r="Q296" t="str">
        <f t="shared" si="4"/>
        <v>Apr-24</v>
      </c>
      <c r="R296">
        <f>IFERROR((VLOOKUP(D296,Products!$A:$E,5,FALSE())-VLOOKUP(D296,Products!$A:$E,4,FALSE()))/VLOOKUP(D296,Products!$A:$E,5,FALSE()),"")</f>
        <v>0.47004405286343615</v>
      </c>
    </row>
    <row r="297" spans="1:18" x14ac:dyDescent="0.3">
      <c r="A297" s="22" t="s">
        <v>948</v>
      </c>
      <c r="B297" s="23">
        <v>45405</v>
      </c>
      <c r="C297" s="22" t="s">
        <v>261</v>
      </c>
      <c r="D297" s="22" t="s">
        <v>605</v>
      </c>
      <c r="E297" s="22" t="s">
        <v>949</v>
      </c>
      <c r="F297" s="24">
        <v>8</v>
      </c>
      <c r="G297" s="24">
        <v>3780</v>
      </c>
      <c r="H297" s="24">
        <v>13</v>
      </c>
      <c r="I297" s="24">
        <v>26308.799999999999</v>
      </c>
      <c r="J297" s="22" t="s">
        <v>104</v>
      </c>
      <c r="K297" s="22" t="s">
        <v>116</v>
      </c>
      <c r="L297" t="str">
        <f>VLOOKUP(D297,Products!A:F,3,FALSE())</f>
        <v>Sports</v>
      </c>
      <c r="M297" t="str">
        <f>VLOOKUP(C297,Customers!A:F,5,FALSE())</f>
        <v>Retail</v>
      </c>
      <c r="O297" t="str">
        <f>IFERROR(VLOOKUP(E297,Sales_Reps!$A:$C,3,FALSE()),"")</f>
        <v/>
      </c>
      <c r="P297">
        <f>IFERROR(VLOOKUP(C297,Customers!$A:$C,3,FALSE()),"")</f>
        <v>53</v>
      </c>
      <c r="Q297" t="str">
        <f t="shared" si="4"/>
        <v>Apr-24</v>
      </c>
      <c r="R297">
        <f>IFERROR((VLOOKUP(D297,Products!$A:$E,5,FALSE())-VLOOKUP(D297,Products!$A:$E,4,FALSE()))/VLOOKUP(D297,Products!$A:$E,5,FALSE()),"")</f>
        <v>0.50793650793650791</v>
      </c>
    </row>
    <row r="298" spans="1:18" x14ac:dyDescent="0.3">
      <c r="A298" s="22" t="s">
        <v>950</v>
      </c>
      <c r="B298" s="23">
        <v>45537</v>
      </c>
      <c r="C298" s="22" t="s">
        <v>861</v>
      </c>
      <c r="D298" s="22" t="s">
        <v>279</v>
      </c>
      <c r="E298" s="22" t="s">
        <v>951</v>
      </c>
      <c r="F298" s="24">
        <v>1</v>
      </c>
      <c r="G298" s="24">
        <v>3640</v>
      </c>
      <c r="H298" s="24">
        <v>15.3</v>
      </c>
      <c r="I298" s="24">
        <v>3083.08</v>
      </c>
      <c r="J298" s="22" t="s">
        <v>110</v>
      </c>
      <c r="K298" s="22" t="s">
        <v>129</v>
      </c>
      <c r="L298" t="str">
        <f>VLOOKUP(D298,Products!A:F,3,FALSE())</f>
        <v>Apparel</v>
      </c>
      <c r="M298" t="str">
        <f>VLOOKUP(C298,Customers!A:F,5,FALSE())</f>
        <v>SMB</v>
      </c>
      <c r="O298" t="str">
        <f>IFERROR(VLOOKUP(E298,Sales_Reps!$A:$C,3,FALSE()),"")</f>
        <v/>
      </c>
      <c r="P298">
        <f>IFERROR(VLOOKUP(C298,Customers!$A:$C,3,FALSE()),"")</f>
        <v>65</v>
      </c>
      <c r="Q298" t="str">
        <f t="shared" si="4"/>
        <v>Sep-24</v>
      </c>
      <c r="R298">
        <f>IFERROR((VLOOKUP(D298,Products!$A:$E,5,FALSE())-VLOOKUP(D298,Products!$A:$E,4,FALSE()))/VLOOKUP(D298,Products!$A:$E,5,FALSE()),"")</f>
        <v>0.28269230769230769</v>
      </c>
    </row>
    <row r="299" spans="1:18" x14ac:dyDescent="0.3">
      <c r="A299" s="22" t="s">
        <v>952</v>
      </c>
      <c r="B299" s="23">
        <v>45475</v>
      </c>
      <c r="C299" s="22" t="s">
        <v>953</v>
      </c>
      <c r="D299" s="22" t="s">
        <v>319</v>
      </c>
      <c r="E299" s="22" t="s">
        <v>954</v>
      </c>
      <c r="F299" s="24">
        <v>8</v>
      </c>
      <c r="G299" s="24">
        <v>1220</v>
      </c>
      <c r="H299" s="24">
        <v>28.2</v>
      </c>
      <c r="I299" s="24">
        <v>7007.68</v>
      </c>
      <c r="J299" s="22" t="s">
        <v>104</v>
      </c>
      <c r="K299" s="22" t="s">
        <v>151</v>
      </c>
      <c r="L299" t="str">
        <f>VLOOKUP(D299,Products!A:F,3,FALSE())</f>
        <v>Electronics</v>
      </c>
      <c r="M299" t="str">
        <f>VLOOKUP(C299,Customers!A:F,5,FALSE())</f>
        <v>Retail</v>
      </c>
      <c r="O299" t="str">
        <f>IFERROR(VLOOKUP(E299,Sales_Reps!$A:$C,3,FALSE()),"")</f>
        <v/>
      </c>
      <c r="P299">
        <f>IFERROR(VLOOKUP(C299,Customers!$A:$C,3,FALSE()),"")</f>
        <v>31</v>
      </c>
      <c r="Q299" t="str">
        <f t="shared" si="4"/>
        <v>Jul-24</v>
      </c>
      <c r="R299">
        <f>IFERROR((VLOOKUP(D299,Products!$A:$E,5,FALSE())-VLOOKUP(D299,Products!$A:$E,4,FALSE()))/VLOOKUP(D299,Products!$A:$E,5,FALSE()),"")</f>
        <v>0.57622950819672136</v>
      </c>
    </row>
    <row r="300" spans="1:18" x14ac:dyDescent="0.3">
      <c r="A300" s="22" t="s">
        <v>955</v>
      </c>
      <c r="B300" s="23">
        <v>45624</v>
      </c>
      <c r="C300" s="22" t="s">
        <v>322</v>
      </c>
      <c r="D300" s="22" t="s">
        <v>442</v>
      </c>
      <c r="E300" s="22" t="s">
        <v>956</v>
      </c>
      <c r="F300" s="24">
        <v>3</v>
      </c>
      <c r="G300" s="24">
        <v>2510</v>
      </c>
      <c r="H300" s="24">
        <v>17.399999999999999</v>
      </c>
      <c r="I300" s="24">
        <v>6219.78</v>
      </c>
      <c r="J300" s="22" t="s">
        <v>104</v>
      </c>
      <c r="K300" s="22" t="s">
        <v>129</v>
      </c>
      <c r="L300" t="str">
        <f>VLOOKUP(D300,Products!A:F,3,FALSE())</f>
        <v>Apparel</v>
      </c>
      <c r="M300" t="str">
        <f>VLOOKUP(C300,Customers!A:F,5,FALSE())</f>
        <v>Retail</v>
      </c>
      <c r="O300" t="str">
        <f>IFERROR(VLOOKUP(E300,Sales_Reps!$A:$C,3,FALSE()),"")</f>
        <v/>
      </c>
      <c r="P300">
        <f>IFERROR(VLOOKUP(C300,Customers!$A:$C,3,FALSE()),"")</f>
        <v>40</v>
      </c>
      <c r="Q300" t="str">
        <f t="shared" si="4"/>
        <v>Nov-24</v>
      </c>
      <c r="R300">
        <f>IFERROR((VLOOKUP(D300,Products!$A:$E,5,FALSE())-VLOOKUP(D300,Products!$A:$E,4,FALSE()))/VLOOKUP(D300,Products!$A:$E,5,FALSE()),"")</f>
        <v>0.57171314741035861</v>
      </c>
    </row>
    <row r="301" spans="1:18" x14ac:dyDescent="0.3">
      <c r="A301" s="22" t="s">
        <v>957</v>
      </c>
      <c r="B301" s="23">
        <v>45635</v>
      </c>
      <c r="C301" s="22" t="s">
        <v>775</v>
      </c>
      <c r="D301" s="22" t="s">
        <v>186</v>
      </c>
      <c r="E301" s="22" t="s">
        <v>958</v>
      </c>
      <c r="F301" s="24">
        <v>1</v>
      </c>
      <c r="G301" s="24">
        <v>1080</v>
      </c>
      <c r="H301" s="24">
        <v>13.9</v>
      </c>
      <c r="I301" s="24">
        <v>929.88</v>
      </c>
      <c r="J301" s="22" t="s">
        <v>104</v>
      </c>
      <c r="K301" s="22" t="s">
        <v>129</v>
      </c>
      <c r="L301" t="str">
        <f>VLOOKUP(D301,Products!A:F,3,FALSE())</f>
        <v>Home</v>
      </c>
      <c r="M301" t="str">
        <f>VLOOKUP(C301,Customers!A:F,5,FALSE())</f>
        <v>SMB</v>
      </c>
      <c r="O301" t="str">
        <f>IFERROR(VLOOKUP(E301,Sales_Reps!$A:$C,3,FALSE()),"")</f>
        <v/>
      </c>
      <c r="P301">
        <f>IFERROR(VLOOKUP(C301,Customers!$A:$C,3,FALSE()),"")</f>
        <v>61</v>
      </c>
      <c r="Q301" t="str">
        <f t="shared" si="4"/>
        <v>Dec-24</v>
      </c>
      <c r="R301">
        <f>IFERROR((VLOOKUP(D301,Products!$A:$E,5,FALSE())-VLOOKUP(D301,Products!$A:$E,4,FALSE()))/VLOOKUP(D301,Products!$A:$E,5,FALSE()),"")</f>
        <v>0.51944444444444449</v>
      </c>
    </row>
    <row r="302" spans="1:18" x14ac:dyDescent="0.3">
      <c r="A302" s="22" t="s">
        <v>959</v>
      </c>
      <c r="B302" s="23">
        <v>45395</v>
      </c>
      <c r="C302" s="22" t="s">
        <v>960</v>
      </c>
      <c r="D302" s="22" t="s">
        <v>356</v>
      </c>
      <c r="E302" s="22" t="s">
        <v>961</v>
      </c>
      <c r="F302" s="24">
        <v>7</v>
      </c>
      <c r="G302" s="24">
        <v>2030</v>
      </c>
      <c r="H302" s="24">
        <v>29.2</v>
      </c>
      <c r="I302" s="24">
        <v>10060.68</v>
      </c>
      <c r="J302" s="22" t="s">
        <v>104</v>
      </c>
      <c r="K302" s="22" t="s">
        <v>129</v>
      </c>
      <c r="L302" t="str">
        <f>VLOOKUP(D302,Products!A:F,3,FALSE())</f>
        <v>Home</v>
      </c>
      <c r="M302" t="str">
        <f>VLOOKUP(C302,Customers!A:F,5,FALSE())</f>
        <v>Retail</v>
      </c>
      <c r="O302" t="str">
        <f>IFERROR(VLOOKUP(E302,Sales_Reps!$A:$C,3,FALSE()),"")</f>
        <v/>
      </c>
      <c r="P302">
        <f>IFERROR(VLOOKUP(C302,Customers!$A:$C,3,FALSE()),"")</f>
        <v>35</v>
      </c>
      <c r="Q302" t="str">
        <f t="shared" si="4"/>
        <v>Apr-24</v>
      </c>
      <c r="R302">
        <f>IFERROR((VLOOKUP(D302,Products!$A:$E,5,FALSE())-VLOOKUP(D302,Products!$A:$E,4,FALSE()))/VLOOKUP(D302,Products!$A:$E,5,FALSE()),"")</f>
        <v>0.43694581280788175</v>
      </c>
    </row>
    <row r="303" spans="1:18" x14ac:dyDescent="0.3">
      <c r="A303" s="22" t="s">
        <v>962</v>
      </c>
      <c r="B303" s="23">
        <v>45415</v>
      </c>
      <c r="C303" s="22" t="s">
        <v>193</v>
      </c>
      <c r="D303" s="22" t="s">
        <v>605</v>
      </c>
      <c r="E303" s="22" t="s">
        <v>963</v>
      </c>
      <c r="F303" s="24">
        <v>6</v>
      </c>
      <c r="G303" s="24">
        <v>3780</v>
      </c>
      <c r="H303" s="24">
        <v>20.9</v>
      </c>
      <c r="I303" s="24">
        <v>17939.88</v>
      </c>
      <c r="J303" s="22" t="s">
        <v>164</v>
      </c>
      <c r="K303" s="22" t="s">
        <v>129</v>
      </c>
      <c r="L303" t="str">
        <f>VLOOKUP(D303,Products!A:F,3,FALSE())</f>
        <v>Sports</v>
      </c>
      <c r="M303" t="str">
        <f>VLOOKUP(C303,Customers!A:F,5,FALSE())</f>
        <v>Retail</v>
      </c>
      <c r="O303" t="str">
        <f>IFERROR(VLOOKUP(E303,Sales_Reps!$A:$C,3,FALSE()),"")</f>
        <v/>
      </c>
      <c r="P303">
        <f>IFERROR(VLOOKUP(C303,Customers!$A:$C,3,FALSE()),"")</f>
        <v>34</v>
      </c>
      <c r="Q303" t="str">
        <f t="shared" si="4"/>
        <v>May-24</v>
      </c>
      <c r="R303">
        <f>IFERROR((VLOOKUP(D303,Products!$A:$E,5,FALSE())-VLOOKUP(D303,Products!$A:$E,4,FALSE()))/VLOOKUP(D303,Products!$A:$E,5,FALSE()),"")</f>
        <v>0.50793650793650791</v>
      </c>
    </row>
    <row r="304" spans="1:18" x14ac:dyDescent="0.3">
      <c r="A304" s="22" t="s">
        <v>964</v>
      </c>
      <c r="B304" s="23">
        <v>45653</v>
      </c>
      <c r="C304" s="22" t="s">
        <v>965</v>
      </c>
      <c r="D304" s="22" t="s">
        <v>123</v>
      </c>
      <c r="E304" s="22" t="s">
        <v>966</v>
      </c>
      <c r="F304" s="24">
        <v>1</v>
      </c>
      <c r="G304" s="24">
        <v>3160</v>
      </c>
      <c r="H304" s="24">
        <v>10.7</v>
      </c>
      <c r="I304" s="24">
        <v>2821.88</v>
      </c>
      <c r="J304" s="22" t="s">
        <v>104</v>
      </c>
      <c r="K304" s="22" t="s">
        <v>105</v>
      </c>
      <c r="L304" t="str">
        <f>VLOOKUP(D304,Products!A:F,3,FALSE())</f>
        <v>Apparel</v>
      </c>
      <c r="M304" t="str">
        <f>VLOOKUP(C304,Customers!A:F,5,FALSE())</f>
        <v>SMB</v>
      </c>
      <c r="O304" t="str">
        <f>IFERROR(VLOOKUP(E304,Sales_Reps!$A:$C,3,FALSE()),"")</f>
        <v/>
      </c>
      <c r="P304">
        <f>IFERROR(VLOOKUP(C304,Customers!$A:$C,3,FALSE()),"")</f>
        <v>35</v>
      </c>
      <c r="Q304" t="str">
        <f t="shared" si="4"/>
        <v>Dec-24</v>
      </c>
      <c r="R304">
        <f>IFERROR((VLOOKUP(D304,Products!$A:$E,5,FALSE())-VLOOKUP(D304,Products!$A:$E,4,FALSE()))/VLOOKUP(D304,Products!$A:$E,5,FALSE()),"")</f>
        <v>0.4031645569620253</v>
      </c>
    </row>
    <row r="305" spans="1:18" x14ac:dyDescent="0.3">
      <c r="A305" s="22" t="s">
        <v>967</v>
      </c>
      <c r="B305" s="23">
        <v>45564</v>
      </c>
      <c r="C305" s="22" t="s">
        <v>355</v>
      </c>
      <c r="D305" s="22" t="s">
        <v>212</v>
      </c>
      <c r="E305" s="22" t="s">
        <v>968</v>
      </c>
      <c r="F305" s="24">
        <v>5</v>
      </c>
      <c r="G305" s="24">
        <v>4880</v>
      </c>
      <c r="H305" s="24">
        <v>11.4</v>
      </c>
      <c r="I305" s="24">
        <v>21618.400000000001</v>
      </c>
      <c r="J305" s="22" t="s">
        <v>104</v>
      </c>
      <c r="K305" s="22" t="s">
        <v>151</v>
      </c>
      <c r="L305" t="str">
        <f>VLOOKUP(D305,Products!A:F,3,FALSE())</f>
        <v>Beauty</v>
      </c>
      <c r="M305" t="str">
        <f>VLOOKUP(C305,Customers!A:F,5,FALSE())</f>
        <v>SMB</v>
      </c>
      <c r="O305" t="str">
        <f>IFERROR(VLOOKUP(E305,Sales_Reps!$A:$C,3,FALSE()),"")</f>
        <v/>
      </c>
      <c r="P305">
        <f>IFERROR(VLOOKUP(C305,Customers!$A:$C,3,FALSE()),"")</f>
        <v>43</v>
      </c>
      <c r="Q305" t="str">
        <f t="shared" si="4"/>
        <v>Sep-24</v>
      </c>
      <c r="R305">
        <f>IFERROR((VLOOKUP(D305,Products!$A:$E,5,FALSE())-VLOOKUP(D305,Products!$A:$E,4,FALSE()))/VLOOKUP(D305,Products!$A:$E,5,FALSE()),"")</f>
        <v>0.43278688524590164</v>
      </c>
    </row>
    <row r="306" spans="1:18" x14ac:dyDescent="0.3">
      <c r="A306" s="22" t="s">
        <v>969</v>
      </c>
      <c r="B306" s="23">
        <v>45633</v>
      </c>
      <c r="C306" s="22" t="s">
        <v>897</v>
      </c>
      <c r="D306" s="22" t="s">
        <v>265</v>
      </c>
      <c r="E306" s="22" t="s">
        <v>970</v>
      </c>
      <c r="F306" s="24">
        <v>9</v>
      </c>
      <c r="G306" s="24">
        <v>3730</v>
      </c>
      <c r="H306" s="24">
        <v>10</v>
      </c>
      <c r="I306" s="24">
        <v>30213</v>
      </c>
      <c r="J306" s="22" t="s">
        <v>104</v>
      </c>
      <c r="K306" s="22" t="s">
        <v>116</v>
      </c>
      <c r="L306" t="str">
        <f>VLOOKUP(D306,Products!A:F,3,FALSE())</f>
        <v>Home</v>
      </c>
      <c r="M306" t="str">
        <f>VLOOKUP(C306,Customers!A:F,5,FALSE())</f>
        <v>Retail</v>
      </c>
      <c r="O306" t="str">
        <f>IFERROR(VLOOKUP(E306,Sales_Reps!$A:$C,3,FALSE()),"")</f>
        <v/>
      </c>
      <c r="P306">
        <f>IFERROR(VLOOKUP(C306,Customers!$A:$C,3,FALSE()),"")</f>
        <v>43</v>
      </c>
      <c r="Q306" t="str">
        <f t="shared" si="4"/>
        <v>Dec-24</v>
      </c>
      <c r="R306">
        <f>IFERROR((VLOOKUP(D306,Products!$A:$E,5,FALSE())-VLOOKUP(D306,Products!$A:$E,4,FALSE()))/VLOOKUP(D306,Products!$A:$E,5,FALSE()),"")</f>
        <v>0.42761394101876676</v>
      </c>
    </row>
    <row r="307" spans="1:18" x14ac:dyDescent="0.3">
      <c r="A307" s="22" t="s">
        <v>971</v>
      </c>
      <c r="B307" s="23">
        <v>45309</v>
      </c>
      <c r="C307" s="22" t="s">
        <v>972</v>
      </c>
      <c r="D307" s="22" t="s">
        <v>577</v>
      </c>
      <c r="E307" s="22" t="s">
        <v>973</v>
      </c>
      <c r="F307" s="24">
        <v>5</v>
      </c>
      <c r="G307" s="24">
        <v>5080</v>
      </c>
      <c r="H307" s="24">
        <v>15.3</v>
      </c>
      <c r="I307" s="24">
        <v>21513.8</v>
      </c>
      <c r="J307" s="22" t="s">
        <v>104</v>
      </c>
      <c r="K307" s="22" t="s">
        <v>111</v>
      </c>
      <c r="L307" t="str">
        <f>VLOOKUP(D307,Products!A:F,3,FALSE())</f>
        <v>Home</v>
      </c>
      <c r="M307" t="str">
        <f>VLOOKUP(C307,Customers!A:F,5,FALSE())</f>
        <v>Retail</v>
      </c>
      <c r="O307" t="str">
        <f>IFERROR(VLOOKUP(E307,Sales_Reps!$A:$C,3,FALSE()),"")</f>
        <v/>
      </c>
      <c r="P307">
        <f>IFERROR(VLOOKUP(C307,Customers!$A:$C,3,FALSE()),"")</f>
        <v>26</v>
      </c>
      <c r="Q307" t="str">
        <f t="shared" si="4"/>
        <v>Jan-24</v>
      </c>
      <c r="R307">
        <f>IFERROR((VLOOKUP(D307,Products!$A:$E,5,FALSE())-VLOOKUP(D307,Products!$A:$E,4,FALSE()))/VLOOKUP(D307,Products!$A:$E,5,FALSE()),"")</f>
        <v>0.51594488188976373</v>
      </c>
    </row>
    <row r="308" spans="1:18" x14ac:dyDescent="0.3">
      <c r="A308" s="22" t="s">
        <v>974</v>
      </c>
      <c r="B308" s="23">
        <v>45403</v>
      </c>
      <c r="C308" s="22" t="s">
        <v>181</v>
      </c>
      <c r="D308" s="22" t="s">
        <v>488</v>
      </c>
      <c r="E308" s="22" t="s">
        <v>975</v>
      </c>
      <c r="F308" s="24">
        <v>9</v>
      </c>
      <c r="G308" s="24">
        <v>2290</v>
      </c>
      <c r="H308" s="24">
        <v>3.3</v>
      </c>
      <c r="I308" s="24">
        <v>19929.87</v>
      </c>
      <c r="J308" s="22" t="s">
        <v>110</v>
      </c>
      <c r="K308" s="22" t="s">
        <v>129</v>
      </c>
      <c r="L308" t="str">
        <f>VLOOKUP(D308,Products!A:F,3,FALSE())</f>
        <v>Beauty</v>
      </c>
      <c r="M308" t="str">
        <f>VLOOKUP(C308,Customers!A:F,5,FALSE())</f>
        <v>Retail</v>
      </c>
      <c r="O308" t="str">
        <f>IFERROR(VLOOKUP(E308,Sales_Reps!$A:$C,3,FALSE()),"")</f>
        <v/>
      </c>
      <c r="P308">
        <f>IFERROR(VLOOKUP(C308,Customers!$A:$C,3,FALSE()),"")</f>
        <v>54</v>
      </c>
      <c r="Q308" t="str">
        <f t="shared" si="4"/>
        <v>Apr-24</v>
      </c>
      <c r="R308">
        <f>IFERROR((VLOOKUP(D308,Products!$A:$E,5,FALSE())-VLOOKUP(D308,Products!$A:$E,4,FALSE()))/VLOOKUP(D308,Products!$A:$E,5,FALSE()),"")</f>
        <v>0.46768558951965067</v>
      </c>
    </row>
    <row r="309" spans="1:18" x14ac:dyDescent="0.3">
      <c r="A309" s="22" t="s">
        <v>976</v>
      </c>
      <c r="B309" s="23">
        <v>45554</v>
      </c>
      <c r="C309" s="22" t="s">
        <v>745</v>
      </c>
      <c r="D309" s="22" t="s">
        <v>334</v>
      </c>
      <c r="E309" s="22" t="s">
        <v>977</v>
      </c>
      <c r="F309" s="24">
        <v>5</v>
      </c>
      <c r="G309" s="24">
        <v>2660</v>
      </c>
      <c r="H309" s="24">
        <v>8.3000000000000007</v>
      </c>
      <c r="I309" s="24">
        <v>12196.1</v>
      </c>
      <c r="J309" s="22" t="s">
        <v>104</v>
      </c>
      <c r="K309" s="22" t="s">
        <v>116</v>
      </c>
      <c r="L309" t="str">
        <f>VLOOKUP(D309,Products!A:F,3,FALSE())</f>
        <v>Electronics</v>
      </c>
      <c r="M309" t="str">
        <f>VLOOKUP(C309,Customers!A:F,5,FALSE())</f>
        <v>SMB</v>
      </c>
      <c r="O309" t="str">
        <f>IFERROR(VLOOKUP(E309,Sales_Reps!$A:$C,3,FALSE()),"")</f>
        <v/>
      </c>
      <c r="P309">
        <f>IFERROR(VLOOKUP(C309,Customers!$A:$C,3,FALSE()),"")</f>
        <v>29</v>
      </c>
      <c r="Q309" t="str">
        <f t="shared" si="4"/>
        <v>Sep-24</v>
      </c>
      <c r="R309">
        <f>IFERROR((VLOOKUP(D309,Products!$A:$E,5,FALSE())-VLOOKUP(D309,Products!$A:$E,4,FALSE()))/VLOOKUP(D309,Products!$A:$E,5,FALSE()),"")</f>
        <v>0.52669172932330832</v>
      </c>
    </row>
    <row r="310" spans="1:18" x14ac:dyDescent="0.3">
      <c r="A310" s="22" t="s">
        <v>978</v>
      </c>
      <c r="B310" s="23">
        <v>45529</v>
      </c>
      <c r="C310" s="22" t="s">
        <v>979</v>
      </c>
      <c r="D310" s="22" t="s">
        <v>275</v>
      </c>
      <c r="E310" s="22" t="s">
        <v>980</v>
      </c>
      <c r="F310" s="24">
        <v>6</v>
      </c>
      <c r="G310" s="24">
        <v>3780</v>
      </c>
      <c r="H310" s="24">
        <v>28.3</v>
      </c>
      <c r="I310" s="24">
        <v>16261.56</v>
      </c>
      <c r="J310" s="22" t="s">
        <v>104</v>
      </c>
      <c r="K310" s="22" t="s">
        <v>116</v>
      </c>
      <c r="L310" t="str">
        <f>VLOOKUP(D310,Products!A:F,3,FALSE())</f>
        <v>Grocery</v>
      </c>
      <c r="M310" t="str">
        <f>VLOOKUP(C310,Customers!A:F,5,FALSE())</f>
        <v>Retail</v>
      </c>
      <c r="O310" t="str">
        <f>IFERROR(VLOOKUP(E310,Sales_Reps!$A:$C,3,FALSE()),"")</f>
        <v/>
      </c>
      <c r="P310">
        <f>IFERROR(VLOOKUP(C310,Customers!$A:$C,3,FALSE()),"")</f>
        <v>41</v>
      </c>
      <c r="Q310" t="str">
        <f t="shared" si="4"/>
        <v>Aug-24</v>
      </c>
      <c r="R310">
        <f>IFERROR((VLOOKUP(D310,Products!$A:$E,5,FALSE())-VLOOKUP(D310,Products!$A:$E,4,FALSE()))/VLOOKUP(D310,Products!$A:$E,5,FALSE()),"")</f>
        <v>0.35555555555555557</v>
      </c>
    </row>
    <row r="311" spans="1:18" x14ac:dyDescent="0.3">
      <c r="A311" s="22" t="s">
        <v>981</v>
      </c>
      <c r="B311" s="23">
        <v>45300</v>
      </c>
      <c r="C311" s="22" t="s">
        <v>982</v>
      </c>
      <c r="D311" s="22" t="s">
        <v>231</v>
      </c>
      <c r="E311" s="22" t="s">
        <v>983</v>
      </c>
      <c r="F311" s="24">
        <v>5</v>
      </c>
      <c r="G311" s="24">
        <v>2760</v>
      </c>
      <c r="H311" s="24">
        <v>4.9000000000000004</v>
      </c>
      <c r="I311" s="24">
        <v>13123.8</v>
      </c>
      <c r="J311" s="22" t="s">
        <v>104</v>
      </c>
      <c r="K311" s="22" t="s">
        <v>129</v>
      </c>
      <c r="L311" t="str">
        <f>VLOOKUP(D311,Products!A:F,3,FALSE())</f>
        <v>Grocery</v>
      </c>
      <c r="M311" t="str">
        <f>VLOOKUP(C311,Customers!A:F,5,FALSE())</f>
        <v>Retail</v>
      </c>
      <c r="O311" t="str">
        <f>IFERROR(VLOOKUP(E311,Sales_Reps!$A:$C,3,FALSE()),"")</f>
        <v/>
      </c>
      <c r="P311">
        <f>IFERROR(VLOOKUP(C311,Customers!$A:$C,3,FALSE()),"")</f>
        <v>35</v>
      </c>
      <c r="Q311" t="str">
        <f t="shared" si="4"/>
        <v>Jan-24</v>
      </c>
      <c r="R311">
        <f>IFERROR((VLOOKUP(D311,Products!$A:$E,5,FALSE())-VLOOKUP(D311,Products!$A:$E,4,FALSE()))/VLOOKUP(D311,Products!$A:$E,5,FALSE()),"")</f>
        <v>0.48007246376811596</v>
      </c>
    </row>
    <row r="312" spans="1:18" x14ac:dyDescent="0.3">
      <c r="A312" s="22" t="s">
        <v>984</v>
      </c>
      <c r="B312" s="23">
        <v>45368</v>
      </c>
      <c r="C312" s="22" t="s">
        <v>411</v>
      </c>
      <c r="D312" s="22" t="s">
        <v>308</v>
      </c>
      <c r="E312" s="22" t="s">
        <v>985</v>
      </c>
      <c r="F312" s="24">
        <v>8</v>
      </c>
      <c r="G312" s="24">
        <v>1540</v>
      </c>
      <c r="H312" s="24">
        <v>29.4</v>
      </c>
      <c r="I312" s="24">
        <v>8697.92</v>
      </c>
      <c r="J312" s="22" t="s">
        <v>159</v>
      </c>
      <c r="K312" s="22" t="s">
        <v>151</v>
      </c>
      <c r="L312" t="str">
        <f>VLOOKUP(D312,Products!A:F,3,FALSE())</f>
        <v>Beauty</v>
      </c>
      <c r="M312" t="str">
        <f>VLOOKUP(C312,Customers!A:F,5,FALSE())</f>
        <v>SMB</v>
      </c>
      <c r="O312" t="str">
        <f>IFERROR(VLOOKUP(E312,Sales_Reps!$A:$C,3,FALSE()),"")</f>
        <v/>
      </c>
      <c r="P312">
        <f>IFERROR(VLOOKUP(C312,Customers!$A:$C,3,FALSE()),"")</f>
        <v>65</v>
      </c>
      <c r="Q312" t="str">
        <f t="shared" si="4"/>
        <v>Mar-24</v>
      </c>
      <c r="R312">
        <f>IFERROR((VLOOKUP(D312,Products!$A:$E,5,FALSE())-VLOOKUP(D312,Products!$A:$E,4,FALSE()))/VLOOKUP(D312,Products!$A:$E,5,FALSE()),"")</f>
        <v>0.57987012987012987</v>
      </c>
    </row>
    <row r="313" spans="1:18" x14ac:dyDescent="0.3">
      <c r="A313" s="22" t="s">
        <v>986</v>
      </c>
      <c r="B313" s="23">
        <v>45374</v>
      </c>
      <c r="C313" s="22" t="s">
        <v>987</v>
      </c>
      <c r="D313" s="22" t="s">
        <v>212</v>
      </c>
      <c r="E313" s="22" t="s">
        <v>988</v>
      </c>
      <c r="F313" s="24">
        <v>1</v>
      </c>
      <c r="G313" s="24">
        <v>4880</v>
      </c>
      <c r="H313" s="24">
        <v>18.100000000000001</v>
      </c>
      <c r="I313" s="24">
        <v>3996.72</v>
      </c>
      <c r="J313" s="22" t="s">
        <v>104</v>
      </c>
      <c r="K313" s="22" t="s">
        <v>151</v>
      </c>
      <c r="L313" t="str">
        <f>VLOOKUP(D313,Products!A:F,3,FALSE())</f>
        <v>Beauty</v>
      </c>
      <c r="M313" t="str">
        <f>VLOOKUP(C313,Customers!A:F,5,FALSE())</f>
        <v>Retail</v>
      </c>
      <c r="O313" t="str">
        <f>IFERROR(VLOOKUP(E313,Sales_Reps!$A:$C,3,FALSE()),"")</f>
        <v/>
      </c>
      <c r="P313">
        <f>IFERROR(VLOOKUP(C313,Customers!$A:$C,3,FALSE()),"")</f>
        <v>28</v>
      </c>
      <c r="Q313" t="str">
        <f t="shared" si="4"/>
        <v>Mar-24</v>
      </c>
      <c r="R313">
        <f>IFERROR((VLOOKUP(D313,Products!$A:$E,5,FALSE())-VLOOKUP(D313,Products!$A:$E,4,FALSE()))/VLOOKUP(D313,Products!$A:$E,5,FALSE()),"")</f>
        <v>0.43278688524590164</v>
      </c>
    </row>
    <row r="314" spans="1:18" x14ac:dyDescent="0.3">
      <c r="A314" s="22" t="s">
        <v>989</v>
      </c>
      <c r="B314" s="23">
        <v>45592</v>
      </c>
      <c r="C314" s="22" t="s">
        <v>640</v>
      </c>
      <c r="D314" s="22" t="s">
        <v>149</v>
      </c>
      <c r="E314" s="22" t="s">
        <v>990</v>
      </c>
      <c r="F314" s="24">
        <v>8</v>
      </c>
      <c r="G314" s="24">
        <v>2270</v>
      </c>
      <c r="H314" s="24">
        <v>19.8</v>
      </c>
      <c r="I314" s="24">
        <v>14564.32</v>
      </c>
      <c r="J314" s="22" t="s">
        <v>110</v>
      </c>
      <c r="K314" s="22" t="s">
        <v>151</v>
      </c>
      <c r="L314" t="str">
        <f>VLOOKUP(D314,Products!A:F,3,FALSE())</f>
        <v>Grocery</v>
      </c>
      <c r="M314" t="str">
        <f>VLOOKUP(C314,Customers!A:F,5,FALSE())</f>
        <v>Corporate</v>
      </c>
      <c r="O314" t="str">
        <f>IFERROR(VLOOKUP(E314,Sales_Reps!$A:$C,3,FALSE()),"")</f>
        <v/>
      </c>
      <c r="P314">
        <f>IFERROR(VLOOKUP(C314,Customers!$A:$C,3,FALSE()),"")</f>
        <v>52</v>
      </c>
      <c r="Q314" t="str">
        <f t="shared" si="4"/>
        <v>Oct-24</v>
      </c>
      <c r="R314">
        <f>IFERROR((VLOOKUP(D314,Products!$A:$E,5,FALSE())-VLOOKUP(D314,Products!$A:$E,4,FALSE()))/VLOOKUP(D314,Products!$A:$E,5,FALSE()),"")</f>
        <v>0.47004405286343615</v>
      </c>
    </row>
    <row r="315" spans="1:18" x14ac:dyDescent="0.3">
      <c r="A315" s="22" t="s">
        <v>991</v>
      </c>
      <c r="B315" s="23">
        <v>45508</v>
      </c>
      <c r="C315" s="22" t="s">
        <v>858</v>
      </c>
      <c r="D315" s="22" t="s">
        <v>190</v>
      </c>
      <c r="E315" s="22" t="s">
        <v>992</v>
      </c>
      <c r="F315" s="24">
        <v>10</v>
      </c>
      <c r="G315" s="24">
        <v>2480</v>
      </c>
      <c r="H315" s="24">
        <v>24.4</v>
      </c>
      <c r="I315" s="24">
        <v>18748.8</v>
      </c>
      <c r="J315" s="22" t="s">
        <v>110</v>
      </c>
      <c r="K315" s="22" t="s">
        <v>129</v>
      </c>
      <c r="L315" t="str">
        <f>VLOOKUP(D315,Products!A:F,3,FALSE())</f>
        <v>Apparel</v>
      </c>
      <c r="M315" t="str">
        <f>VLOOKUP(C315,Customers!A:F,5,FALSE())</f>
        <v>Retail</v>
      </c>
      <c r="O315" t="str">
        <f>IFERROR(VLOOKUP(E315,Sales_Reps!$A:$C,3,FALSE()),"")</f>
        <v/>
      </c>
      <c r="P315">
        <f>IFERROR(VLOOKUP(C315,Customers!$A:$C,3,FALSE()),"")</f>
        <v>53</v>
      </c>
      <c r="Q315" t="str">
        <f t="shared" si="4"/>
        <v>Aug-24</v>
      </c>
      <c r="R315">
        <f>IFERROR((VLOOKUP(D315,Products!$A:$E,5,FALSE())-VLOOKUP(D315,Products!$A:$E,4,FALSE()))/VLOOKUP(D315,Products!$A:$E,5,FALSE()),"")</f>
        <v>0.52701612903225803</v>
      </c>
    </row>
    <row r="316" spans="1:18" x14ac:dyDescent="0.3">
      <c r="A316" s="22" t="s">
        <v>993</v>
      </c>
      <c r="B316" s="23">
        <v>45481</v>
      </c>
      <c r="C316" s="22" t="s">
        <v>148</v>
      </c>
      <c r="D316" s="22" t="s">
        <v>330</v>
      </c>
      <c r="E316" s="22" t="s">
        <v>994</v>
      </c>
      <c r="F316" s="24">
        <v>8</v>
      </c>
      <c r="G316" s="24">
        <v>3020</v>
      </c>
      <c r="H316" s="24">
        <v>15.2</v>
      </c>
      <c r="I316" s="24">
        <v>20487.68</v>
      </c>
      <c r="J316" s="22" t="s">
        <v>110</v>
      </c>
      <c r="K316" s="22" t="s">
        <v>151</v>
      </c>
      <c r="L316" t="str">
        <f>VLOOKUP(D316,Products!A:F,3,FALSE())</f>
        <v>Beauty</v>
      </c>
      <c r="M316" t="str">
        <f>VLOOKUP(C316,Customers!A:F,5,FALSE())</f>
        <v>Retail</v>
      </c>
      <c r="O316" t="str">
        <f>IFERROR(VLOOKUP(E316,Sales_Reps!$A:$C,3,FALSE()),"")</f>
        <v/>
      </c>
      <c r="P316">
        <f>IFERROR(VLOOKUP(C316,Customers!$A:$C,3,FALSE()),"")</f>
        <v>60</v>
      </c>
      <c r="Q316" t="str">
        <f t="shared" si="4"/>
        <v>Jul-24</v>
      </c>
      <c r="R316">
        <f>IFERROR((VLOOKUP(D316,Products!$A:$E,5,FALSE())-VLOOKUP(D316,Products!$A:$E,4,FALSE()))/VLOOKUP(D316,Products!$A:$E,5,FALSE()),"")</f>
        <v>0.46158940397350995</v>
      </c>
    </row>
    <row r="317" spans="1:18" x14ac:dyDescent="0.3">
      <c r="A317" s="22" t="s">
        <v>995</v>
      </c>
      <c r="B317" s="23">
        <v>45517</v>
      </c>
      <c r="C317" s="22" t="s">
        <v>403</v>
      </c>
      <c r="D317" s="22" t="s">
        <v>308</v>
      </c>
      <c r="E317" s="22" t="s">
        <v>996</v>
      </c>
      <c r="F317" s="24">
        <v>10</v>
      </c>
      <c r="G317" s="24">
        <v>1540</v>
      </c>
      <c r="H317" s="24">
        <v>0.6</v>
      </c>
      <c r="I317" s="24">
        <v>15307.6</v>
      </c>
      <c r="J317" s="22" t="s">
        <v>104</v>
      </c>
      <c r="K317" s="22" t="s">
        <v>111</v>
      </c>
      <c r="L317" t="str">
        <f>VLOOKUP(D317,Products!A:F,3,FALSE())</f>
        <v>Beauty</v>
      </c>
      <c r="M317" t="str">
        <f>VLOOKUP(C317,Customers!A:F,5,FALSE())</f>
        <v>Retail</v>
      </c>
      <c r="O317" t="str">
        <f>IFERROR(VLOOKUP(E317,Sales_Reps!$A:$C,3,FALSE()),"")</f>
        <v/>
      </c>
      <c r="P317">
        <f>IFERROR(VLOOKUP(C317,Customers!$A:$C,3,FALSE()),"")</f>
        <v>28</v>
      </c>
      <c r="Q317" t="str">
        <f t="shared" si="4"/>
        <v>Aug-24</v>
      </c>
      <c r="R317">
        <f>IFERROR((VLOOKUP(D317,Products!$A:$E,5,FALSE())-VLOOKUP(D317,Products!$A:$E,4,FALSE()))/VLOOKUP(D317,Products!$A:$E,5,FALSE()),"")</f>
        <v>0.57987012987012987</v>
      </c>
    </row>
    <row r="318" spans="1:18" x14ac:dyDescent="0.3">
      <c r="A318" s="22" t="s">
        <v>997</v>
      </c>
      <c r="B318" s="23">
        <v>45632</v>
      </c>
      <c r="C318" s="22" t="s">
        <v>653</v>
      </c>
      <c r="D318" s="22" t="s">
        <v>123</v>
      </c>
      <c r="E318" s="22" t="s">
        <v>998</v>
      </c>
      <c r="F318" s="24">
        <v>7</v>
      </c>
      <c r="G318" s="24">
        <v>3160</v>
      </c>
      <c r="H318" s="24">
        <v>8.9</v>
      </c>
      <c r="I318" s="24">
        <v>20151.32</v>
      </c>
      <c r="J318" s="22" t="s">
        <v>104</v>
      </c>
      <c r="K318" s="22" t="s">
        <v>116</v>
      </c>
      <c r="L318" t="str">
        <f>VLOOKUP(D318,Products!A:F,3,FALSE())</f>
        <v>Apparel</v>
      </c>
      <c r="M318" t="str">
        <f>VLOOKUP(C318,Customers!A:F,5,FALSE())</f>
        <v>Retail</v>
      </c>
      <c r="O318" t="str">
        <f>IFERROR(VLOOKUP(E318,Sales_Reps!$A:$C,3,FALSE()),"")</f>
        <v/>
      </c>
      <c r="P318">
        <f>IFERROR(VLOOKUP(C318,Customers!$A:$C,3,FALSE()),"")</f>
        <v>59</v>
      </c>
      <c r="Q318" t="str">
        <f t="shared" si="4"/>
        <v>Dec-24</v>
      </c>
      <c r="R318">
        <f>IFERROR((VLOOKUP(D318,Products!$A:$E,5,FALSE())-VLOOKUP(D318,Products!$A:$E,4,FALSE()))/VLOOKUP(D318,Products!$A:$E,5,FALSE()),"")</f>
        <v>0.4031645569620253</v>
      </c>
    </row>
    <row r="319" spans="1:18" x14ac:dyDescent="0.3">
      <c r="A319" s="22" t="s">
        <v>999</v>
      </c>
      <c r="B319" s="23">
        <v>45592</v>
      </c>
      <c r="C319" s="22" t="s">
        <v>243</v>
      </c>
      <c r="D319" s="22" t="s">
        <v>209</v>
      </c>
      <c r="E319" s="22" t="s">
        <v>1000</v>
      </c>
      <c r="F319" s="24">
        <v>6</v>
      </c>
      <c r="G319" s="24">
        <v>1010</v>
      </c>
      <c r="H319" s="24">
        <v>12.9</v>
      </c>
      <c r="I319" s="24">
        <v>5278.26</v>
      </c>
      <c r="J319" s="22" t="s">
        <v>104</v>
      </c>
      <c r="K319" s="22" t="s">
        <v>116</v>
      </c>
      <c r="L319" t="str">
        <f>VLOOKUP(D319,Products!A:F,3,FALSE())</f>
        <v>Sports</v>
      </c>
      <c r="M319" t="str">
        <f>VLOOKUP(C319,Customers!A:F,5,FALSE())</f>
        <v>Retail</v>
      </c>
      <c r="O319" t="str">
        <f>IFERROR(VLOOKUP(E319,Sales_Reps!$A:$C,3,FALSE()),"")</f>
        <v/>
      </c>
      <c r="P319">
        <f>IFERROR(VLOOKUP(C319,Customers!$A:$C,3,FALSE()),"")</f>
        <v>41</v>
      </c>
      <c r="Q319" t="str">
        <f t="shared" si="4"/>
        <v>Oct-24</v>
      </c>
      <c r="R319">
        <f>IFERROR((VLOOKUP(D319,Products!$A:$E,5,FALSE())-VLOOKUP(D319,Products!$A:$E,4,FALSE()))/VLOOKUP(D319,Products!$A:$E,5,FALSE()),"")</f>
        <v>0.4891089108910891</v>
      </c>
    </row>
    <row r="320" spans="1:18" x14ac:dyDescent="0.3">
      <c r="A320" s="22" t="s">
        <v>1001</v>
      </c>
      <c r="B320" s="23">
        <v>45450</v>
      </c>
      <c r="C320" s="22" t="s">
        <v>1002</v>
      </c>
      <c r="D320" s="22" t="s">
        <v>323</v>
      </c>
      <c r="E320" s="22" t="s">
        <v>1003</v>
      </c>
      <c r="F320" s="24">
        <v>4</v>
      </c>
      <c r="G320" s="24">
        <v>4610</v>
      </c>
      <c r="H320" s="24">
        <v>18.2</v>
      </c>
      <c r="I320" s="24">
        <v>15083.92</v>
      </c>
      <c r="J320" s="22" t="s">
        <v>104</v>
      </c>
      <c r="K320" s="22" t="s">
        <v>151</v>
      </c>
      <c r="L320" t="str">
        <f>VLOOKUP(D320,Products!A:F,3,FALSE())</f>
        <v>Home</v>
      </c>
      <c r="M320" t="str">
        <f>VLOOKUP(C320,Customers!A:F,5,FALSE())</f>
        <v>Retail</v>
      </c>
      <c r="O320" t="str">
        <f>IFERROR(VLOOKUP(E320,Sales_Reps!$A:$C,3,FALSE()),"")</f>
        <v/>
      </c>
      <c r="P320">
        <f>IFERROR(VLOOKUP(C320,Customers!$A:$C,3,FALSE()),"")</f>
        <v>65</v>
      </c>
      <c r="Q320" t="str">
        <f t="shared" si="4"/>
        <v>Jun-24</v>
      </c>
      <c r="R320">
        <f>IFERROR((VLOOKUP(D320,Products!$A:$E,5,FALSE())-VLOOKUP(D320,Products!$A:$E,4,FALSE()))/VLOOKUP(D320,Products!$A:$E,5,FALSE()),"")</f>
        <v>0.59869848156182215</v>
      </c>
    </row>
    <row r="321" spans="1:18" x14ac:dyDescent="0.3">
      <c r="A321" s="22" t="s">
        <v>1004</v>
      </c>
      <c r="B321" s="23">
        <v>45343</v>
      </c>
      <c r="C321" s="22" t="s">
        <v>314</v>
      </c>
      <c r="D321" s="22" t="s">
        <v>436</v>
      </c>
      <c r="E321" s="22" t="s">
        <v>1005</v>
      </c>
      <c r="F321" s="24">
        <v>6</v>
      </c>
      <c r="G321" s="24">
        <v>4060</v>
      </c>
      <c r="H321" s="24">
        <v>24.3</v>
      </c>
      <c r="I321" s="24">
        <v>18440.52</v>
      </c>
      <c r="J321" s="22" t="s">
        <v>104</v>
      </c>
      <c r="K321" s="22" t="s">
        <v>151</v>
      </c>
      <c r="L321" t="str">
        <f>VLOOKUP(D321,Products!A:F,3,FALSE())</f>
        <v>Grocery</v>
      </c>
      <c r="M321" t="str">
        <f>VLOOKUP(C321,Customers!A:F,5,FALSE())</f>
        <v>Retail</v>
      </c>
      <c r="O321" t="str">
        <f>IFERROR(VLOOKUP(E321,Sales_Reps!$A:$C,3,FALSE()),"")</f>
        <v/>
      </c>
      <c r="P321">
        <f>IFERROR(VLOOKUP(C321,Customers!$A:$C,3,FALSE()),"")</f>
        <v>53</v>
      </c>
      <c r="Q321" t="str">
        <f t="shared" si="4"/>
        <v>Feb-24</v>
      </c>
      <c r="R321">
        <f>IFERROR((VLOOKUP(D321,Products!$A:$E,5,FALSE())-VLOOKUP(D321,Products!$A:$E,4,FALSE()))/VLOOKUP(D321,Products!$A:$E,5,FALSE()),"")</f>
        <v>0.28300492610837441</v>
      </c>
    </row>
    <row r="322" spans="1:18" x14ac:dyDescent="0.3">
      <c r="A322" s="22" t="s">
        <v>1006</v>
      </c>
      <c r="B322" s="23">
        <v>45509</v>
      </c>
      <c r="C322" s="22" t="s">
        <v>1007</v>
      </c>
      <c r="D322" s="22" t="s">
        <v>352</v>
      </c>
      <c r="E322" s="22" t="s">
        <v>1008</v>
      </c>
      <c r="F322" s="24">
        <v>5</v>
      </c>
      <c r="G322" s="24">
        <v>620</v>
      </c>
      <c r="H322" s="24">
        <v>10.7</v>
      </c>
      <c r="I322" s="24">
        <v>2768.3</v>
      </c>
      <c r="J322" s="22" t="s">
        <v>164</v>
      </c>
      <c r="K322" s="22" t="s">
        <v>111</v>
      </c>
      <c r="L322" t="str">
        <f>VLOOKUP(D322,Products!A:F,3,FALSE())</f>
        <v>Apparel</v>
      </c>
      <c r="M322" t="str">
        <f>VLOOKUP(C322,Customers!A:F,5,FALSE())</f>
        <v>SMB</v>
      </c>
      <c r="O322" t="str">
        <f>IFERROR(VLOOKUP(E322,Sales_Reps!$A:$C,3,FALSE()),"")</f>
        <v/>
      </c>
      <c r="P322">
        <f>IFERROR(VLOOKUP(C322,Customers!$A:$C,3,FALSE()),"")</f>
        <v>46</v>
      </c>
      <c r="Q322" t="str">
        <f t="shared" ref="Q322:Q385" si="5">TEXT(B322,"mmm-yy")</f>
        <v>Aug-24</v>
      </c>
      <c r="R322">
        <f>IFERROR((VLOOKUP(D322,Products!$A:$E,5,FALSE())-VLOOKUP(D322,Products!$A:$E,4,FALSE()))/VLOOKUP(D322,Products!$A:$E,5,FALSE()),"")</f>
        <v>0.36129032258064514</v>
      </c>
    </row>
    <row r="323" spans="1:18" x14ac:dyDescent="0.3">
      <c r="A323" s="22" t="s">
        <v>1009</v>
      </c>
      <c r="B323" s="23">
        <v>45513</v>
      </c>
      <c r="C323" s="22" t="s">
        <v>594</v>
      </c>
      <c r="D323" s="22" t="s">
        <v>935</v>
      </c>
      <c r="E323" s="22" t="s">
        <v>1010</v>
      </c>
      <c r="F323" s="24">
        <v>3</v>
      </c>
      <c r="G323" s="24">
        <v>3560</v>
      </c>
      <c r="H323" s="24">
        <v>4.0999999999999996</v>
      </c>
      <c r="I323" s="24">
        <v>10242.120000000001</v>
      </c>
      <c r="J323" s="22" t="s">
        <v>104</v>
      </c>
      <c r="K323" s="22" t="s">
        <v>151</v>
      </c>
      <c r="L323" t="str">
        <f>VLOOKUP(D323,Products!A:F,3,FALSE())</f>
        <v>Apparel</v>
      </c>
      <c r="M323" t="str">
        <f>VLOOKUP(C323,Customers!A:F,5,FALSE())</f>
        <v>Corporate</v>
      </c>
      <c r="O323" t="str">
        <f>IFERROR(VLOOKUP(E323,Sales_Reps!$A:$C,3,FALSE()),"")</f>
        <v/>
      </c>
      <c r="P323">
        <f>IFERROR(VLOOKUP(C323,Customers!$A:$C,3,FALSE()),"")</f>
        <v>43</v>
      </c>
      <c r="Q323" t="str">
        <f t="shared" si="5"/>
        <v>Aug-24</v>
      </c>
      <c r="R323">
        <f>IFERROR((VLOOKUP(D323,Products!$A:$E,5,FALSE())-VLOOKUP(D323,Products!$A:$E,4,FALSE()))/VLOOKUP(D323,Products!$A:$E,5,FALSE()),"")</f>
        <v>0.26151685393258428</v>
      </c>
    </row>
    <row r="324" spans="1:18" x14ac:dyDescent="0.3">
      <c r="A324" s="22" t="s">
        <v>1011</v>
      </c>
      <c r="B324" s="23">
        <v>45500</v>
      </c>
      <c r="C324" s="22" t="s">
        <v>1012</v>
      </c>
      <c r="D324" s="22" t="s">
        <v>171</v>
      </c>
      <c r="E324" s="22" t="s">
        <v>1013</v>
      </c>
      <c r="F324" s="24">
        <v>2</v>
      </c>
      <c r="G324" s="24">
        <v>2400</v>
      </c>
      <c r="H324" s="24">
        <v>13</v>
      </c>
      <c r="I324" s="24">
        <v>4176</v>
      </c>
      <c r="J324" s="22" t="s">
        <v>104</v>
      </c>
      <c r="K324" s="22" t="s">
        <v>105</v>
      </c>
      <c r="L324" t="str">
        <f>VLOOKUP(D324,Products!A:F,3,FALSE())</f>
        <v>Sports</v>
      </c>
      <c r="M324" t="str">
        <f>VLOOKUP(C324,Customers!A:F,5,FALSE())</f>
        <v>Corporate</v>
      </c>
      <c r="O324" t="str">
        <f>IFERROR(VLOOKUP(E324,Sales_Reps!$A:$C,3,FALSE()),"")</f>
        <v/>
      </c>
      <c r="P324">
        <f>IFERROR(VLOOKUP(C324,Customers!$A:$C,3,FALSE()),"")</f>
        <v>52</v>
      </c>
      <c r="Q324" t="str">
        <f t="shared" si="5"/>
        <v>Jul-24</v>
      </c>
      <c r="R324">
        <f>IFERROR((VLOOKUP(D324,Products!$A:$E,5,FALSE())-VLOOKUP(D324,Products!$A:$E,4,FALSE()))/VLOOKUP(D324,Products!$A:$E,5,FALSE()),"")</f>
        <v>0.59416666666666662</v>
      </c>
    </row>
    <row r="325" spans="1:18" x14ac:dyDescent="0.3">
      <c r="A325" s="22" t="s">
        <v>1014</v>
      </c>
      <c r="B325" s="23">
        <v>45407</v>
      </c>
      <c r="C325" s="22" t="s">
        <v>1015</v>
      </c>
      <c r="D325" s="22" t="s">
        <v>695</v>
      </c>
      <c r="E325" s="22" t="s">
        <v>1016</v>
      </c>
      <c r="F325" s="24">
        <v>9</v>
      </c>
      <c r="G325" s="24">
        <v>6940</v>
      </c>
      <c r="H325" s="24">
        <v>26.2</v>
      </c>
      <c r="I325" s="24">
        <v>46095.48</v>
      </c>
      <c r="J325" s="22" t="s">
        <v>104</v>
      </c>
      <c r="K325" s="22" t="s">
        <v>116</v>
      </c>
      <c r="L325" t="str">
        <f>VLOOKUP(D325,Products!A:F,3,FALSE())</f>
        <v>Sports</v>
      </c>
      <c r="M325" t="str">
        <f>VLOOKUP(C325,Customers!A:F,5,FALSE())</f>
        <v>Retail</v>
      </c>
      <c r="O325" t="str">
        <f>IFERROR(VLOOKUP(E325,Sales_Reps!$A:$C,3,FALSE()),"")</f>
        <v/>
      </c>
      <c r="P325">
        <f>IFERROR(VLOOKUP(C325,Customers!$A:$C,3,FALSE()),"")</f>
        <v>53</v>
      </c>
      <c r="Q325" t="str">
        <f t="shared" si="5"/>
        <v>Apr-24</v>
      </c>
      <c r="R325">
        <f>IFERROR((VLOOKUP(D325,Products!$A:$E,5,FALSE())-VLOOKUP(D325,Products!$A:$E,4,FALSE()))/VLOOKUP(D325,Products!$A:$E,5,FALSE()),"")</f>
        <v>0.5926512968299712</v>
      </c>
    </row>
    <row r="326" spans="1:18" x14ac:dyDescent="0.3">
      <c r="A326" s="22" t="s">
        <v>1017</v>
      </c>
      <c r="B326" s="23">
        <v>45385</v>
      </c>
      <c r="C326" s="22" t="s">
        <v>1018</v>
      </c>
      <c r="D326" s="22" t="s">
        <v>459</v>
      </c>
      <c r="E326" s="22" t="s">
        <v>1019</v>
      </c>
      <c r="F326" s="24">
        <v>9</v>
      </c>
      <c r="G326" s="24">
        <v>2380</v>
      </c>
      <c r="H326" s="24">
        <v>22.7</v>
      </c>
      <c r="I326" s="24">
        <v>16557.66</v>
      </c>
      <c r="J326" s="22" t="s">
        <v>104</v>
      </c>
      <c r="K326" s="22" t="s">
        <v>129</v>
      </c>
      <c r="L326" t="str">
        <f>VLOOKUP(D326,Products!A:F,3,FALSE())</f>
        <v>Grocery</v>
      </c>
      <c r="M326" t="str">
        <f>VLOOKUP(C326,Customers!A:F,5,FALSE())</f>
        <v>Retail</v>
      </c>
      <c r="O326" t="str">
        <f>IFERROR(VLOOKUP(E326,Sales_Reps!$A:$C,3,FALSE()),"")</f>
        <v/>
      </c>
      <c r="P326">
        <f>IFERROR(VLOOKUP(C326,Customers!$A:$C,3,FALSE()),"")</f>
        <v>33</v>
      </c>
      <c r="Q326" t="str">
        <f t="shared" si="5"/>
        <v>Apr-24</v>
      </c>
      <c r="R326">
        <f>IFERROR((VLOOKUP(D326,Products!$A:$E,5,FALSE())-VLOOKUP(D326,Products!$A:$E,4,FALSE()))/VLOOKUP(D326,Products!$A:$E,5,FALSE()),"")</f>
        <v>0.50336134453781511</v>
      </c>
    </row>
    <row r="327" spans="1:18" x14ac:dyDescent="0.3">
      <c r="A327" s="22" t="s">
        <v>1020</v>
      </c>
      <c r="B327" s="23">
        <v>45542</v>
      </c>
      <c r="C327" s="22" t="s">
        <v>318</v>
      </c>
      <c r="D327" s="22" t="s">
        <v>102</v>
      </c>
      <c r="E327" s="22" t="s">
        <v>1021</v>
      </c>
      <c r="F327" s="24">
        <v>6</v>
      </c>
      <c r="G327" s="24">
        <v>3620</v>
      </c>
      <c r="H327" s="24">
        <v>9.1999999999999993</v>
      </c>
      <c r="I327" s="24">
        <v>19721.759999999998</v>
      </c>
      <c r="J327" s="22" t="s">
        <v>104</v>
      </c>
      <c r="K327" s="22" t="s">
        <v>116</v>
      </c>
      <c r="L327" t="str">
        <f>VLOOKUP(D327,Products!A:F,3,FALSE())</f>
        <v>Apparel</v>
      </c>
      <c r="M327" t="str">
        <f>VLOOKUP(C327,Customers!A:F,5,FALSE())</f>
        <v>Corporate</v>
      </c>
      <c r="O327" t="str">
        <f>IFERROR(VLOOKUP(E327,Sales_Reps!$A:$C,3,FALSE()),"")</f>
        <v/>
      </c>
      <c r="P327">
        <f>IFERROR(VLOOKUP(C327,Customers!$A:$C,3,FALSE()),"")</f>
        <v>55</v>
      </c>
      <c r="Q327" t="str">
        <f t="shared" si="5"/>
        <v>Sep-24</v>
      </c>
      <c r="R327">
        <f>IFERROR((VLOOKUP(D327,Products!$A:$E,5,FALSE())-VLOOKUP(D327,Products!$A:$E,4,FALSE()))/VLOOKUP(D327,Products!$A:$E,5,FALSE()),"")</f>
        <v>0.3069060773480663</v>
      </c>
    </row>
    <row r="328" spans="1:18" x14ac:dyDescent="0.3">
      <c r="A328" s="22" t="s">
        <v>1022</v>
      </c>
      <c r="B328" s="23">
        <v>45422</v>
      </c>
      <c r="C328" s="22" t="s">
        <v>594</v>
      </c>
      <c r="D328" s="22" t="s">
        <v>283</v>
      </c>
      <c r="E328" s="22" t="s">
        <v>1023</v>
      </c>
      <c r="F328" s="24">
        <v>1</v>
      </c>
      <c r="G328" s="24">
        <v>6080</v>
      </c>
      <c r="H328" s="24">
        <v>29.4</v>
      </c>
      <c r="I328" s="24">
        <v>4292.4799999999996</v>
      </c>
      <c r="J328" s="22" t="s">
        <v>159</v>
      </c>
      <c r="K328" s="22" t="s">
        <v>151</v>
      </c>
      <c r="L328" t="str">
        <f>VLOOKUP(D328,Products!A:F,3,FALSE())</f>
        <v>Beauty</v>
      </c>
      <c r="M328" t="str">
        <f>VLOOKUP(C328,Customers!A:F,5,FALSE())</f>
        <v>Corporate</v>
      </c>
      <c r="O328" t="str">
        <f>IFERROR(VLOOKUP(E328,Sales_Reps!$A:$C,3,FALSE()),"")</f>
        <v/>
      </c>
      <c r="P328">
        <f>IFERROR(VLOOKUP(C328,Customers!$A:$C,3,FALSE()),"")</f>
        <v>43</v>
      </c>
      <c r="Q328" t="str">
        <f t="shared" si="5"/>
        <v>May-24</v>
      </c>
      <c r="R328">
        <f>IFERROR((VLOOKUP(D328,Products!$A:$E,5,FALSE())-VLOOKUP(D328,Products!$A:$E,4,FALSE()))/VLOOKUP(D328,Products!$A:$E,5,FALSE()),"")</f>
        <v>0.56957236842105263</v>
      </c>
    </row>
    <row r="329" spans="1:18" x14ac:dyDescent="0.3">
      <c r="A329" s="22" t="s">
        <v>1024</v>
      </c>
      <c r="B329" s="23">
        <v>45343</v>
      </c>
      <c r="C329" s="22" t="s">
        <v>972</v>
      </c>
      <c r="D329" s="22" t="s">
        <v>108</v>
      </c>
      <c r="E329" s="22" t="s">
        <v>1025</v>
      </c>
      <c r="F329" s="24">
        <v>6</v>
      </c>
      <c r="G329" s="24">
        <v>820</v>
      </c>
      <c r="H329" s="24">
        <v>29.1</v>
      </c>
      <c r="I329" s="24">
        <v>3488.28</v>
      </c>
      <c r="J329" s="22" t="s">
        <v>104</v>
      </c>
      <c r="K329" s="22" t="s">
        <v>111</v>
      </c>
      <c r="L329" t="str">
        <f>VLOOKUP(D329,Products!A:F,3,FALSE())</f>
        <v>Apparel</v>
      </c>
      <c r="M329" t="str">
        <f>VLOOKUP(C329,Customers!A:F,5,FALSE())</f>
        <v>Retail</v>
      </c>
      <c r="O329" t="str">
        <f>IFERROR(VLOOKUP(E329,Sales_Reps!$A:$C,3,FALSE()),"")</f>
        <v/>
      </c>
      <c r="P329">
        <f>IFERROR(VLOOKUP(C329,Customers!$A:$C,3,FALSE()),"")</f>
        <v>26</v>
      </c>
      <c r="Q329" t="str">
        <f t="shared" si="5"/>
        <v>Feb-24</v>
      </c>
      <c r="R329">
        <f>IFERROR((VLOOKUP(D329,Products!$A:$E,5,FALSE())-VLOOKUP(D329,Products!$A:$E,4,FALSE()))/VLOOKUP(D329,Products!$A:$E,5,FALSE()),"")</f>
        <v>0.52317073170731709</v>
      </c>
    </row>
    <row r="330" spans="1:18" x14ac:dyDescent="0.3">
      <c r="A330" s="22" t="s">
        <v>1026</v>
      </c>
      <c r="B330" s="23">
        <v>45646</v>
      </c>
      <c r="C330" s="22" t="s">
        <v>1027</v>
      </c>
      <c r="D330" s="22" t="s">
        <v>330</v>
      </c>
      <c r="E330" s="22" t="s">
        <v>1028</v>
      </c>
      <c r="F330" s="24">
        <v>9</v>
      </c>
      <c r="G330" s="24">
        <v>3020</v>
      </c>
      <c r="H330" s="24">
        <v>7.9</v>
      </c>
      <c r="I330" s="24">
        <v>25032.78</v>
      </c>
      <c r="J330" s="22" t="s">
        <v>104</v>
      </c>
      <c r="K330" s="22" t="s">
        <v>129</v>
      </c>
      <c r="L330" t="str">
        <f>VLOOKUP(D330,Products!A:F,3,FALSE())</f>
        <v>Beauty</v>
      </c>
      <c r="M330" t="str">
        <f>VLOOKUP(C330,Customers!A:F,5,FALSE())</f>
        <v>Corporate</v>
      </c>
      <c r="O330" t="str">
        <f>IFERROR(VLOOKUP(E330,Sales_Reps!$A:$C,3,FALSE()),"")</f>
        <v/>
      </c>
      <c r="P330">
        <f>IFERROR(VLOOKUP(C330,Customers!$A:$C,3,FALSE()),"")</f>
        <v>51</v>
      </c>
      <c r="Q330" t="str">
        <f t="shared" si="5"/>
        <v>Dec-24</v>
      </c>
      <c r="R330">
        <f>IFERROR((VLOOKUP(D330,Products!$A:$E,5,FALSE())-VLOOKUP(D330,Products!$A:$E,4,FALSE()))/VLOOKUP(D330,Products!$A:$E,5,FALSE()),"")</f>
        <v>0.46158940397350995</v>
      </c>
    </row>
    <row r="331" spans="1:18" x14ac:dyDescent="0.3">
      <c r="A331" s="22" t="s">
        <v>1029</v>
      </c>
      <c r="B331" s="23">
        <v>45645</v>
      </c>
      <c r="C331" s="22" t="s">
        <v>1030</v>
      </c>
      <c r="D331" s="22" t="s">
        <v>293</v>
      </c>
      <c r="E331" s="22" t="s">
        <v>1031</v>
      </c>
      <c r="F331" s="24">
        <v>8</v>
      </c>
      <c r="G331" s="24">
        <v>3870</v>
      </c>
      <c r="H331" s="24">
        <v>11.9</v>
      </c>
      <c r="I331" s="24">
        <v>27275.759999999998</v>
      </c>
      <c r="J331" s="22" t="s">
        <v>104</v>
      </c>
      <c r="K331" s="22" t="s">
        <v>116</v>
      </c>
      <c r="L331" t="str">
        <f>VLOOKUP(D331,Products!A:F,3,FALSE())</f>
        <v>Electronics</v>
      </c>
      <c r="M331" t="str">
        <f>VLOOKUP(C331,Customers!A:F,5,FALSE())</f>
        <v>Retail</v>
      </c>
      <c r="O331" t="str">
        <f>IFERROR(VLOOKUP(E331,Sales_Reps!$A:$C,3,FALSE()),"")</f>
        <v/>
      </c>
      <c r="P331">
        <f>IFERROR(VLOOKUP(C331,Customers!$A:$C,3,FALSE()),"")</f>
        <v>24</v>
      </c>
      <c r="Q331" t="str">
        <f t="shared" si="5"/>
        <v>Dec-24</v>
      </c>
      <c r="R331">
        <f>IFERROR((VLOOKUP(D331,Products!$A:$E,5,FALSE())-VLOOKUP(D331,Products!$A:$E,4,FALSE()))/VLOOKUP(D331,Products!$A:$E,5,FALSE()),"")</f>
        <v>0.59715762273901807</v>
      </c>
    </row>
    <row r="332" spans="1:18" x14ac:dyDescent="0.3">
      <c r="A332" s="22" t="s">
        <v>1032</v>
      </c>
      <c r="B332" s="23">
        <v>45528</v>
      </c>
      <c r="C332" s="22" t="s">
        <v>573</v>
      </c>
      <c r="D332" s="22" t="s">
        <v>178</v>
      </c>
      <c r="E332" s="22" t="s">
        <v>1033</v>
      </c>
      <c r="F332" s="24">
        <v>6</v>
      </c>
      <c r="G332" s="24">
        <v>3450</v>
      </c>
      <c r="H332" s="24">
        <v>13.9</v>
      </c>
      <c r="I332" s="24">
        <v>17822.7</v>
      </c>
      <c r="J332" s="22" t="s">
        <v>104</v>
      </c>
      <c r="K332" s="22" t="s">
        <v>105</v>
      </c>
      <c r="L332" t="str">
        <f>VLOOKUP(D332,Products!A:F,3,FALSE())</f>
        <v>Beauty</v>
      </c>
      <c r="M332" t="str">
        <f>VLOOKUP(C332,Customers!A:F,5,FALSE())</f>
        <v>SMB</v>
      </c>
      <c r="O332" t="str">
        <f>IFERROR(VLOOKUP(E332,Sales_Reps!$A:$C,3,FALSE()),"")</f>
        <v/>
      </c>
      <c r="P332">
        <f>IFERROR(VLOOKUP(C332,Customers!$A:$C,3,FALSE()),"")</f>
        <v>30</v>
      </c>
      <c r="Q332" t="str">
        <f t="shared" si="5"/>
        <v>Aug-24</v>
      </c>
      <c r="R332">
        <f>IFERROR((VLOOKUP(D332,Products!$A:$E,5,FALSE())-VLOOKUP(D332,Products!$A:$E,4,FALSE()))/VLOOKUP(D332,Products!$A:$E,5,FALSE()),"")</f>
        <v>0.29855072463768118</v>
      </c>
    </row>
    <row r="333" spans="1:18" x14ac:dyDescent="0.3">
      <c r="A333" s="22" t="s">
        <v>1034</v>
      </c>
      <c r="B333" s="23">
        <v>45655</v>
      </c>
      <c r="C333" s="22" t="s">
        <v>1035</v>
      </c>
      <c r="D333" s="22" t="s">
        <v>220</v>
      </c>
      <c r="E333" s="22" t="s">
        <v>1036</v>
      </c>
      <c r="F333" s="24">
        <v>9</v>
      </c>
      <c r="G333" s="24">
        <v>5100</v>
      </c>
      <c r="H333" s="24">
        <v>2.1</v>
      </c>
      <c r="I333" s="24">
        <v>44936.1</v>
      </c>
      <c r="J333" s="22" t="s">
        <v>104</v>
      </c>
      <c r="K333" s="22" t="s">
        <v>111</v>
      </c>
      <c r="L333" t="str">
        <f>VLOOKUP(D333,Products!A:F,3,FALSE())</f>
        <v>Beauty</v>
      </c>
      <c r="M333" t="str">
        <f>VLOOKUP(C333,Customers!A:F,5,FALSE())</f>
        <v>Retail</v>
      </c>
      <c r="O333" t="str">
        <f>IFERROR(VLOOKUP(E333,Sales_Reps!$A:$C,3,FALSE()),"")</f>
        <v/>
      </c>
      <c r="P333">
        <f>IFERROR(VLOOKUP(C333,Customers!$A:$C,3,FALSE()),"")</f>
        <v>24</v>
      </c>
      <c r="Q333" t="str">
        <f t="shared" si="5"/>
        <v>Dec-24</v>
      </c>
      <c r="R333">
        <f>IFERROR((VLOOKUP(D333,Products!$A:$E,5,FALSE())-VLOOKUP(D333,Products!$A:$E,4,FALSE()))/VLOOKUP(D333,Products!$A:$E,5,FALSE()),"")</f>
        <v>0.56137254901960787</v>
      </c>
    </row>
    <row r="334" spans="1:18" x14ac:dyDescent="0.3">
      <c r="A334" s="22" t="s">
        <v>1037</v>
      </c>
      <c r="B334" s="23">
        <v>45518</v>
      </c>
      <c r="C334" s="22" t="s">
        <v>508</v>
      </c>
      <c r="D334" s="22" t="s">
        <v>315</v>
      </c>
      <c r="E334" s="22" t="s">
        <v>1038</v>
      </c>
      <c r="F334" s="24">
        <v>2</v>
      </c>
      <c r="G334" s="24">
        <v>4070</v>
      </c>
      <c r="H334" s="24">
        <v>28.6</v>
      </c>
      <c r="I334" s="24">
        <v>5811.96</v>
      </c>
      <c r="J334" s="22" t="s">
        <v>104</v>
      </c>
      <c r="K334" s="22" t="s">
        <v>116</v>
      </c>
      <c r="L334" t="str">
        <f>VLOOKUP(D334,Products!A:F,3,FALSE())</f>
        <v>Grocery</v>
      </c>
      <c r="M334" t="str">
        <f>VLOOKUP(C334,Customers!A:F,5,FALSE())</f>
        <v>SMB</v>
      </c>
      <c r="O334" t="str">
        <f>IFERROR(VLOOKUP(E334,Sales_Reps!$A:$C,3,FALSE()),"")</f>
        <v/>
      </c>
      <c r="P334">
        <f>IFERROR(VLOOKUP(C334,Customers!$A:$C,3,FALSE()),"")</f>
        <v>53</v>
      </c>
      <c r="Q334" t="str">
        <f t="shared" si="5"/>
        <v>Aug-24</v>
      </c>
      <c r="R334">
        <f>IFERROR((VLOOKUP(D334,Products!$A:$E,5,FALSE())-VLOOKUP(D334,Products!$A:$E,4,FALSE()))/VLOOKUP(D334,Products!$A:$E,5,FALSE()),"")</f>
        <v>0.50196560196560192</v>
      </c>
    </row>
    <row r="335" spans="1:18" x14ac:dyDescent="0.3">
      <c r="A335" s="22" t="s">
        <v>1039</v>
      </c>
      <c r="B335" s="23">
        <v>45339</v>
      </c>
      <c r="C335" s="22" t="s">
        <v>965</v>
      </c>
      <c r="D335" s="22" t="s">
        <v>455</v>
      </c>
      <c r="E335" s="22" t="s">
        <v>1040</v>
      </c>
      <c r="F335" s="24">
        <v>9</v>
      </c>
      <c r="G335" s="24">
        <v>5330</v>
      </c>
      <c r="H335" s="24">
        <v>6.2</v>
      </c>
      <c r="I335" s="24">
        <v>44995.86</v>
      </c>
      <c r="J335" s="22" t="s">
        <v>104</v>
      </c>
      <c r="K335" s="22" t="s">
        <v>105</v>
      </c>
      <c r="L335" t="str">
        <f>VLOOKUP(D335,Products!A:F,3,FALSE())</f>
        <v>Electronics</v>
      </c>
      <c r="M335" t="str">
        <f>VLOOKUP(C335,Customers!A:F,5,FALSE())</f>
        <v>SMB</v>
      </c>
      <c r="O335" t="str">
        <f>IFERROR(VLOOKUP(E335,Sales_Reps!$A:$C,3,FALSE()),"")</f>
        <v/>
      </c>
      <c r="P335">
        <f>IFERROR(VLOOKUP(C335,Customers!$A:$C,3,FALSE()),"")</f>
        <v>35</v>
      </c>
      <c r="Q335" t="str">
        <f t="shared" si="5"/>
        <v>Feb-24</v>
      </c>
      <c r="R335">
        <f>IFERROR((VLOOKUP(D335,Products!$A:$E,5,FALSE())-VLOOKUP(D335,Products!$A:$E,4,FALSE()))/VLOOKUP(D335,Products!$A:$E,5,FALSE()),"")</f>
        <v>0.54878048780487809</v>
      </c>
    </row>
    <row r="336" spans="1:18" x14ac:dyDescent="0.3">
      <c r="A336" s="22" t="s">
        <v>942</v>
      </c>
      <c r="B336" s="23">
        <v>45319</v>
      </c>
      <c r="C336" s="22" t="s">
        <v>1041</v>
      </c>
      <c r="D336" s="22" t="s">
        <v>149</v>
      </c>
      <c r="E336" s="22" t="s">
        <v>1042</v>
      </c>
      <c r="F336" s="24">
        <v>6</v>
      </c>
      <c r="G336" s="24">
        <v>2270</v>
      </c>
      <c r="H336" s="24">
        <v>23.7</v>
      </c>
      <c r="I336" s="24">
        <v>10392.06</v>
      </c>
      <c r="J336" s="22" t="s">
        <v>104</v>
      </c>
      <c r="K336" s="22" t="s">
        <v>1043</v>
      </c>
      <c r="L336" t="str">
        <f>VLOOKUP(D336,Products!A:F,3,FALSE())</f>
        <v>Grocery</v>
      </c>
      <c r="M336" t="str">
        <f>VLOOKUP(C336,Customers!A:F,5,FALSE())</f>
        <v>Retail</v>
      </c>
      <c r="O336" t="str">
        <f>IFERROR(VLOOKUP(E336,Sales_Reps!$A:$C,3,FALSE()),"")</f>
        <v/>
      </c>
      <c r="P336">
        <f>IFERROR(VLOOKUP(C336,Customers!$A:$C,3,FALSE()),"")</f>
        <v>48</v>
      </c>
      <c r="Q336" t="str">
        <f t="shared" si="5"/>
        <v>Jan-24</v>
      </c>
      <c r="R336">
        <f>IFERROR((VLOOKUP(D336,Products!$A:$E,5,FALSE())-VLOOKUP(D336,Products!$A:$E,4,FALSE()))/VLOOKUP(D336,Products!$A:$E,5,FALSE()),"")</f>
        <v>0.47004405286343615</v>
      </c>
    </row>
    <row r="337" spans="1:18" x14ac:dyDescent="0.3">
      <c r="A337" s="22" t="s">
        <v>1044</v>
      </c>
      <c r="B337" s="23">
        <v>45618</v>
      </c>
      <c r="C337" s="22" t="s">
        <v>161</v>
      </c>
      <c r="D337" s="22" t="s">
        <v>442</v>
      </c>
      <c r="E337" s="22" t="s">
        <v>1045</v>
      </c>
      <c r="F337" s="24">
        <v>5</v>
      </c>
      <c r="G337" s="24">
        <v>2510</v>
      </c>
      <c r="H337" s="24">
        <v>25</v>
      </c>
      <c r="I337" s="24">
        <v>9412.5</v>
      </c>
      <c r="J337" s="22" t="s">
        <v>104</v>
      </c>
      <c r="K337" s="22" t="s">
        <v>105</v>
      </c>
      <c r="L337" t="str">
        <f>VLOOKUP(D337,Products!A:F,3,FALSE())</f>
        <v>Apparel</v>
      </c>
      <c r="M337" t="str">
        <f>VLOOKUP(C337,Customers!A:F,5,FALSE())</f>
        <v>SMB</v>
      </c>
      <c r="O337" t="str">
        <f>IFERROR(VLOOKUP(E337,Sales_Reps!$A:$C,3,FALSE()),"")</f>
        <v/>
      </c>
      <c r="P337">
        <f>IFERROR(VLOOKUP(C337,Customers!$A:$C,3,FALSE()),"")</f>
        <v>39</v>
      </c>
      <c r="Q337" t="str">
        <f t="shared" si="5"/>
        <v>Nov-24</v>
      </c>
      <c r="R337">
        <f>IFERROR((VLOOKUP(D337,Products!$A:$E,5,FALSE())-VLOOKUP(D337,Products!$A:$E,4,FALSE()))/VLOOKUP(D337,Products!$A:$E,5,FALSE()),"")</f>
        <v>0.57171314741035861</v>
      </c>
    </row>
    <row r="338" spans="1:18" x14ac:dyDescent="0.3">
      <c r="A338" s="22" t="s">
        <v>1046</v>
      </c>
      <c r="B338" s="23">
        <v>45335</v>
      </c>
      <c r="C338" s="22" t="s">
        <v>876</v>
      </c>
      <c r="D338" s="22" t="s">
        <v>459</v>
      </c>
      <c r="E338" s="22" t="s">
        <v>1047</v>
      </c>
      <c r="F338" s="24">
        <v>9</v>
      </c>
      <c r="G338" s="24">
        <v>2380</v>
      </c>
      <c r="H338" s="24">
        <v>16.8</v>
      </c>
      <c r="I338" s="24">
        <v>17821.439999999999</v>
      </c>
      <c r="J338" s="22" t="s">
        <v>104</v>
      </c>
      <c r="K338" s="22" t="s">
        <v>116</v>
      </c>
      <c r="L338" t="str">
        <f>VLOOKUP(D338,Products!A:F,3,FALSE())</f>
        <v>Grocery</v>
      </c>
      <c r="M338" t="str">
        <f>VLOOKUP(C338,Customers!A:F,5,FALSE())</f>
        <v>Retail</v>
      </c>
      <c r="O338" t="str">
        <f>IFERROR(VLOOKUP(E338,Sales_Reps!$A:$C,3,FALSE()),"")</f>
        <v/>
      </c>
      <c r="P338">
        <f>IFERROR(VLOOKUP(C338,Customers!$A:$C,3,FALSE()),"")</f>
        <v>40</v>
      </c>
      <c r="Q338" t="str">
        <f t="shared" si="5"/>
        <v>Feb-24</v>
      </c>
      <c r="R338">
        <f>IFERROR((VLOOKUP(D338,Products!$A:$E,5,FALSE())-VLOOKUP(D338,Products!$A:$E,4,FALSE()))/VLOOKUP(D338,Products!$A:$E,5,FALSE()),"")</f>
        <v>0.50336134453781511</v>
      </c>
    </row>
    <row r="339" spans="1:18" x14ac:dyDescent="0.3">
      <c r="A339" s="22" t="s">
        <v>1048</v>
      </c>
      <c r="B339" s="23">
        <v>45420</v>
      </c>
      <c r="C339" s="22" t="s">
        <v>1049</v>
      </c>
      <c r="D339" s="22" t="s">
        <v>591</v>
      </c>
      <c r="E339" s="22" t="s">
        <v>1050</v>
      </c>
      <c r="F339" s="24">
        <v>1</v>
      </c>
      <c r="G339" s="24">
        <v>3450</v>
      </c>
      <c r="H339" s="24">
        <v>1.5</v>
      </c>
      <c r="I339" s="24">
        <v>3398.25</v>
      </c>
      <c r="J339" s="22" t="s">
        <v>164</v>
      </c>
      <c r="K339" s="22" t="s">
        <v>116</v>
      </c>
      <c r="L339" t="str">
        <f>VLOOKUP(D339,Products!A:F,3,FALSE())</f>
        <v>Apparel</v>
      </c>
      <c r="M339" t="str">
        <f>VLOOKUP(C339,Customers!A:F,5,FALSE())</f>
        <v>SMB</v>
      </c>
      <c r="O339" t="str">
        <f>IFERROR(VLOOKUP(E339,Sales_Reps!$A:$C,3,FALSE()),"")</f>
        <v/>
      </c>
      <c r="P339">
        <f>IFERROR(VLOOKUP(C339,Customers!$A:$C,3,FALSE()),"")</f>
        <v>26</v>
      </c>
      <c r="Q339" t="str">
        <f t="shared" si="5"/>
        <v>May-24</v>
      </c>
      <c r="R339">
        <f>IFERROR((VLOOKUP(D339,Products!$A:$E,5,FALSE())-VLOOKUP(D339,Products!$A:$E,4,FALSE()))/VLOOKUP(D339,Products!$A:$E,5,FALSE()),"")</f>
        <v>0.49333333333333335</v>
      </c>
    </row>
    <row r="340" spans="1:18" x14ac:dyDescent="0.3">
      <c r="A340" s="22" t="s">
        <v>1051</v>
      </c>
      <c r="B340" s="23">
        <v>45295</v>
      </c>
      <c r="C340" s="22" t="s">
        <v>136</v>
      </c>
      <c r="D340" s="22" t="s">
        <v>216</v>
      </c>
      <c r="E340" s="22" t="s">
        <v>1052</v>
      </c>
      <c r="F340" s="24">
        <v>5</v>
      </c>
      <c r="G340" s="24">
        <v>3570</v>
      </c>
      <c r="H340" s="24">
        <v>12.8</v>
      </c>
      <c r="I340" s="24">
        <v>15565.2</v>
      </c>
      <c r="J340" s="22" t="s">
        <v>104</v>
      </c>
      <c r="K340" s="22" t="s">
        <v>134</v>
      </c>
      <c r="L340" t="str">
        <f>VLOOKUP(D340,Products!A:F,3,FALSE())</f>
        <v>Electronics</v>
      </c>
      <c r="M340" t="str">
        <f>VLOOKUP(C340,Customers!A:F,5,FALSE())</f>
        <v>Corporate</v>
      </c>
      <c r="O340" t="str">
        <f>IFERROR(VLOOKUP(E340,Sales_Reps!$A:$C,3,FALSE()),"")</f>
        <v/>
      </c>
      <c r="P340">
        <f>IFERROR(VLOOKUP(C340,Customers!$A:$C,3,FALSE()),"")</f>
        <v>57</v>
      </c>
      <c r="Q340" t="str">
        <f t="shared" si="5"/>
        <v>Jan-24</v>
      </c>
      <c r="R340">
        <f>IFERROR((VLOOKUP(D340,Products!$A:$E,5,FALSE())-VLOOKUP(D340,Products!$A:$E,4,FALSE()))/VLOOKUP(D340,Products!$A:$E,5,FALSE()),"")</f>
        <v>0.53361344537815125</v>
      </c>
    </row>
    <row r="341" spans="1:18" x14ac:dyDescent="0.3">
      <c r="A341" s="22" t="s">
        <v>1053</v>
      </c>
      <c r="B341" s="23">
        <v>45590</v>
      </c>
      <c r="C341" s="22" t="s">
        <v>304</v>
      </c>
      <c r="D341" s="22" t="s">
        <v>455</v>
      </c>
      <c r="E341" s="22" t="s">
        <v>1054</v>
      </c>
      <c r="F341" s="24">
        <v>3</v>
      </c>
      <c r="G341" s="24">
        <v>5330</v>
      </c>
      <c r="H341" s="24">
        <v>16.2</v>
      </c>
      <c r="I341" s="24">
        <v>13399.62</v>
      </c>
      <c r="J341" s="22" t="s">
        <v>104</v>
      </c>
      <c r="K341" s="22" t="s">
        <v>151</v>
      </c>
      <c r="L341" t="str">
        <f>VLOOKUP(D341,Products!A:F,3,FALSE())</f>
        <v>Electronics</v>
      </c>
      <c r="M341" t="str">
        <f>VLOOKUP(C341,Customers!A:F,5,FALSE())</f>
        <v>Retail</v>
      </c>
      <c r="O341" t="str">
        <f>IFERROR(VLOOKUP(E341,Sales_Reps!$A:$C,3,FALSE()),"")</f>
        <v/>
      </c>
      <c r="P341">
        <f>IFERROR(VLOOKUP(C341,Customers!$A:$C,3,FALSE()),"")</f>
        <v>27</v>
      </c>
      <c r="Q341" t="str">
        <f t="shared" si="5"/>
        <v>Oct-24</v>
      </c>
      <c r="R341">
        <f>IFERROR((VLOOKUP(D341,Products!$A:$E,5,FALSE())-VLOOKUP(D341,Products!$A:$E,4,FALSE()))/VLOOKUP(D341,Products!$A:$E,5,FALSE()),"")</f>
        <v>0.54878048780487809</v>
      </c>
    </row>
    <row r="342" spans="1:18" x14ac:dyDescent="0.3">
      <c r="A342" s="22" t="s">
        <v>1055</v>
      </c>
      <c r="B342" s="23">
        <v>45341</v>
      </c>
      <c r="C342" s="22" t="s">
        <v>1056</v>
      </c>
      <c r="D342" s="22" t="s">
        <v>119</v>
      </c>
      <c r="E342" s="22" t="s">
        <v>1057</v>
      </c>
      <c r="F342" s="24">
        <v>3</v>
      </c>
      <c r="G342" s="24">
        <v>3660</v>
      </c>
      <c r="H342" s="24">
        <v>25.3</v>
      </c>
      <c r="I342" s="24">
        <v>8202.06</v>
      </c>
      <c r="J342" s="22" t="s">
        <v>104</v>
      </c>
      <c r="K342" s="22" t="s">
        <v>129</v>
      </c>
      <c r="L342" t="str">
        <f>VLOOKUP(D342,Products!A:F,3,FALSE())</f>
        <v>Grocery</v>
      </c>
      <c r="M342" t="str">
        <f>VLOOKUP(C342,Customers!A:F,5,FALSE())</f>
        <v>Retail</v>
      </c>
      <c r="O342" t="str">
        <f>IFERROR(VLOOKUP(E342,Sales_Reps!$A:$C,3,FALSE()),"")</f>
        <v/>
      </c>
      <c r="P342">
        <f>IFERROR(VLOOKUP(C342,Customers!$A:$C,3,FALSE()),"")</f>
        <v>56</v>
      </c>
      <c r="Q342" t="str">
        <f t="shared" si="5"/>
        <v>Feb-24</v>
      </c>
      <c r="R342">
        <f>IFERROR((VLOOKUP(D342,Products!$A:$E,5,FALSE())-VLOOKUP(D342,Products!$A:$E,4,FALSE()))/VLOOKUP(D342,Products!$A:$E,5,FALSE()),"")</f>
        <v>0.39508196721311473</v>
      </c>
    </row>
    <row r="343" spans="1:18" x14ac:dyDescent="0.3">
      <c r="A343" s="22" t="s">
        <v>1058</v>
      </c>
      <c r="B343" s="23">
        <v>45600</v>
      </c>
      <c r="C343" s="22" t="s">
        <v>960</v>
      </c>
      <c r="D343" s="22" t="s">
        <v>209</v>
      </c>
      <c r="E343" s="22" t="s">
        <v>1059</v>
      </c>
      <c r="F343" s="24">
        <v>2</v>
      </c>
      <c r="G343" s="24">
        <v>1010</v>
      </c>
      <c r="H343" s="24">
        <v>29.2</v>
      </c>
      <c r="I343" s="24">
        <v>1430.16</v>
      </c>
      <c r="J343" s="22" t="s">
        <v>104</v>
      </c>
      <c r="K343" s="22" t="s">
        <v>129</v>
      </c>
      <c r="L343" t="str">
        <f>VLOOKUP(D343,Products!A:F,3,FALSE())</f>
        <v>Sports</v>
      </c>
      <c r="M343" t="str">
        <f>VLOOKUP(C343,Customers!A:F,5,FALSE())</f>
        <v>Retail</v>
      </c>
      <c r="O343" t="str">
        <f>IFERROR(VLOOKUP(E343,Sales_Reps!$A:$C,3,FALSE()),"")</f>
        <v/>
      </c>
      <c r="P343">
        <f>IFERROR(VLOOKUP(C343,Customers!$A:$C,3,FALSE()),"")</f>
        <v>35</v>
      </c>
      <c r="Q343" t="str">
        <f t="shared" si="5"/>
        <v>Nov-24</v>
      </c>
      <c r="R343">
        <f>IFERROR((VLOOKUP(D343,Products!$A:$E,5,FALSE())-VLOOKUP(D343,Products!$A:$E,4,FALSE()))/VLOOKUP(D343,Products!$A:$E,5,FALSE()),"")</f>
        <v>0.4891089108910891</v>
      </c>
    </row>
    <row r="344" spans="1:18" x14ac:dyDescent="0.3">
      <c r="A344" s="22" t="s">
        <v>1060</v>
      </c>
      <c r="B344" s="23">
        <v>45506</v>
      </c>
      <c r="C344" s="22" t="s">
        <v>827</v>
      </c>
      <c r="D344" s="22" t="s">
        <v>186</v>
      </c>
      <c r="E344" s="22" t="s">
        <v>1061</v>
      </c>
      <c r="F344" s="24">
        <v>1</v>
      </c>
      <c r="G344" s="24">
        <v>1080</v>
      </c>
      <c r="H344" s="24">
        <v>1.8</v>
      </c>
      <c r="I344" s="24">
        <v>1060.56</v>
      </c>
      <c r="J344" s="22" t="s">
        <v>104</v>
      </c>
      <c r="K344" s="22" t="s">
        <v>116</v>
      </c>
      <c r="L344" t="str">
        <f>VLOOKUP(D344,Products!A:F,3,FALSE())</f>
        <v>Home</v>
      </c>
      <c r="M344" t="str">
        <f>VLOOKUP(C344,Customers!A:F,5,FALSE())</f>
        <v>SMB</v>
      </c>
      <c r="O344" t="str">
        <f>IFERROR(VLOOKUP(E344,Sales_Reps!$A:$C,3,FALSE()),"")</f>
        <v/>
      </c>
      <c r="P344">
        <f>IFERROR(VLOOKUP(C344,Customers!$A:$C,3,FALSE()),"")</f>
        <v>48</v>
      </c>
      <c r="Q344" t="str">
        <f t="shared" si="5"/>
        <v>Aug-24</v>
      </c>
      <c r="R344">
        <f>IFERROR((VLOOKUP(D344,Products!$A:$E,5,FALSE())-VLOOKUP(D344,Products!$A:$E,4,FALSE()))/VLOOKUP(D344,Products!$A:$E,5,FALSE()),"")</f>
        <v>0.51944444444444449</v>
      </c>
    </row>
    <row r="345" spans="1:18" x14ac:dyDescent="0.3">
      <c r="A345" s="22" t="s">
        <v>1062</v>
      </c>
      <c r="B345" s="23">
        <v>45414</v>
      </c>
      <c r="C345" s="22" t="s">
        <v>529</v>
      </c>
      <c r="D345" s="22" t="s">
        <v>182</v>
      </c>
      <c r="E345" s="22" t="s">
        <v>1063</v>
      </c>
      <c r="F345" s="24">
        <v>8</v>
      </c>
      <c r="G345" s="24">
        <v>3450</v>
      </c>
      <c r="H345" s="24">
        <v>20.399999999999999</v>
      </c>
      <c r="I345" s="24">
        <v>21969.599999999999</v>
      </c>
      <c r="J345" s="22" t="s">
        <v>104</v>
      </c>
      <c r="K345" s="22" t="s">
        <v>105</v>
      </c>
      <c r="L345" t="str">
        <f>VLOOKUP(D345,Products!A:F,3,FALSE())</f>
        <v>Sports</v>
      </c>
      <c r="M345" t="str">
        <f>VLOOKUP(C345,Customers!A:F,5,FALSE())</f>
        <v>Retail</v>
      </c>
      <c r="O345" t="str">
        <f>IFERROR(VLOOKUP(E345,Sales_Reps!$A:$C,3,FALSE()),"")</f>
        <v/>
      </c>
      <c r="P345">
        <f>IFERROR(VLOOKUP(C345,Customers!$A:$C,3,FALSE()),"")</f>
        <v>22</v>
      </c>
      <c r="Q345" t="str">
        <f t="shared" si="5"/>
        <v>May-24</v>
      </c>
      <c r="R345">
        <f>IFERROR((VLOOKUP(D345,Products!$A:$E,5,FALSE())-VLOOKUP(D345,Products!$A:$E,4,FALSE()))/VLOOKUP(D345,Products!$A:$E,5,FALSE()),"")</f>
        <v>0.28492753623188405</v>
      </c>
    </row>
    <row r="346" spans="1:18" x14ac:dyDescent="0.3">
      <c r="A346" s="22" t="s">
        <v>1064</v>
      </c>
      <c r="B346" s="23">
        <v>45553</v>
      </c>
      <c r="C346" s="22" t="s">
        <v>465</v>
      </c>
      <c r="D346" s="22" t="s">
        <v>695</v>
      </c>
      <c r="E346" s="22" t="s">
        <v>1065</v>
      </c>
      <c r="F346" s="24">
        <v>8</v>
      </c>
      <c r="G346" s="24">
        <v>6940</v>
      </c>
      <c r="H346" s="24">
        <v>19.399999999999999</v>
      </c>
      <c r="I346" s="24">
        <v>44749.120000000003</v>
      </c>
      <c r="J346" s="22" t="s">
        <v>104</v>
      </c>
      <c r="K346" s="22" t="s">
        <v>129</v>
      </c>
      <c r="L346" t="str">
        <f>VLOOKUP(D346,Products!A:F,3,FALSE())</f>
        <v>Sports</v>
      </c>
      <c r="M346" t="str">
        <f>VLOOKUP(C346,Customers!A:F,5,FALSE())</f>
        <v>Retail</v>
      </c>
      <c r="O346" t="str">
        <f>IFERROR(VLOOKUP(E346,Sales_Reps!$A:$C,3,FALSE()),"")</f>
        <v/>
      </c>
      <c r="P346">
        <f>IFERROR(VLOOKUP(C346,Customers!$A:$C,3,FALSE()),"")</f>
        <v>42</v>
      </c>
      <c r="Q346" t="str">
        <f t="shared" si="5"/>
        <v>Sep-24</v>
      </c>
      <c r="R346">
        <f>IFERROR((VLOOKUP(D346,Products!$A:$E,5,FALSE())-VLOOKUP(D346,Products!$A:$E,4,FALSE()))/VLOOKUP(D346,Products!$A:$E,5,FALSE()),"")</f>
        <v>0.5926512968299712</v>
      </c>
    </row>
    <row r="347" spans="1:18" x14ac:dyDescent="0.3">
      <c r="A347" s="22" t="s">
        <v>1066</v>
      </c>
      <c r="B347" s="23">
        <v>45434</v>
      </c>
      <c r="C347" s="22" t="s">
        <v>1067</v>
      </c>
      <c r="D347" s="22" t="s">
        <v>308</v>
      </c>
      <c r="E347" s="22" t="s">
        <v>1068</v>
      </c>
      <c r="F347" s="24">
        <v>2</v>
      </c>
      <c r="G347" s="24">
        <v>1540</v>
      </c>
      <c r="H347" s="24">
        <v>9.3000000000000007</v>
      </c>
      <c r="I347" s="24">
        <v>2793.56</v>
      </c>
      <c r="J347" s="22" t="s">
        <v>104</v>
      </c>
      <c r="K347" s="22" t="s">
        <v>105</v>
      </c>
      <c r="L347" t="str">
        <f>VLOOKUP(D347,Products!A:F,3,FALSE())</f>
        <v>Beauty</v>
      </c>
      <c r="M347" t="str">
        <f>VLOOKUP(C347,Customers!A:F,5,FALSE())</f>
        <v>Retail</v>
      </c>
      <c r="O347" t="str">
        <f>IFERROR(VLOOKUP(E347,Sales_Reps!$A:$C,3,FALSE()),"")</f>
        <v/>
      </c>
      <c r="P347">
        <f>IFERROR(VLOOKUP(C347,Customers!$A:$C,3,FALSE()),"")</f>
        <v>54</v>
      </c>
      <c r="Q347" t="str">
        <f t="shared" si="5"/>
        <v>May-24</v>
      </c>
      <c r="R347">
        <f>IFERROR((VLOOKUP(D347,Products!$A:$E,5,FALSE())-VLOOKUP(D347,Products!$A:$E,4,FALSE()))/VLOOKUP(D347,Products!$A:$E,5,FALSE()),"")</f>
        <v>0.57987012987012987</v>
      </c>
    </row>
    <row r="348" spans="1:18" x14ac:dyDescent="0.3">
      <c r="A348" s="22" t="s">
        <v>1069</v>
      </c>
      <c r="B348" s="23">
        <v>45446</v>
      </c>
      <c r="C348" s="22" t="s">
        <v>227</v>
      </c>
      <c r="D348" s="22" t="s">
        <v>153</v>
      </c>
      <c r="E348" s="22" t="s">
        <v>1070</v>
      </c>
      <c r="F348" s="24">
        <v>4</v>
      </c>
      <c r="G348" s="24">
        <v>2640</v>
      </c>
      <c r="H348" s="24">
        <v>23.2</v>
      </c>
      <c r="I348" s="24">
        <v>8110.08</v>
      </c>
      <c r="J348" s="22" t="s">
        <v>164</v>
      </c>
      <c r="K348" s="22" t="s">
        <v>105</v>
      </c>
      <c r="L348" t="str">
        <f>VLOOKUP(D348,Products!A:F,3,FALSE())</f>
        <v>Electronics</v>
      </c>
      <c r="M348" t="str">
        <f>VLOOKUP(C348,Customers!A:F,5,FALSE())</f>
        <v>Corporate</v>
      </c>
      <c r="O348" t="str">
        <f>IFERROR(VLOOKUP(E348,Sales_Reps!$A:$C,3,FALSE()),"")</f>
        <v/>
      </c>
      <c r="P348">
        <f>IFERROR(VLOOKUP(C348,Customers!$A:$C,3,FALSE()),"")</f>
        <v>47</v>
      </c>
      <c r="Q348" t="str">
        <f t="shared" si="5"/>
        <v>Jun-24</v>
      </c>
      <c r="R348">
        <f>IFERROR((VLOOKUP(D348,Products!$A:$E,5,FALSE())-VLOOKUP(D348,Products!$A:$E,4,FALSE()))/VLOOKUP(D348,Products!$A:$E,5,FALSE()),"")</f>
        <v>0.56477272727272732</v>
      </c>
    </row>
    <row r="349" spans="1:18" x14ac:dyDescent="0.3">
      <c r="A349" s="22" t="s">
        <v>1071</v>
      </c>
      <c r="B349" s="23">
        <v>45626</v>
      </c>
      <c r="C349" s="22" t="s">
        <v>1072</v>
      </c>
      <c r="D349" s="22" t="s">
        <v>449</v>
      </c>
      <c r="E349" s="22" t="s">
        <v>1073</v>
      </c>
      <c r="F349" s="24">
        <v>6</v>
      </c>
      <c r="G349" s="24">
        <v>5410</v>
      </c>
      <c r="H349" s="24">
        <v>29.4</v>
      </c>
      <c r="I349" s="24">
        <v>22916.76</v>
      </c>
      <c r="J349" s="22" t="s">
        <v>104</v>
      </c>
      <c r="K349" s="22" t="s">
        <v>105</v>
      </c>
      <c r="L349" t="str">
        <f>VLOOKUP(D349,Products!A:F,3,FALSE())</f>
        <v>Sports</v>
      </c>
      <c r="M349" t="str">
        <f>VLOOKUP(C349,Customers!A:F,5,FALSE())</f>
        <v>Retail</v>
      </c>
      <c r="O349" t="str">
        <f>IFERROR(VLOOKUP(E349,Sales_Reps!$A:$C,3,FALSE()),"")</f>
        <v/>
      </c>
      <c r="P349">
        <f>IFERROR(VLOOKUP(C349,Customers!$A:$C,3,FALSE()),"")</f>
        <v>36</v>
      </c>
      <c r="Q349" t="str">
        <f t="shared" si="5"/>
        <v>Nov-24</v>
      </c>
      <c r="R349">
        <f>IFERROR((VLOOKUP(D349,Products!$A:$E,5,FALSE())-VLOOKUP(D349,Products!$A:$E,4,FALSE()))/VLOOKUP(D349,Products!$A:$E,5,FALSE()),"")</f>
        <v>0.58133086876155271</v>
      </c>
    </row>
    <row r="350" spans="1:18" x14ac:dyDescent="0.3">
      <c r="A350" s="22" t="s">
        <v>1074</v>
      </c>
      <c r="B350" s="23">
        <v>45459</v>
      </c>
      <c r="C350" s="22" t="s">
        <v>445</v>
      </c>
      <c r="D350" s="22" t="s">
        <v>216</v>
      </c>
      <c r="E350" s="22" t="s">
        <v>1075</v>
      </c>
      <c r="F350" s="24">
        <v>1</v>
      </c>
      <c r="G350" s="24">
        <v>3570</v>
      </c>
      <c r="H350" s="24">
        <v>4.3</v>
      </c>
      <c r="I350" s="24">
        <v>3416.49</v>
      </c>
      <c r="J350" s="22" t="s">
        <v>104</v>
      </c>
      <c r="K350" s="22" t="s">
        <v>116</v>
      </c>
      <c r="L350" t="str">
        <f>VLOOKUP(D350,Products!A:F,3,FALSE())</f>
        <v>Electronics</v>
      </c>
      <c r="M350" t="str">
        <f>VLOOKUP(C350,Customers!A:F,5,FALSE())</f>
        <v>SMB</v>
      </c>
      <c r="O350" t="str">
        <f>IFERROR(VLOOKUP(E350,Sales_Reps!$A:$C,3,FALSE()),"")</f>
        <v/>
      </c>
      <c r="P350">
        <f>IFERROR(VLOOKUP(C350,Customers!$A:$C,3,FALSE()),"")</f>
        <v>38</v>
      </c>
      <c r="Q350" t="str">
        <f t="shared" si="5"/>
        <v>Jun-24</v>
      </c>
      <c r="R350">
        <f>IFERROR((VLOOKUP(D350,Products!$A:$E,5,FALSE())-VLOOKUP(D350,Products!$A:$E,4,FALSE()))/VLOOKUP(D350,Products!$A:$E,5,FALSE()),"")</f>
        <v>0.53361344537815125</v>
      </c>
    </row>
    <row r="351" spans="1:18" x14ac:dyDescent="0.3">
      <c r="A351" s="22" t="s">
        <v>1076</v>
      </c>
      <c r="B351" s="23">
        <v>45520</v>
      </c>
      <c r="C351" s="22" t="s">
        <v>1077</v>
      </c>
      <c r="D351" s="22" t="s">
        <v>127</v>
      </c>
      <c r="E351" s="22" t="s">
        <v>1078</v>
      </c>
      <c r="F351" s="24">
        <v>2</v>
      </c>
      <c r="G351" s="24">
        <v>370</v>
      </c>
      <c r="H351" s="24">
        <v>7.2</v>
      </c>
      <c r="I351" s="24">
        <v>686.72</v>
      </c>
      <c r="J351" s="22" t="s">
        <v>104</v>
      </c>
      <c r="K351" s="22" t="s">
        <v>151</v>
      </c>
      <c r="L351" t="str">
        <f>VLOOKUP(D351,Products!A:F,3,FALSE())</f>
        <v>Home</v>
      </c>
      <c r="M351" t="str">
        <f>VLOOKUP(C351,Customers!A:F,5,FALSE())</f>
        <v>SMB</v>
      </c>
      <c r="O351" t="str">
        <f>IFERROR(VLOOKUP(E351,Sales_Reps!$A:$C,3,FALSE()),"")</f>
        <v/>
      </c>
      <c r="P351">
        <f>IFERROR(VLOOKUP(C351,Customers!$A:$C,3,FALSE()),"")</f>
        <v>29</v>
      </c>
      <c r="Q351" t="str">
        <f t="shared" si="5"/>
        <v>Aug-24</v>
      </c>
      <c r="R351">
        <f>IFERROR((VLOOKUP(D351,Products!$A:$E,5,FALSE())-VLOOKUP(D351,Products!$A:$E,4,FALSE()))/VLOOKUP(D351,Products!$A:$E,5,FALSE()),"")</f>
        <v>0.22162162162162163</v>
      </c>
    </row>
    <row r="352" spans="1:18" x14ac:dyDescent="0.3">
      <c r="A352" s="22" t="s">
        <v>1079</v>
      </c>
      <c r="B352" s="23">
        <v>45314</v>
      </c>
      <c r="C352" s="22" t="s">
        <v>830</v>
      </c>
      <c r="D352" s="22" t="s">
        <v>442</v>
      </c>
      <c r="E352" s="22" t="s">
        <v>1080</v>
      </c>
      <c r="F352" s="24">
        <v>1</v>
      </c>
      <c r="G352" s="24">
        <v>2510</v>
      </c>
      <c r="H352" s="24">
        <v>2.4</v>
      </c>
      <c r="I352" s="24">
        <v>2449.7600000000002</v>
      </c>
      <c r="J352" s="22" t="s">
        <v>104</v>
      </c>
      <c r="K352" s="22" t="s">
        <v>129</v>
      </c>
      <c r="L352" t="str">
        <f>VLOOKUP(D352,Products!A:F,3,FALSE())</f>
        <v>Apparel</v>
      </c>
      <c r="M352" t="str">
        <f>VLOOKUP(C352,Customers!A:F,5,FALSE())</f>
        <v>Retail</v>
      </c>
      <c r="O352" t="str">
        <f>IFERROR(VLOOKUP(E352,Sales_Reps!$A:$C,3,FALSE()),"")</f>
        <v/>
      </c>
      <c r="P352">
        <f>IFERROR(VLOOKUP(C352,Customers!$A:$C,3,FALSE()),"")</f>
        <v>39</v>
      </c>
      <c r="Q352" t="str">
        <f t="shared" si="5"/>
        <v>Jan-24</v>
      </c>
      <c r="R352">
        <f>IFERROR((VLOOKUP(D352,Products!$A:$E,5,FALSE())-VLOOKUP(D352,Products!$A:$E,4,FALSE()))/VLOOKUP(D352,Products!$A:$E,5,FALSE()),"")</f>
        <v>0.57171314741035861</v>
      </c>
    </row>
    <row r="353" spans="1:18" x14ac:dyDescent="0.3">
      <c r="A353" s="22" t="s">
        <v>1081</v>
      </c>
      <c r="B353" s="23">
        <v>45480</v>
      </c>
      <c r="C353" s="22" t="s">
        <v>1082</v>
      </c>
      <c r="D353" s="22" t="s">
        <v>279</v>
      </c>
      <c r="E353" s="22" t="s">
        <v>1083</v>
      </c>
      <c r="F353" s="24">
        <v>8</v>
      </c>
      <c r="G353" s="24">
        <v>3640</v>
      </c>
      <c r="H353" s="24">
        <v>28.7</v>
      </c>
      <c r="I353" s="24">
        <v>20762.560000000001</v>
      </c>
      <c r="J353" s="22" t="s">
        <v>110</v>
      </c>
      <c r="K353" s="22" t="s">
        <v>151</v>
      </c>
      <c r="L353" t="str">
        <f>VLOOKUP(D353,Products!A:F,3,FALSE())</f>
        <v>Apparel</v>
      </c>
      <c r="M353" t="str">
        <f>VLOOKUP(C353,Customers!A:F,5,FALSE())</f>
        <v>Retail</v>
      </c>
      <c r="O353" t="str">
        <f>IFERROR(VLOOKUP(E353,Sales_Reps!$A:$C,3,FALSE()),"")</f>
        <v/>
      </c>
      <c r="P353">
        <f>IFERROR(VLOOKUP(C353,Customers!$A:$C,3,FALSE()),"")</f>
        <v>64</v>
      </c>
      <c r="Q353" t="str">
        <f t="shared" si="5"/>
        <v>Jul-24</v>
      </c>
      <c r="R353">
        <f>IFERROR((VLOOKUP(D353,Products!$A:$E,5,FALSE())-VLOOKUP(D353,Products!$A:$E,4,FALSE()))/VLOOKUP(D353,Products!$A:$E,5,FALSE()),"")</f>
        <v>0.28269230769230769</v>
      </c>
    </row>
    <row r="354" spans="1:18" x14ac:dyDescent="0.3">
      <c r="A354" s="22" t="s">
        <v>1084</v>
      </c>
      <c r="B354" s="23">
        <v>45520</v>
      </c>
      <c r="C354" s="22" t="s">
        <v>215</v>
      </c>
      <c r="D354" s="22" t="s">
        <v>201</v>
      </c>
      <c r="E354" s="22" t="s">
        <v>1085</v>
      </c>
      <c r="F354" s="24">
        <v>5</v>
      </c>
      <c r="G354" s="24">
        <v>1650</v>
      </c>
      <c r="H354" s="24">
        <v>13.4</v>
      </c>
      <c r="I354" s="24">
        <v>7144.5</v>
      </c>
      <c r="J354" s="22" t="s">
        <v>110</v>
      </c>
      <c r="K354" s="22" t="s">
        <v>111</v>
      </c>
      <c r="L354" t="str">
        <f>VLOOKUP(D354,Products!A:F,3,FALSE())</f>
        <v>Beauty</v>
      </c>
      <c r="M354" t="str">
        <f>VLOOKUP(C354,Customers!A:F,5,FALSE())</f>
        <v>SMB</v>
      </c>
      <c r="O354" t="str">
        <f>IFERROR(VLOOKUP(E354,Sales_Reps!$A:$C,3,FALSE()),"")</f>
        <v/>
      </c>
      <c r="P354">
        <f>IFERROR(VLOOKUP(C354,Customers!$A:$C,3,FALSE()),"")</f>
        <v>52</v>
      </c>
      <c r="Q354" t="str">
        <f t="shared" si="5"/>
        <v>Aug-24</v>
      </c>
      <c r="R354">
        <f>IFERROR((VLOOKUP(D354,Products!$A:$E,5,FALSE())-VLOOKUP(D354,Products!$A:$E,4,FALSE()))/VLOOKUP(D354,Products!$A:$E,5,FALSE()),"")</f>
        <v>0.2593939393939394</v>
      </c>
    </row>
    <row r="355" spans="1:18" x14ac:dyDescent="0.3">
      <c r="A355" s="22" t="s">
        <v>1086</v>
      </c>
      <c r="B355" s="23">
        <v>45360</v>
      </c>
      <c r="C355" s="22" t="s">
        <v>439</v>
      </c>
      <c r="D355" s="22" t="s">
        <v>479</v>
      </c>
      <c r="E355" s="22" t="s">
        <v>1087</v>
      </c>
      <c r="F355" s="24">
        <v>9</v>
      </c>
      <c r="G355" s="24">
        <v>960</v>
      </c>
      <c r="H355" s="24">
        <v>28.6</v>
      </c>
      <c r="I355" s="24">
        <v>6168.96</v>
      </c>
      <c r="J355" s="22" t="s">
        <v>110</v>
      </c>
      <c r="K355" s="22" t="s">
        <v>111</v>
      </c>
      <c r="L355" t="str">
        <f>VLOOKUP(D355,Products!A:F,3,FALSE())</f>
        <v>Beauty</v>
      </c>
      <c r="M355" t="str">
        <f>VLOOKUP(C355,Customers!A:F,5,FALSE())</f>
        <v>Retail</v>
      </c>
      <c r="O355" t="str">
        <f>IFERROR(VLOOKUP(E355,Sales_Reps!$A:$C,3,FALSE()),"")</f>
        <v/>
      </c>
      <c r="P355">
        <f>IFERROR(VLOOKUP(C355,Customers!$A:$C,3,FALSE()),"")</f>
        <v>60</v>
      </c>
      <c r="Q355" t="str">
        <f t="shared" si="5"/>
        <v>Mar-24</v>
      </c>
      <c r="R355">
        <f>IFERROR((VLOOKUP(D355,Products!$A:$E,5,FALSE())-VLOOKUP(D355,Products!$A:$E,4,FALSE()))/VLOOKUP(D355,Products!$A:$E,5,FALSE()),"")</f>
        <v>0.296875</v>
      </c>
    </row>
    <row r="356" spans="1:18" x14ac:dyDescent="0.3">
      <c r="A356" s="22" t="s">
        <v>1088</v>
      </c>
      <c r="B356" s="23">
        <v>45486</v>
      </c>
      <c r="C356" s="22" t="s">
        <v>271</v>
      </c>
      <c r="D356" s="22" t="s">
        <v>275</v>
      </c>
      <c r="E356" s="22" t="s">
        <v>1089</v>
      </c>
      <c r="F356" s="24">
        <v>4</v>
      </c>
      <c r="G356" s="24">
        <v>3780</v>
      </c>
      <c r="H356" s="24">
        <v>25.3</v>
      </c>
      <c r="I356" s="24">
        <v>11294.64</v>
      </c>
      <c r="J356" s="22" t="s">
        <v>104</v>
      </c>
      <c r="K356" s="22" t="s">
        <v>134</v>
      </c>
      <c r="L356" t="str">
        <f>VLOOKUP(D356,Products!A:F,3,FALSE())</f>
        <v>Grocery</v>
      </c>
      <c r="M356" t="str">
        <f>VLOOKUP(C356,Customers!A:F,5,FALSE())</f>
        <v>SMB</v>
      </c>
      <c r="O356" t="str">
        <f>IFERROR(VLOOKUP(E356,Sales_Reps!$A:$C,3,FALSE()),"")</f>
        <v/>
      </c>
      <c r="P356">
        <f>IFERROR(VLOOKUP(C356,Customers!$A:$C,3,FALSE()),"")</f>
        <v>64</v>
      </c>
      <c r="Q356" t="str">
        <f t="shared" si="5"/>
        <v>Jul-24</v>
      </c>
      <c r="R356">
        <f>IFERROR((VLOOKUP(D356,Products!$A:$E,5,FALSE())-VLOOKUP(D356,Products!$A:$E,4,FALSE()))/VLOOKUP(D356,Products!$A:$E,5,FALSE()),"")</f>
        <v>0.35555555555555557</v>
      </c>
    </row>
    <row r="357" spans="1:18" x14ac:dyDescent="0.3">
      <c r="A357" s="22" t="s">
        <v>1090</v>
      </c>
      <c r="B357" s="23">
        <v>45544</v>
      </c>
      <c r="C357" s="22" t="s">
        <v>215</v>
      </c>
      <c r="D357" s="22" t="s">
        <v>201</v>
      </c>
      <c r="E357" s="22" t="s">
        <v>1091</v>
      </c>
      <c r="F357" s="24">
        <v>4</v>
      </c>
      <c r="G357" s="24">
        <v>1650</v>
      </c>
      <c r="H357" s="24">
        <v>13.7</v>
      </c>
      <c r="I357" s="24">
        <v>5695.8</v>
      </c>
      <c r="J357" s="22" t="s">
        <v>159</v>
      </c>
      <c r="K357" s="22" t="s">
        <v>111</v>
      </c>
      <c r="L357" t="str">
        <f>VLOOKUP(D357,Products!A:F,3,FALSE())</f>
        <v>Beauty</v>
      </c>
      <c r="M357" t="str">
        <f>VLOOKUP(C357,Customers!A:F,5,FALSE())</f>
        <v>SMB</v>
      </c>
      <c r="O357" t="str">
        <f>IFERROR(VLOOKUP(E357,Sales_Reps!$A:$C,3,FALSE()),"")</f>
        <v/>
      </c>
      <c r="P357">
        <f>IFERROR(VLOOKUP(C357,Customers!$A:$C,3,FALSE()),"")</f>
        <v>52</v>
      </c>
      <c r="Q357" t="str">
        <f t="shared" si="5"/>
        <v>Sep-24</v>
      </c>
      <c r="R357">
        <f>IFERROR((VLOOKUP(D357,Products!$A:$E,5,FALSE())-VLOOKUP(D357,Products!$A:$E,4,FALSE()))/VLOOKUP(D357,Products!$A:$E,5,FALSE()),"")</f>
        <v>0.2593939393939394</v>
      </c>
    </row>
    <row r="358" spans="1:18" x14ac:dyDescent="0.3">
      <c r="A358" s="22" t="s">
        <v>1092</v>
      </c>
      <c r="B358" s="23">
        <v>45580</v>
      </c>
      <c r="C358" s="22" t="s">
        <v>734</v>
      </c>
      <c r="D358" s="22" t="s">
        <v>102</v>
      </c>
      <c r="E358" s="22" t="s">
        <v>1093</v>
      </c>
      <c r="F358" s="24">
        <v>6</v>
      </c>
      <c r="G358" s="24">
        <v>3620</v>
      </c>
      <c r="H358" s="24">
        <v>21.3</v>
      </c>
      <c r="I358" s="24">
        <v>17093.64</v>
      </c>
      <c r="J358" s="22" t="s">
        <v>110</v>
      </c>
      <c r="K358" s="22" t="s">
        <v>151</v>
      </c>
      <c r="L358" t="str">
        <f>VLOOKUP(D358,Products!A:F,3,FALSE())</f>
        <v>Apparel</v>
      </c>
      <c r="M358" t="str">
        <f>VLOOKUP(C358,Customers!A:F,5,FALSE())</f>
        <v>Retail</v>
      </c>
      <c r="O358" t="str">
        <f>IFERROR(VLOOKUP(E358,Sales_Reps!$A:$C,3,FALSE()),"")</f>
        <v/>
      </c>
      <c r="P358">
        <f>IFERROR(VLOOKUP(C358,Customers!$A:$C,3,FALSE()),"")</f>
        <v>38</v>
      </c>
      <c r="Q358" t="str">
        <f t="shared" si="5"/>
        <v>Oct-24</v>
      </c>
      <c r="R358">
        <f>IFERROR((VLOOKUP(D358,Products!$A:$E,5,FALSE())-VLOOKUP(D358,Products!$A:$E,4,FALSE()))/VLOOKUP(D358,Products!$A:$E,5,FALSE()),"")</f>
        <v>0.3069060773480663</v>
      </c>
    </row>
    <row r="359" spans="1:18" x14ac:dyDescent="0.3">
      <c r="A359" s="22" t="s">
        <v>1094</v>
      </c>
      <c r="B359" s="23">
        <v>45312</v>
      </c>
      <c r="C359" s="22" t="s">
        <v>626</v>
      </c>
      <c r="D359" s="22" t="s">
        <v>289</v>
      </c>
      <c r="E359" s="22" t="s">
        <v>1095</v>
      </c>
      <c r="F359" s="24">
        <v>10</v>
      </c>
      <c r="G359" s="24">
        <v>2270</v>
      </c>
      <c r="H359" s="24">
        <v>17.7</v>
      </c>
      <c r="I359" s="24">
        <v>18682.099999999999</v>
      </c>
      <c r="J359" s="22" t="s">
        <v>104</v>
      </c>
      <c r="K359" s="22" t="s">
        <v>116</v>
      </c>
      <c r="L359" t="str">
        <f>VLOOKUP(D359,Products!A:F,3,FALSE())</f>
        <v>Grocery</v>
      </c>
      <c r="M359" t="str">
        <f>VLOOKUP(C359,Customers!A:F,5,FALSE())</f>
        <v>SMB</v>
      </c>
      <c r="O359" t="str">
        <f>IFERROR(VLOOKUP(E359,Sales_Reps!$A:$C,3,FALSE()),"")</f>
        <v/>
      </c>
      <c r="P359">
        <f>IFERROR(VLOOKUP(C359,Customers!$A:$C,3,FALSE()),"")</f>
        <v>59</v>
      </c>
      <c r="Q359" t="str">
        <f t="shared" si="5"/>
        <v>Jan-24</v>
      </c>
      <c r="R359">
        <f>IFERROR((VLOOKUP(D359,Products!$A:$E,5,FALSE())-VLOOKUP(D359,Products!$A:$E,4,FALSE()))/VLOOKUP(D359,Products!$A:$E,5,FALSE()),"")</f>
        <v>0.37797356828193834</v>
      </c>
    </row>
    <row r="360" spans="1:18" x14ac:dyDescent="0.3">
      <c r="A360" s="22" t="s">
        <v>1096</v>
      </c>
      <c r="B360" s="23">
        <v>45447</v>
      </c>
      <c r="C360" s="22" t="s">
        <v>1097</v>
      </c>
      <c r="D360" s="22" t="s">
        <v>308</v>
      </c>
      <c r="E360" s="22" t="s">
        <v>1098</v>
      </c>
      <c r="F360" s="24">
        <v>9</v>
      </c>
      <c r="G360" s="24">
        <v>1540</v>
      </c>
      <c r="H360" s="24">
        <v>10.7</v>
      </c>
      <c r="I360" s="24">
        <v>12376.98</v>
      </c>
      <c r="J360" s="22" t="s">
        <v>104</v>
      </c>
      <c r="K360" s="22" t="s">
        <v>134</v>
      </c>
      <c r="L360" t="str">
        <f>VLOOKUP(D360,Products!A:F,3,FALSE())</f>
        <v>Beauty</v>
      </c>
      <c r="M360" t="str">
        <f>VLOOKUP(C360,Customers!A:F,5,FALSE())</f>
        <v>Retail</v>
      </c>
      <c r="O360" t="str">
        <f>IFERROR(VLOOKUP(E360,Sales_Reps!$A:$C,3,FALSE()),"")</f>
        <v/>
      </c>
      <c r="P360">
        <f>IFERROR(VLOOKUP(C360,Customers!$A:$C,3,FALSE()),"")</f>
        <v>32</v>
      </c>
      <c r="Q360" t="str">
        <f t="shared" si="5"/>
        <v>Jun-24</v>
      </c>
      <c r="R360">
        <f>IFERROR((VLOOKUP(D360,Products!$A:$E,5,FALSE())-VLOOKUP(D360,Products!$A:$E,4,FALSE()))/VLOOKUP(D360,Products!$A:$E,5,FALSE()),"")</f>
        <v>0.57987012987012987</v>
      </c>
    </row>
    <row r="361" spans="1:18" x14ac:dyDescent="0.3">
      <c r="A361" s="22" t="s">
        <v>1099</v>
      </c>
      <c r="B361" s="23">
        <v>45607</v>
      </c>
      <c r="C361" s="22" t="s">
        <v>240</v>
      </c>
      <c r="D361" s="22" t="s">
        <v>224</v>
      </c>
      <c r="E361" s="22" t="s">
        <v>1100</v>
      </c>
      <c r="F361" s="24">
        <v>9</v>
      </c>
      <c r="G361" s="24">
        <v>2860</v>
      </c>
      <c r="H361" s="24">
        <v>12.9</v>
      </c>
      <c r="I361" s="24">
        <v>22419.54</v>
      </c>
      <c r="J361" s="22" t="s">
        <v>104</v>
      </c>
      <c r="K361" s="22" t="s">
        <v>151</v>
      </c>
      <c r="L361" t="str">
        <f>VLOOKUP(D361,Products!A:F,3,FALSE())</f>
        <v>Sports</v>
      </c>
      <c r="M361" t="str">
        <f>VLOOKUP(C361,Customers!A:F,5,FALSE())</f>
        <v>Retail</v>
      </c>
      <c r="O361" t="str">
        <f>IFERROR(VLOOKUP(E361,Sales_Reps!$A:$C,3,FALSE()),"")</f>
        <v/>
      </c>
      <c r="P361">
        <f>IFERROR(VLOOKUP(C361,Customers!$A:$C,3,FALSE()),"")</f>
        <v>26</v>
      </c>
      <c r="Q361" t="str">
        <f t="shared" si="5"/>
        <v>Nov-24</v>
      </c>
      <c r="R361">
        <f>IFERROR((VLOOKUP(D361,Products!$A:$E,5,FALSE())-VLOOKUP(D361,Products!$A:$E,4,FALSE()))/VLOOKUP(D361,Products!$A:$E,5,FALSE()),"")</f>
        <v>0.29090909090909089</v>
      </c>
    </row>
    <row r="362" spans="1:18" x14ac:dyDescent="0.3">
      <c r="A362" s="22" t="s">
        <v>1101</v>
      </c>
      <c r="B362" s="23">
        <v>45379</v>
      </c>
      <c r="C362" s="22" t="s">
        <v>1007</v>
      </c>
      <c r="D362" s="22" t="s">
        <v>419</v>
      </c>
      <c r="E362" s="22" t="s">
        <v>1102</v>
      </c>
      <c r="F362" s="24">
        <v>5</v>
      </c>
      <c r="G362" s="24">
        <v>2210</v>
      </c>
      <c r="H362" s="24">
        <v>5.0999999999999996</v>
      </c>
      <c r="I362" s="24">
        <v>10486.45</v>
      </c>
      <c r="J362" s="22" t="s">
        <v>104</v>
      </c>
      <c r="K362" s="22" t="s">
        <v>111</v>
      </c>
      <c r="L362" t="str">
        <f>VLOOKUP(D362,Products!A:F,3,FALSE())</f>
        <v>Grocery</v>
      </c>
      <c r="M362" t="str">
        <f>VLOOKUP(C362,Customers!A:F,5,FALSE())</f>
        <v>SMB</v>
      </c>
      <c r="O362" t="str">
        <f>IFERROR(VLOOKUP(E362,Sales_Reps!$A:$C,3,FALSE()),"")</f>
        <v/>
      </c>
      <c r="P362">
        <f>IFERROR(VLOOKUP(C362,Customers!$A:$C,3,FALSE()),"")</f>
        <v>46</v>
      </c>
      <c r="Q362" t="str">
        <f t="shared" si="5"/>
        <v>Mar-24</v>
      </c>
      <c r="R362">
        <f>IFERROR((VLOOKUP(D362,Products!$A:$E,5,FALSE())-VLOOKUP(D362,Products!$A:$E,4,FALSE()))/VLOOKUP(D362,Products!$A:$E,5,FALSE()),"")</f>
        <v>0.54298642533936647</v>
      </c>
    </row>
    <row r="363" spans="1:18" x14ac:dyDescent="0.3">
      <c r="A363" s="22" t="s">
        <v>1103</v>
      </c>
      <c r="B363" s="23">
        <v>45591</v>
      </c>
      <c r="C363" s="22" t="s">
        <v>476</v>
      </c>
      <c r="D363" s="22" t="s">
        <v>319</v>
      </c>
      <c r="E363" s="22" t="s">
        <v>1104</v>
      </c>
      <c r="F363" s="24">
        <v>1</v>
      </c>
      <c r="G363" s="24">
        <v>1220</v>
      </c>
      <c r="H363" s="24">
        <v>16.100000000000001</v>
      </c>
      <c r="I363" s="24">
        <v>1023.58</v>
      </c>
      <c r="J363" s="22" t="s">
        <v>104</v>
      </c>
      <c r="K363" s="22" t="s">
        <v>111</v>
      </c>
      <c r="L363" t="str">
        <f>VLOOKUP(D363,Products!A:F,3,FALSE())</f>
        <v>Electronics</v>
      </c>
      <c r="M363" t="str">
        <f>VLOOKUP(C363,Customers!A:F,5,FALSE())</f>
        <v>SMB</v>
      </c>
      <c r="O363" t="str">
        <f>IFERROR(VLOOKUP(E363,Sales_Reps!$A:$C,3,FALSE()),"")</f>
        <v/>
      </c>
      <c r="P363">
        <f>IFERROR(VLOOKUP(C363,Customers!$A:$C,3,FALSE()),"")</f>
        <v>53</v>
      </c>
      <c r="Q363" t="str">
        <f t="shared" si="5"/>
        <v>Oct-24</v>
      </c>
      <c r="R363">
        <f>IFERROR((VLOOKUP(D363,Products!$A:$E,5,FALSE())-VLOOKUP(D363,Products!$A:$E,4,FALSE()))/VLOOKUP(D363,Products!$A:$E,5,FALSE()),"")</f>
        <v>0.57622950819672136</v>
      </c>
    </row>
    <row r="364" spans="1:18" x14ac:dyDescent="0.3">
      <c r="A364" s="22" t="s">
        <v>1105</v>
      </c>
      <c r="B364" s="23">
        <v>45561</v>
      </c>
      <c r="C364" s="22" t="s">
        <v>1106</v>
      </c>
      <c r="D364" s="22" t="s">
        <v>216</v>
      </c>
      <c r="E364" s="22" t="s">
        <v>1107</v>
      </c>
      <c r="F364" s="24">
        <v>2</v>
      </c>
      <c r="G364" s="24">
        <v>3570</v>
      </c>
      <c r="H364" s="24">
        <v>1.1000000000000001</v>
      </c>
      <c r="I364" s="24">
        <v>7061.46</v>
      </c>
      <c r="J364" s="22" t="s">
        <v>104</v>
      </c>
      <c r="K364" s="22" t="s">
        <v>134</v>
      </c>
      <c r="L364" t="str">
        <f>VLOOKUP(D364,Products!A:F,3,FALSE())</f>
        <v>Electronics</v>
      </c>
      <c r="M364" t="str">
        <f>VLOOKUP(C364,Customers!A:F,5,FALSE())</f>
        <v>Corporate</v>
      </c>
      <c r="O364" t="str">
        <f>IFERROR(VLOOKUP(E364,Sales_Reps!$A:$C,3,FALSE()),"")</f>
        <v/>
      </c>
      <c r="P364">
        <f>IFERROR(VLOOKUP(C364,Customers!$A:$C,3,FALSE()),"")</f>
        <v>43</v>
      </c>
      <c r="Q364" t="str">
        <f t="shared" si="5"/>
        <v>Sep-24</v>
      </c>
      <c r="R364">
        <f>IFERROR((VLOOKUP(D364,Products!$A:$E,5,FALSE())-VLOOKUP(D364,Products!$A:$E,4,FALSE()))/VLOOKUP(D364,Products!$A:$E,5,FALSE()),"")</f>
        <v>0.53361344537815125</v>
      </c>
    </row>
    <row r="365" spans="1:18" x14ac:dyDescent="0.3">
      <c r="A365" s="22" t="s">
        <v>1108</v>
      </c>
      <c r="B365" s="23">
        <v>45308</v>
      </c>
      <c r="C365" s="22" t="s">
        <v>1109</v>
      </c>
      <c r="D365" s="22" t="s">
        <v>591</v>
      </c>
      <c r="E365" s="22" t="s">
        <v>1110</v>
      </c>
      <c r="F365" s="24">
        <v>10</v>
      </c>
      <c r="G365" s="24">
        <v>3450</v>
      </c>
      <c r="H365" s="24">
        <v>12.6</v>
      </c>
      <c r="I365" s="24">
        <v>30153</v>
      </c>
      <c r="J365" s="22" t="s">
        <v>104</v>
      </c>
      <c r="K365" s="22" t="s">
        <v>134</v>
      </c>
      <c r="L365" t="str">
        <f>VLOOKUP(D365,Products!A:F,3,FALSE())</f>
        <v>Apparel</v>
      </c>
      <c r="M365" t="str">
        <f>VLOOKUP(C365,Customers!A:F,5,FALSE())</f>
        <v>Retail</v>
      </c>
      <c r="O365" t="str">
        <f>IFERROR(VLOOKUP(E365,Sales_Reps!$A:$C,3,FALSE()),"")</f>
        <v/>
      </c>
      <c r="P365">
        <f>IFERROR(VLOOKUP(C365,Customers!$A:$C,3,FALSE()),"")</f>
        <v>29</v>
      </c>
      <c r="Q365" t="str">
        <f t="shared" si="5"/>
        <v>Jan-24</v>
      </c>
      <c r="R365">
        <f>IFERROR((VLOOKUP(D365,Products!$A:$E,5,FALSE())-VLOOKUP(D365,Products!$A:$E,4,FALSE()))/VLOOKUP(D365,Products!$A:$E,5,FALSE()),"")</f>
        <v>0.49333333333333335</v>
      </c>
    </row>
    <row r="366" spans="1:18" x14ac:dyDescent="0.3">
      <c r="A366" s="22" t="s">
        <v>1111</v>
      </c>
      <c r="B366" s="23">
        <v>45563</v>
      </c>
      <c r="C366" s="22" t="s">
        <v>1072</v>
      </c>
      <c r="D366" s="22" t="s">
        <v>419</v>
      </c>
      <c r="E366" s="22" t="s">
        <v>1112</v>
      </c>
      <c r="F366" s="24">
        <v>4</v>
      </c>
      <c r="G366" s="24">
        <v>2210</v>
      </c>
      <c r="H366" s="24">
        <v>5.4</v>
      </c>
      <c r="I366" s="24">
        <v>8362.64</v>
      </c>
      <c r="J366" s="22" t="s">
        <v>104</v>
      </c>
      <c r="K366" s="22" t="s">
        <v>105</v>
      </c>
      <c r="L366" t="str">
        <f>VLOOKUP(D366,Products!A:F,3,FALSE())</f>
        <v>Grocery</v>
      </c>
      <c r="M366" t="str">
        <f>VLOOKUP(C366,Customers!A:F,5,FALSE())</f>
        <v>Retail</v>
      </c>
      <c r="O366" t="str">
        <f>IFERROR(VLOOKUP(E366,Sales_Reps!$A:$C,3,FALSE()),"")</f>
        <v/>
      </c>
      <c r="P366">
        <f>IFERROR(VLOOKUP(C366,Customers!$A:$C,3,FALSE()),"")</f>
        <v>36</v>
      </c>
      <c r="Q366" t="str">
        <f t="shared" si="5"/>
        <v>Sep-24</v>
      </c>
      <c r="R366">
        <f>IFERROR((VLOOKUP(D366,Products!$A:$E,5,FALSE())-VLOOKUP(D366,Products!$A:$E,4,FALSE()))/VLOOKUP(D366,Products!$A:$E,5,FALSE()),"")</f>
        <v>0.54298642533936647</v>
      </c>
    </row>
    <row r="367" spans="1:18" x14ac:dyDescent="0.3">
      <c r="A367" s="22" t="s">
        <v>1113</v>
      </c>
      <c r="B367" s="23">
        <v>45476</v>
      </c>
      <c r="C367" s="22" t="s">
        <v>1114</v>
      </c>
      <c r="D367" s="22" t="s">
        <v>674</v>
      </c>
      <c r="E367" s="22" t="s">
        <v>1115</v>
      </c>
      <c r="F367" s="24">
        <v>6</v>
      </c>
      <c r="G367" s="24">
        <v>1090</v>
      </c>
      <c r="H367" s="24">
        <v>2.9</v>
      </c>
      <c r="I367" s="24">
        <v>6350.34</v>
      </c>
      <c r="J367" s="22" t="s">
        <v>159</v>
      </c>
      <c r="K367" s="22" t="s">
        <v>151</v>
      </c>
      <c r="L367" t="str">
        <f>VLOOKUP(D367,Products!A:F,3,FALSE())</f>
        <v>Home</v>
      </c>
      <c r="M367" t="str">
        <f>VLOOKUP(C367,Customers!A:F,5,FALSE())</f>
        <v>Retail</v>
      </c>
      <c r="O367" t="str">
        <f>IFERROR(VLOOKUP(E367,Sales_Reps!$A:$C,3,FALSE()),"")</f>
        <v/>
      </c>
      <c r="P367">
        <f>IFERROR(VLOOKUP(C367,Customers!$A:$C,3,FALSE()),"")</f>
        <v>52</v>
      </c>
      <c r="Q367" t="str">
        <f t="shared" si="5"/>
        <v>Jul-24</v>
      </c>
      <c r="R367">
        <f>IFERROR((VLOOKUP(D367,Products!$A:$E,5,FALSE())-VLOOKUP(D367,Products!$A:$E,4,FALSE()))/VLOOKUP(D367,Products!$A:$E,5,FALSE()),"")</f>
        <v>0.57431192660550456</v>
      </c>
    </row>
    <row r="368" spans="1:18" x14ac:dyDescent="0.3">
      <c r="A368" s="22" t="s">
        <v>1116</v>
      </c>
      <c r="B368" s="23">
        <v>45364</v>
      </c>
      <c r="C368" s="22" t="s">
        <v>1117</v>
      </c>
      <c r="D368" s="22" t="s">
        <v>308</v>
      </c>
      <c r="E368" s="22" t="s">
        <v>1118</v>
      </c>
      <c r="F368" s="24">
        <v>8</v>
      </c>
      <c r="G368" s="24">
        <v>1540</v>
      </c>
      <c r="H368" s="24">
        <v>17.899999999999999</v>
      </c>
      <c r="I368" s="24">
        <v>10114.719999999999</v>
      </c>
      <c r="J368" s="22" t="s">
        <v>110</v>
      </c>
      <c r="K368" s="22" t="s">
        <v>111</v>
      </c>
      <c r="L368" t="str">
        <f>VLOOKUP(D368,Products!A:F,3,FALSE())</f>
        <v>Beauty</v>
      </c>
      <c r="M368" t="str">
        <f>VLOOKUP(C368,Customers!A:F,5,FALSE())</f>
        <v>SMB</v>
      </c>
      <c r="O368" t="str">
        <f>IFERROR(VLOOKUP(E368,Sales_Reps!$A:$C,3,FALSE()),"")</f>
        <v/>
      </c>
      <c r="P368">
        <f>IFERROR(VLOOKUP(C368,Customers!$A:$C,3,FALSE()),"")</f>
        <v>26</v>
      </c>
      <c r="Q368" t="str">
        <f t="shared" si="5"/>
        <v>Mar-24</v>
      </c>
      <c r="R368">
        <f>IFERROR((VLOOKUP(D368,Products!$A:$E,5,FALSE())-VLOOKUP(D368,Products!$A:$E,4,FALSE()))/VLOOKUP(D368,Products!$A:$E,5,FALSE()),"")</f>
        <v>0.57987012987012987</v>
      </c>
    </row>
    <row r="369" spans="1:18" x14ac:dyDescent="0.3">
      <c r="A369" s="22" t="s">
        <v>1119</v>
      </c>
      <c r="B369" s="23">
        <v>45371</v>
      </c>
      <c r="C369" s="22" t="s">
        <v>645</v>
      </c>
      <c r="D369" s="22" t="s">
        <v>157</v>
      </c>
      <c r="E369" s="22" t="s">
        <v>1120</v>
      </c>
      <c r="F369" s="24">
        <v>9</v>
      </c>
      <c r="G369" s="24">
        <v>2600</v>
      </c>
      <c r="H369" s="24">
        <v>4.0999999999999996</v>
      </c>
      <c r="I369" s="24">
        <v>22440.6</v>
      </c>
      <c r="J369" s="22" t="s">
        <v>104</v>
      </c>
      <c r="K369" s="22" t="s">
        <v>105</v>
      </c>
      <c r="L369" t="str">
        <f>VLOOKUP(D369,Products!A:F,3,FALSE())</f>
        <v>Electronics</v>
      </c>
      <c r="M369" t="str">
        <f>VLOOKUP(C369,Customers!A:F,5,FALSE())</f>
        <v>Retail</v>
      </c>
      <c r="O369" t="str">
        <f>IFERROR(VLOOKUP(E369,Sales_Reps!$A:$C,3,FALSE()),"")</f>
        <v/>
      </c>
      <c r="P369">
        <f>IFERROR(VLOOKUP(C369,Customers!$A:$C,3,FALSE()),"")</f>
        <v>49</v>
      </c>
      <c r="Q369" t="str">
        <f t="shared" si="5"/>
        <v>Mar-24</v>
      </c>
      <c r="R369">
        <f>IFERROR((VLOOKUP(D369,Products!$A:$E,5,FALSE())-VLOOKUP(D369,Products!$A:$E,4,FALSE()))/VLOOKUP(D369,Products!$A:$E,5,FALSE()),"")</f>
        <v>0.5953846153846154</v>
      </c>
    </row>
    <row r="370" spans="1:18" x14ac:dyDescent="0.3">
      <c r="A370" s="22" t="s">
        <v>1121</v>
      </c>
      <c r="B370" s="23">
        <v>45623</v>
      </c>
      <c r="C370" s="22" t="s">
        <v>972</v>
      </c>
      <c r="D370" s="22" t="s">
        <v>167</v>
      </c>
      <c r="E370" s="22" t="s">
        <v>1122</v>
      </c>
      <c r="F370" s="24">
        <v>2</v>
      </c>
      <c r="G370" s="24">
        <v>190</v>
      </c>
      <c r="H370" s="24">
        <v>4.8</v>
      </c>
      <c r="I370" s="24">
        <v>361.76</v>
      </c>
      <c r="J370" s="22" t="s">
        <v>104</v>
      </c>
      <c r="K370" s="22" t="s">
        <v>111</v>
      </c>
      <c r="L370" t="str">
        <f>VLOOKUP(D370,Products!A:F,3,FALSE())</f>
        <v>Sports</v>
      </c>
      <c r="M370" t="str">
        <f>VLOOKUP(C370,Customers!A:F,5,FALSE())</f>
        <v>Retail</v>
      </c>
      <c r="O370" t="str">
        <f>IFERROR(VLOOKUP(E370,Sales_Reps!$A:$C,3,FALSE()),"")</f>
        <v/>
      </c>
      <c r="P370">
        <f>IFERROR(VLOOKUP(C370,Customers!$A:$C,3,FALSE()),"")</f>
        <v>26</v>
      </c>
      <c r="Q370" t="str">
        <f t="shared" si="5"/>
        <v>Nov-24</v>
      </c>
      <c r="R370">
        <f>IFERROR((VLOOKUP(D370,Products!$A:$E,5,FALSE())-VLOOKUP(D370,Products!$A:$E,4,FALSE()))/VLOOKUP(D370,Products!$A:$E,5,FALSE()),"")</f>
        <v>0.22631578947368422</v>
      </c>
    </row>
    <row r="371" spans="1:18" x14ac:dyDescent="0.3">
      <c r="A371" s="22" t="s">
        <v>1123</v>
      </c>
      <c r="B371" s="23">
        <v>45441</v>
      </c>
      <c r="C371" s="22" t="s">
        <v>1124</v>
      </c>
      <c r="D371" s="22" t="s">
        <v>190</v>
      </c>
      <c r="E371" s="22" t="s">
        <v>1125</v>
      </c>
      <c r="F371" s="24">
        <v>9</v>
      </c>
      <c r="G371" s="24">
        <v>2480</v>
      </c>
      <c r="H371" s="24">
        <v>28.3</v>
      </c>
      <c r="I371" s="24">
        <v>16003.44</v>
      </c>
      <c r="J371" s="22" t="s">
        <v>104</v>
      </c>
      <c r="K371" s="22" t="s">
        <v>105</v>
      </c>
      <c r="L371" t="str">
        <f>VLOOKUP(D371,Products!A:F,3,FALSE())</f>
        <v>Apparel</v>
      </c>
      <c r="M371" t="str">
        <f>VLOOKUP(C371,Customers!A:F,5,FALSE())</f>
        <v>Corporate</v>
      </c>
      <c r="O371" t="str">
        <f>IFERROR(VLOOKUP(E371,Sales_Reps!$A:$C,3,FALSE()),"")</f>
        <v/>
      </c>
      <c r="P371">
        <f>IFERROR(VLOOKUP(C371,Customers!$A:$C,3,FALSE()),"")</f>
        <v>42</v>
      </c>
      <c r="Q371" t="str">
        <f t="shared" si="5"/>
        <v>May-24</v>
      </c>
      <c r="R371">
        <f>IFERROR((VLOOKUP(D371,Products!$A:$E,5,FALSE())-VLOOKUP(D371,Products!$A:$E,4,FALSE()))/VLOOKUP(D371,Products!$A:$E,5,FALSE()),"")</f>
        <v>0.52701612903225803</v>
      </c>
    </row>
    <row r="372" spans="1:18" x14ac:dyDescent="0.3">
      <c r="A372" s="22" t="s">
        <v>1126</v>
      </c>
      <c r="B372" s="23">
        <v>45442</v>
      </c>
      <c r="C372" s="22" t="s">
        <v>1127</v>
      </c>
      <c r="D372" s="22" t="s">
        <v>488</v>
      </c>
      <c r="E372" s="22" t="s">
        <v>1128</v>
      </c>
      <c r="F372" s="24">
        <v>7</v>
      </c>
      <c r="G372" s="24">
        <v>2290</v>
      </c>
      <c r="H372" s="24">
        <v>25</v>
      </c>
      <c r="I372" s="24">
        <v>12022.5</v>
      </c>
      <c r="J372" s="22" t="s">
        <v>159</v>
      </c>
      <c r="K372" s="22" t="s">
        <v>105</v>
      </c>
      <c r="L372" t="str">
        <f>VLOOKUP(D372,Products!A:F,3,FALSE())</f>
        <v>Beauty</v>
      </c>
      <c r="M372" t="str">
        <f>VLOOKUP(C372,Customers!A:F,5,FALSE())</f>
        <v>Retail</v>
      </c>
      <c r="O372" t="str">
        <f>IFERROR(VLOOKUP(E372,Sales_Reps!$A:$C,3,FALSE()),"")</f>
        <v/>
      </c>
      <c r="P372">
        <f>IFERROR(VLOOKUP(C372,Customers!$A:$C,3,FALSE()),"")</f>
        <v>35</v>
      </c>
      <c r="Q372" t="str">
        <f t="shared" si="5"/>
        <v>May-24</v>
      </c>
      <c r="R372">
        <f>IFERROR((VLOOKUP(D372,Products!$A:$E,5,FALSE())-VLOOKUP(D372,Products!$A:$E,4,FALSE()))/VLOOKUP(D372,Products!$A:$E,5,FALSE()),"")</f>
        <v>0.46768558951965067</v>
      </c>
    </row>
    <row r="373" spans="1:18" x14ac:dyDescent="0.3">
      <c r="A373" s="22" t="s">
        <v>1129</v>
      </c>
      <c r="B373" s="23">
        <v>45567</v>
      </c>
      <c r="C373" s="22" t="s">
        <v>278</v>
      </c>
      <c r="D373" s="22" t="s">
        <v>308</v>
      </c>
      <c r="E373" s="22" t="s">
        <v>1130</v>
      </c>
      <c r="F373" s="24">
        <v>9</v>
      </c>
      <c r="G373" s="24">
        <v>1540</v>
      </c>
      <c r="H373" s="24">
        <v>23.3</v>
      </c>
      <c r="I373" s="24">
        <v>10630.62</v>
      </c>
      <c r="J373" s="22" t="s">
        <v>104</v>
      </c>
      <c r="K373" s="22" t="s">
        <v>151</v>
      </c>
      <c r="L373" t="str">
        <f>VLOOKUP(D373,Products!A:F,3,FALSE())</f>
        <v>Beauty</v>
      </c>
      <c r="M373" t="str">
        <f>VLOOKUP(C373,Customers!A:F,5,FALSE())</f>
        <v>Retail</v>
      </c>
      <c r="O373" t="str">
        <f>IFERROR(VLOOKUP(E373,Sales_Reps!$A:$C,3,FALSE()),"")</f>
        <v/>
      </c>
      <c r="P373">
        <f>IFERROR(VLOOKUP(C373,Customers!$A:$C,3,FALSE()),"")</f>
        <v>64</v>
      </c>
      <c r="Q373" t="str">
        <f t="shared" si="5"/>
        <v>Oct-24</v>
      </c>
      <c r="R373">
        <f>IFERROR((VLOOKUP(D373,Products!$A:$E,5,FALSE())-VLOOKUP(D373,Products!$A:$E,4,FALSE()))/VLOOKUP(D373,Products!$A:$E,5,FALSE()),"")</f>
        <v>0.57987012987012987</v>
      </c>
    </row>
    <row r="374" spans="1:18" x14ac:dyDescent="0.3">
      <c r="A374" s="22" t="s">
        <v>1131</v>
      </c>
      <c r="B374" s="23">
        <v>45653</v>
      </c>
      <c r="C374" s="22" t="s">
        <v>448</v>
      </c>
      <c r="D374" s="22" t="s">
        <v>577</v>
      </c>
      <c r="E374" s="22" t="s">
        <v>1132</v>
      </c>
      <c r="F374" s="24">
        <v>2</v>
      </c>
      <c r="G374" s="24">
        <v>5080</v>
      </c>
      <c r="H374" s="24">
        <v>2.5</v>
      </c>
      <c r="I374" s="24">
        <v>9906</v>
      </c>
      <c r="J374" s="22" t="s">
        <v>159</v>
      </c>
      <c r="K374" s="22" t="s">
        <v>116</v>
      </c>
      <c r="L374" t="str">
        <f>VLOOKUP(D374,Products!A:F,3,FALSE())</f>
        <v>Home</v>
      </c>
      <c r="M374" t="str">
        <f>VLOOKUP(C374,Customers!A:F,5,FALSE())</f>
        <v>SMB</v>
      </c>
      <c r="O374" t="str">
        <f>IFERROR(VLOOKUP(E374,Sales_Reps!$A:$C,3,FALSE()),"")</f>
        <v/>
      </c>
      <c r="P374">
        <f>IFERROR(VLOOKUP(C374,Customers!$A:$C,3,FALSE()),"")</f>
        <v>28</v>
      </c>
      <c r="Q374" t="str">
        <f t="shared" si="5"/>
        <v>Dec-24</v>
      </c>
      <c r="R374">
        <f>IFERROR((VLOOKUP(D374,Products!$A:$E,5,FALSE())-VLOOKUP(D374,Products!$A:$E,4,FALSE()))/VLOOKUP(D374,Products!$A:$E,5,FALSE()),"")</f>
        <v>0.51594488188976373</v>
      </c>
    </row>
    <row r="375" spans="1:18" x14ac:dyDescent="0.3">
      <c r="A375" s="22" t="s">
        <v>1133</v>
      </c>
      <c r="B375" s="23">
        <v>45331</v>
      </c>
      <c r="C375" s="22" t="s">
        <v>658</v>
      </c>
      <c r="D375" s="22" t="s">
        <v>442</v>
      </c>
      <c r="E375" s="22" t="s">
        <v>1134</v>
      </c>
      <c r="F375" s="24">
        <v>4</v>
      </c>
      <c r="G375" s="24">
        <v>2510</v>
      </c>
      <c r="H375" s="24">
        <v>23.6</v>
      </c>
      <c r="I375" s="24">
        <v>7670.56</v>
      </c>
      <c r="J375" s="22" t="s">
        <v>104</v>
      </c>
      <c r="K375" s="22" t="s">
        <v>105</v>
      </c>
      <c r="L375" t="str">
        <f>VLOOKUP(D375,Products!A:F,3,FALSE())</f>
        <v>Apparel</v>
      </c>
      <c r="M375" t="str">
        <f>VLOOKUP(C375,Customers!A:F,5,FALSE())</f>
        <v>Retail</v>
      </c>
      <c r="O375" t="str">
        <f>IFERROR(VLOOKUP(E375,Sales_Reps!$A:$C,3,FALSE()),"")</f>
        <v/>
      </c>
      <c r="P375">
        <f>IFERROR(VLOOKUP(C375,Customers!$A:$C,3,FALSE()),"")</f>
        <v>57</v>
      </c>
      <c r="Q375" t="str">
        <f t="shared" si="5"/>
        <v>Feb-24</v>
      </c>
      <c r="R375">
        <f>IFERROR((VLOOKUP(D375,Products!$A:$E,5,FALSE())-VLOOKUP(D375,Products!$A:$E,4,FALSE()))/VLOOKUP(D375,Products!$A:$E,5,FALSE()),"")</f>
        <v>0.57171314741035861</v>
      </c>
    </row>
    <row r="376" spans="1:18" x14ac:dyDescent="0.3">
      <c r="A376" s="22" t="s">
        <v>1135</v>
      </c>
      <c r="B376" s="23">
        <v>45332</v>
      </c>
      <c r="C376" s="22" t="s">
        <v>448</v>
      </c>
      <c r="D376" s="22" t="s">
        <v>488</v>
      </c>
      <c r="E376" s="22" t="s">
        <v>1136</v>
      </c>
      <c r="F376" s="24">
        <v>5</v>
      </c>
      <c r="G376" s="24">
        <v>2290</v>
      </c>
      <c r="H376" s="24">
        <v>17</v>
      </c>
      <c r="I376" s="24">
        <v>9503.5</v>
      </c>
      <c r="J376" s="22" t="s">
        <v>104</v>
      </c>
      <c r="K376" s="22" t="s">
        <v>116</v>
      </c>
      <c r="L376" t="str">
        <f>VLOOKUP(D376,Products!A:F,3,FALSE())</f>
        <v>Beauty</v>
      </c>
      <c r="M376" t="str">
        <f>VLOOKUP(C376,Customers!A:F,5,FALSE())</f>
        <v>SMB</v>
      </c>
      <c r="O376" t="str">
        <f>IFERROR(VLOOKUP(E376,Sales_Reps!$A:$C,3,FALSE()),"")</f>
        <v/>
      </c>
      <c r="P376">
        <f>IFERROR(VLOOKUP(C376,Customers!$A:$C,3,FALSE()),"")</f>
        <v>28</v>
      </c>
      <c r="Q376" t="str">
        <f t="shared" si="5"/>
        <v>Feb-24</v>
      </c>
      <c r="R376">
        <f>IFERROR((VLOOKUP(D376,Products!$A:$E,5,FALSE())-VLOOKUP(D376,Products!$A:$E,4,FALSE()))/VLOOKUP(D376,Products!$A:$E,5,FALSE()),"")</f>
        <v>0.46768558951965067</v>
      </c>
    </row>
    <row r="377" spans="1:18" x14ac:dyDescent="0.3">
      <c r="A377" s="22" t="s">
        <v>1137</v>
      </c>
      <c r="B377" s="23">
        <v>45340</v>
      </c>
      <c r="C377" s="22" t="s">
        <v>403</v>
      </c>
      <c r="D377" s="22" t="s">
        <v>114</v>
      </c>
      <c r="E377" s="22" t="s">
        <v>1138</v>
      </c>
      <c r="F377" s="24">
        <v>8</v>
      </c>
      <c r="G377" s="24">
        <v>470</v>
      </c>
      <c r="H377" s="24">
        <v>9.3000000000000007</v>
      </c>
      <c r="I377" s="24">
        <v>3410.32</v>
      </c>
      <c r="J377" s="22" t="s">
        <v>104</v>
      </c>
      <c r="K377" s="22" t="s">
        <v>111</v>
      </c>
      <c r="L377" t="str">
        <f>VLOOKUP(D377,Products!A:F,3,FALSE())</f>
        <v>Sports</v>
      </c>
      <c r="M377" t="str">
        <f>VLOOKUP(C377,Customers!A:F,5,FALSE())</f>
        <v>Retail</v>
      </c>
      <c r="O377" t="str">
        <f>IFERROR(VLOOKUP(E377,Sales_Reps!$A:$C,3,FALSE()),"")</f>
        <v/>
      </c>
      <c r="P377">
        <f>IFERROR(VLOOKUP(C377,Customers!$A:$C,3,FALSE()),"")</f>
        <v>28</v>
      </c>
      <c r="Q377" t="str">
        <f t="shared" si="5"/>
        <v>Feb-24</v>
      </c>
      <c r="R377">
        <f>IFERROR((VLOOKUP(D377,Products!$A:$E,5,FALSE())-VLOOKUP(D377,Products!$A:$E,4,FALSE()))/VLOOKUP(D377,Products!$A:$E,5,FALSE()),"")</f>
        <v>0.35744680851063831</v>
      </c>
    </row>
    <row r="378" spans="1:18" x14ac:dyDescent="0.3">
      <c r="A378" s="22" t="s">
        <v>1139</v>
      </c>
      <c r="B378" s="23">
        <v>45564</v>
      </c>
      <c r="C378" s="22" t="s">
        <v>392</v>
      </c>
      <c r="D378" s="22" t="s">
        <v>220</v>
      </c>
      <c r="E378" s="22" t="s">
        <v>1140</v>
      </c>
      <c r="F378" s="24">
        <v>8</v>
      </c>
      <c r="G378" s="24">
        <v>5100</v>
      </c>
      <c r="H378" s="24">
        <v>4.5999999999999996</v>
      </c>
      <c r="I378" s="24">
        <v>38923.199999999997</v>
      </c>
      <c r="J378" s="22" t="s">
        <v>104</v>
      </c>
      <c r="K378" s="22" t="s">
        <v>151</v>
      </c>
      <c r="L378" t="str">
        <f>VLOOKUP(D378,Products!A:F,3,FALSE())</f>
        <v>Beauty</v>
      </c>
      <c r="M378" t="str">
        <f>VLOOKUP(C378,Customers!A:F,5,FALSE())</f>
        <v>SMB</v>
      </c>
      <c r="O378" t="str">
        <f>IFERROR(VLOOKUP(E378,Sales_Reps!$A:$C,3,FALSE()),"")</f>
        <v/>
      </c>
      <c r="P378">
        <f>IFERROR(VLOOKUP(C378,Customers!$A:$C,3,FALSE()),"")</f>
        <v>36</v>
      </c>
      <c r="Q378" t="str">
        <f t="shared" si="5"/>
        <v>Sep-24</v>
      </c>
      <c r="R378">
        <f>IFERROR((VLOOKUP(D378,Products!$A:$E,5,FALSE())-VLOOKUP(D378,Products!$A:$E,4,FALSE()))/VLOOKUP(D378,Products!$A:$E,5,FALSE()),"")</f>
        <v>0.56137254901960787</v>
      </c>
    </row>
    <row r="379" spans="1:18" x14ac:dyDescent="0.3">
      <c r="A379" s="22" t="s">
        <v>1141</v>
      </c>
      <c r="B379" s="23">
        <v>45296</v>
      </c>
      <c r="C379" s="22" t="s">
        <v>805</v>
      </c>
      <c r="D379" s="22" t="s">
        <v>455</v>
      </c>
      <c r="E379" s="22" t="s">
        <v>1142</v>
      </c>
      <c r="F379" s="24">
        <v>7</v>
      </c>
      <c r="G379" s="24">
        <v>5330</v>
      </c>
      <c r="H379" s="24">
        <v>2.5</v>
      </c>
      <c r="I379" s="24">
        <v>36377.25</v>
      </c>
      <c r="J379" s="22" t="s">
        <v>104</v>
      </c>
      <c r="K379" s="22" t="s">
        <v>111</v>
      </c>
      <c r="L379" t="str">
        <f>VLOOKUP(D379,Products!A:F,3,FALSE())</f>
        <v>Electronics</v>
      </c>
      <c r="M379" t="str">
        <f>VLOOKUP(C379,Customers!A:F,5,FALSE())</f>
        <v>SMB</v>
      </c>
      <c r="O379" t="str">
        <f>IFERROR(VLOOKUP(E379,Sales_Reps!$A:$C,3,FALSE()),"")</f>
        <v/>
      </c>
      <c r="P379">
        <f>IFERROR(VLOOKUP(C379,Customers!$A:$C,3,FALSE()),"")</f>
        <v>59</v>
      </c>
      <c r="Q379" t="str">
        <f t="shared" si="5"/>
        <v>Jan-24</v>
      </c>
      <c r="R379">
        <f>IFERROR((VLOOKUP(D379,Products!$A:$E,5,FALSE())-VLOOKUP(D379,Products!$A:$E,4,FALSE()))/VLOOKUP(D379,Products!$A:$E,5,FALSE()),"")</f>
        <v>0.54878048780487809</v>
      </c>
    </row>
    <row r="380" spans="1:18" x14ac:dyDescent="0.3">
      <c r="A380" s="22" t="s">
        <v>1143</v>
      </c>
      <c r="B380" s="23">
        <v>45364</v>
      </c>
      <c r="C380" s="22" t="s">
        <v>1144</v>
      </c>
      <c r="D380" s="22" t="s">
        <v>356</v>
      </c>
      <c r="E380" s="22" t="s">
        <v>1145</v>
      </c>
      <c r="F380" s="24">
        <v>10</v>
      </c>
      <c r="G380" s="24">
        <v>2030</v>
      </c>
      <c r="H380" s="24">
        <v>8.5</v>
      </c>
      <c r="I380" s="24">
        <v>18574.5</v>
      </c>
      <c r="J380" s="22" t="s">
        <v>104</v>
      </c>
      <c r="K380" s="22" t="s">
        <v>134</v>
      </c>
      <c r="L380" t="str">
        <f>VLOOKUP(D380,Products!A:F,3,FALSE())</f>
        <v>Home</v>
      </c>
      <c r="M380" t="str">
        <f>VLOOKUP(C380,Customers!A:F,5,FALSE())</f>
        <v>Retail</v>
      </c>
      <c r="O380" t="str">
        <f>IFERROR(VLOOKUP(E380,Sales_Reps!$A:$C,3,FALSE()),"")</f>
        <v/>
      </c>
      <c r="P380">
        <f>IFERROR(VLOOKUP(C380,Customers!$A:$C,3,FALSE()),"")</f>
        <v>27</v>
      </c>
      <c r="Q380" t="str">
        <f t="shared" si="5"/>
        <v>Mar-24</v>
      </c>
      <c r="R380">
        <f>IFERROR((VLOOKUP(D380,Products!$A:$E,5,FALSE())-VLOOKUP(D380,Products!$A:$E,4,FALSE()))/VLOOKUP(D380,Products!$A:$E,5,FALSE()),"")</f>
        <v>0.43694581280788175</v>
      </c>
    </row>
    <row r="381" spans="1:18" x14ac:dyDescent="0.3">
      <c r="A381" s="22" t="s">
        <v>1146</v>
      </c>
      <c r="B381" s="23">
        <v>45560</v>
      </c>
      <c r="C381" s="22" t="s">
        <v>1147</v>
      </c>
      <c r="D381" s="22" t="s">
        <v>577</v>
      </c>
      <c r="E381" s="22" t="s">
        <v>1148</v>
      </c>
      <c r="F381" s="24">
        <v>8</v>
      </c>
      <c r="G381" s="24">
        <v>5080</v>
      </c>
      <c r="H381" s="24">
        <v>9.6</v>
      </c>
      <c r="I381" s="24">
        <v>36738.559999999998</v>
      </c>
      <c r="J381" s="22" t="s">
        <v>159</v>
      </c>
      <c r="K381" s="22" t="s">
        <v>116</v>
      </c>
      <c r="L381" t="str">
        <f>VLOOKUP(D381,Products!A:F,3,FALSE())</f>
        <v>Home</v>
      </c>
      <c r="M381" t="str">
        <f>VLOOKUP(C381,Customers!A:F,5,FALSE())</f>
        <v>SMB</v>
      </c>
      <c r="O381" t="str">
        <f>IFERROR(VLOOKUP(E381,Sales_Reps!$A:$C,3,FALSE()),"")</f>
        <v/>
      </c>
      <c r="P381">
        <f>IFERROR(VLOOKUP(C381,Customers!$A:$C,3,FALSE()),"")</f>
        <v>29</v>
      </c>
      <c r="Q381" t="str">
        <f t="shared" si="5"/>
        <v>Sep-24</v>
      </c>
      <c r="R381">
        <f>IFERROR((VLOOKUP(D381,Products!$A:$E,5,FALSE())-VLOOKUP(D381,Products!$A:$E,4,FALSE()))/VLOOKUP(D381,Products!$A:$E,5,FALSE()),"")</f>
        <v>0.51594488188976373</v>
      </c>
    </row>
    <row r="382" spans="1:18" x14ac:dyDescent="0.3">
      <c r="A382" s="22" t="s">
        <v>1149</v>
      </c>
      <c r="B382" s="23">
        <v>45378</v>
      </c>
      <c r="C382" s="22" t="s">
        <v>200</v>
      </c>
      <c r="D382" s="22" t="s">
        <v>459</v>
      </c>
      <c r="E382" s="22" t="s">
        <v>1150</v>
      </c>
      <c r="F382" s="24">
        <v>1</v>
      </c>
      <c r="G382" s="24">
        <v>2380</v>
      </c>
      <c r="H382" s="24">
        <v>11.6</v>
      </c>
      <c r="I382" s="24">
        <v>2103.92</v>
      </c>
      <c r="J382" s="22" t="s">
        <v>110</v>
      </c>
      <c r="K382" s="22" t="s">
        <v>151</v>
      </c>
      <c r="L382" t="str">
        <f>VLOOKUP(D382,Products!A:F,3,FALSE())</f>
        <v>Grocery</v>
      </c>
      <c r="M382" t="str">
        <f>VLOOKUP(C382,Customers!A:F,5,FALSE())</f>
        <v>SMB</v>
      </c>
      <c r="O382" t="str">
        <f>IFERROR(VLOOKUP(E382,Sales_Reps!$A:$C,3,FALSE()),"")</f>
        <v/>
      </c>
      <c r="P382">
        <f>IFERROR(VLOOKUP(C382,Customers!$A:$C,3,FALSE()),"")</f>
        <v>40</v>
      </c>
      <c r="Q382" t="str">
        <f t="shared" si="5"/>
        <v>Mar-24</v>
      </c>
      <c r="R382">
        <f>IFERROR((VLOOKUP(D382,Products!$A:$E,5,FALSE())-VLOOKUP(D382,Products!$A:$E,4,FALSE()))/VLOOKUP(D382,Products!$A:$E,5,FALSE()),"")</f>
        <v>0.50336134453781511</v>
      </c>
    </row>
    <row r="383" spans="1:18" x14ac:dyDescent="0.3">
      <c r="A383" s="22" t="s">
        <v>1151</v>
      </c>
      <c r="B383" s="23">
        <v>45590</v>
      </c>
      <c r="C383" s="22" t="s">
        <v>326</v>
      </c>
      <c r="D383" s="22" t="s">
        <v>308</v>
      </c>
      <c r="E383" s="22" t="s">
        <v>1152</v>
      </c>
      <c r="F383" s="24">
        <v>8</v>
      </c>
      <c r="G383" s="24">
        <v>1540</v>
      </c>
      <c r="H383" s="24">
        <v>27.8</v>
      </c>
      <c r="I383" s="24">
        <v>8895.0400000000009</v>
      </c>
      <c r="J383" s="22" t="s">
        <v>104</v>
      </c>
      <c r="K383" s="22" t="s">
        <v>111</v>
      </c>
      <c r="L383" t="str">
        <f>VLOOKUP(D383,Products!A:F,3,FALSE())</f>
        <v>Beauty</v>
      </c>
      <c r="M383" t="str">
        <f>VLOOKUP(C383,Customers!A:F,5,FALSE())</f>
        <v>SMB</v>
      </c>
      <c r="O383" t="str">
        <f>IFERROR(VLOOKUP(E383,Sales_Reps!$A:$C,3,FALSE()),"")</f>
        <v/>
      </c>
      <c r="P383">
        <f>IFERROR(VLOOKUP(C383,Customers!$A:$C,3,FALSE()),"")</f>
        <v>55</v>
      </c>
      <c r="Q383" t="str">
        <f t="shared" si="5"/>
        <v>Oct-24</v>
      </c>
      <c r="R383">
        <f>IFERROR((VLOOKUP(D383,Products!$A:$E,5,FALSE())-VLOOKUP(D383,Products!$A:$E,4,FALSE()))/VLOOKUP(D383,Products!$A:$E,5,FALSE()),"")</f>
        <v>0.57987012987012987</v>
      </c>
    </row>
    <row r="384" spans="1:18" x14ac:dyDescent="0.3">
      <c r="A384" s="22" t="s">
        <v>1153</v>
      </c>
      <c r="B384" s="23">
        <v>45591</v>
      </c>
      <c r="C384" s="22" t="s">
        <v>1154</v>
      </c>
      <c r="D384" s="22" t="s">
        <v>149</v>
      </c>
      <c r="E384" s="22" t="s">
        <v>1155</v>
      </c>
      <c r="F384" s="24">
        <v>1</v>
      </c>
      <c r="G384" s="24">
        <v>2270</v>
      </c>
      <c r="H384" s="24">
        <v>6.5</v>
      </c>
      <c r="I384" s="24">
        <v>2122.4499999999998</v>
      </c>
      <c r="J384" s="22" t="s">
        <v>110</v>
      </c>
      <c r="K384" s="22" t="s">
        <v>1156</v>
      </c>
      <c r="L384" t="str">
        <f>VLOOKUP(D384,Products!A:F,3,FALSE())</f>
        <v>Grocery</v>
      </c>
      <c r="M384" t="str">
        <f>VLOOKUP(C384,Customers!A:F,5,FALSE())</f>
        <v>Retail</v>
      </c>
      <c r="O384" t="str">
        <f>IFERROR(VLOOKUP(E384,Sales_Reps!$A:$C,3,FALSE()),"")</f>
        <v/>
      </c>
      <c r="P384">
        <f>IFERROR(VLOOKUP(C384,Customers!$A:$C,3,FALSE()),"")</f>
        <v>31</v>
      </c>
      <c r="Q384" t="str">
        <f t="shared" si="5"/>
        <v>Oct-24</v>
      </c>
      <c r="R384">
        <f>IFERROR((VLOOKUP(D384,Products!$A:$E,5,FALSE())-VLOOKUP(D384,Products!$A:$E,4,FALSE()))/VLOOKUP(D384,Products!$A:$E,5,FALSE()),"")</f>
        <v>0.47004405286343615</v>
      </c>
    </row>
    <row r="385" spans="1:18" x14ac:dyDescent="0.3">
      <c r="A385" s="22" t="s">
        <v>1157</v>
      </c>
      <c r="B385" s="23">
        <v>45503</v>
      </c>
      <c r="C385" s="22" t="s">
        <v>386</v>
      </c>
      <c r="D385" s="22" t="s">
        <v>190</v>
      </c>
      <c r="E385" s="22" t="s">
        <v>1158</v>
      </c>
      <c r="F385" s="24">
        <v>6</v>
      </c>
      <c r="G385" s="24">
        <v>2480</v>
      </c>
      <c r="H385" s="24">
        <v>25.9</v>
      </c>
      <c r="I385" s="24">
        <v>11026.08</v>
      </c>
      <c r="J385" s="22" t="s">
        <v>104</v>
      </c>
      <c r="K385" s="22" t="s">
        <v>105</v>
      </c>
      <c r="L385" t="str">
        <f>VLOOKUP(D385,Products!A:F,3,FALSE())</f>
        <v>Apparel</v>
      </c>
      <c r="M385" t="str">
        <f>VLOOKUP(C385,Customers!A:F,5,FALSE())</f>
        <v>SMB</v>
      </c>
      <c r="O385" t="str">
        <f>IFERROR(VLOOKUP(E385,Sales_Reps!$A:$C,3,FALSE()),"")</f>
        <v/>
      </c>
      <c r="P385">
        <f>IFERROR(VLOOKUP(C385,Customers!$A:$C,3,FALSE()),"")</f>
        <v>60</v>
      </c>
      <c r="Q385" t="str">
        <f t="shared" si="5"/>
        <v>Jul-24</v>
      </c>
      <c r="R385">
        <f>IFERROR((VLOOKUP(D385,Products!$A:$E,5,FALSE())-VLOOKUP(D385,Products!$A:$E,4,FALSE()))/VLOOKUP(D385,Products!$A:$E,5,FALSE()),"")</f>
        <v>0.52701612903225803</v>
      </c>
    </row>
    <row r="386" spans="1:18" x14ac:dyDescent="0.3">
      <c r="A386" s="22" t="s">
        <v>1159</v>
      </c>
      <c r="B386" s="23">
        <v>45608</v>
      </c>
      <c r="C386" s="22" t="s">
        <v>389</v>
      </c>
      <c r="D386" s="22" t="s">
        <v>935</v>
      </c>
      <c r="E386" s="22" t="s">
        <v>1160</v>
      </c>
      <c r="F386" s="24">
        <v>3</v>
      </c>
      <c r="G386" s="24">
        <v>3560</v>
      </c>
      <c r="H386" s="24">
        <v>0.4</v>
      </c>
      <c r="I386" s="24">
        <v>10637.28</v>
      </c>
      <c r="J386" s="22" t="s">
        <v>164</v>
      </c>
      <c r="K386" s="22" t="s">
        <v>111</v>
      </c>
      <c r="L386" t="str">
        <f>VLOOKUP(D386,Products!A:F,3,FALSE())</f>
        <v>Apparel</v>
      </c>
      <c r="M386" t="str">
        <f>VLOOKUP(C386,Customers!A:F,5,FALSE())</f>
        <v>SMB</v>
      </c>
      <c r="O386" t="str">
        <f>IFERROR(VLOOKUP(E386,Sales_Reps!$A:$C,3,FALSE()),"")</f>
        <v/>
      </c>
      <c r="P386">
        <f>IFERROR(VLOOKUP(C386,Customers!$A:$C,3,FALSE()),"")</f>
        <v>57</v>
      </c>
      <c r="Q386" t="str">
        <f t="shared" ref="Q386:Q449" si="6">TEXT(B386,"mmm-yy")</f>
        <v>Nov-24</v>
      </c>
      <c r="R386">
        <f>IFERROR((VLOOKUP(D386,Products!$A:$E,5,FALSE())-VLOOKUP(D386,Products!$A:$E,4,FALSE()))/VLOOKUP(D386,Products!$A:$E,5,FALSE()),"")</f>
        <v>0.26151685393258428</v>
      </c>
    </row>
    <row r="387" spans="1:18" x14ac:dyDescent="0.3">
      <c r="A387" s="22" t="s">
        <v>1161</v>
      </c>
      <c r="B387" s="23">
        <v>45422</v>
      </c>
      <c r="C387" s="22" t="s">
        <v>921</v>
      </c>
      <c r="D387" s="22" t="s">
        <v>334</v>
      </c>
      <c r="E387" s="22" t="s">
        <v>1162</v>
      </c>
      <c r="F387" s="24">
        <v>4</v>
      </c>
      <c r="G387" s="24">
        <v>2660</v>
      </c>
      <c r="H387" s="24">
        <v>19.7</v>
      </c>
      <c r="I387" s="24">
        <v>8543.92</v>
      </c>
      <c r="J387" s="22" t="s">
        <v>159</v>
      </c>
      <c r="K387" s="22" t="s">
        <v>151</v>
      </c>
      <c r="L387" t="str">
        <f>VLOOKUP(D387,Products!A:F,3,FALSE())</f>
        <v>Electronics</v>
      </c>
      <c r="M387" t="str">
        <f>VLOOKUP(C387,Customers!A:F,5,FALSE())</f>
        <v>Retail</v>
      </c>
      <c r="O387" t="str">
        <f>IFERROR(VLOOKUP(E387,Sales_Reps!$A:$C,3,FALSE()),"")</f>
        <v/>
      </c>
      <c r="P387">
        <f>IFERROR(VLOOKUP(C387,Customers!$A:$C,3,FALSE()),"")</f>
        <v>50</v>
      </c>
      <c r="Q387" t="str">
        <f t="shared" si="6"/>
        <v>May-24</v>
      </c>
      <c r="R387">
        <f>IFERROR((VLOOKUP(D387,Products!$A:$E,5,FALSE())-VLOOKUP(D387,Products!$A:$E,4,FALSE()))/VLOOKUP(D387,Products!$A:$E,5,FALSE()),"")</f>
        <v>0.52669172932330832</v>
      </c>
    </row>
    <row r="388" spans="1:18" x14ac:dyDescent="0.3">
      <c r="A388" s="22" t="s">
        <v>1163</v>
      </c>
      <c r="B388" s="23">
        <v>45386</v>
      </c>
      <c r="C388" s="22" t="s">
        <v>196</v>
      </c>
      <c r="D388" s="22" t="s">
        <v>319</v>
      </c>
      <c r="E388" s="22" t="s">
        <v>1164</v>
      </c>
      <c r="F388" s="24">
        <v>10</v>
      </c>
      <c r="G388" s="24">
        <v>1220</v>
      </c>
      <c r="H388" s="24">
        <v>10.1</v>
      </c>
      <c r="I388" s="24">
        <v>10967.8</v>
      </c>
      <c r="J388" s="22" t="s">
        <v>159</v>
      </c>
      <c r="K388" s="22" t="s">
        <v>105</v>
      </c>
      <c r="L388" t="str">
        <f>VLOOKUP(D388,Products!A:F,3,FALSE())</f>
        <v>Electronics</v>
      </c>
      <c r="M388" t="str">
        <f>VLOOKUP(C388,Customers!A:F,5,FALSE())</f>
        <v>Retail</v>
      </c>
      <c r="O388" t="str">
        <f>IFERROR(VLOOKUP(E388,Sales_Reps!$A:$C,3,FALSE()),"")</f>
        <v/>
      </c>
      <c r="P388">
        <f>IFERROR(VLOOKUP(C388,Customers!$A:$C,3,FALSE()),"")</f>
        <v>50</v>
      </c>
      <c r="Q388" t="str">
        <f t="shared" si="6"/>
        <v>Apr-24</v>
      </c>
      <c r="R388">
        <f>IFERROR((VLOOKUP(D388,Products!$A:$E,5,FALSE())-VLOOKUP(D388,Products!$A:$E,4,FALSE()))/VLOOKUP(D388,Products!$A:$E,5,FALSE()),"")</f>
        <v>0.57622950819672136</v>
      </c>
    </row>
    <row r="389" spans="1:18" x14ac:dyDescent="0.3">
      <c r="A389" s="22" t="s">
        <v>1165</v>
      </c>
      <c r="B389" s="23">
        <v>45584</v>
      </c>
      <c r="C389" s="22" t="s">
        <v>965</v>
      </c>
      <c r="D389" s="22" t="s">
        <v>157</v>
      </c>
      <c r="E389" s="22" t="s">
        <v>1166</v>
      </c>
      <c r="F389" s="24">
        <v>8</v>
      </c>
      <c r="G389" s="24">
        <v>2600</v>
      </c>
      <c r="H389" s="24">
        <v>26.7</v>
      </c>
      <c r="I389" s="24">
        <v>15246.4</v>
      </c>
      <c r="J389" s="22" t="s">
        <v>104</v>
      </c>
      <c r="K389" s="22" t="s">
        <v>105</v>
      </c>
      <c r="L389" t="str">
        <f>VLOOKUP(D389,Products!A:F,3,FALSE())</f>
        <v>Electronics</v>
      </c>
      <c r="M389" t="str">
        <f>VLOOKUP(C389,Customers!A:F,5,FALSE())</f>
        <v>SMB</v>
      </c>
      <c r="O389" t="str">
        <f>IFERROR(VLOOKUP(E389,Sales_Reps!$A:$C,3,FALSE()),"")</f>
        <v/>
      </c>
      <c r="P389">
        <f>IFERROR(VLOOKUP(C389,Customers!$A:$C,3,FALSE()),"")</f>
        <v>35</v>
      </c>
      <c r="Q389" t="str">
        <f t="shared" si="6"/>
        <v>Oct-24</v>
      </c>
      <c r="R389">
        <f>IFERROR((VLOOKUP(D389,Products!$A:$E,5,FALSE())-VLOOKUP(D389,Products!$A:$E,4,FALSE()))/VLOOKUP(D389,Products!$A:$E,5,FALSE()),"")</f>
        <v>0.5953846153846154</v>
      </c>
    </row>
    <row r="390" spans="1:18" x14ac:dyDescent="0.3">
      <c r="A390" s="22" t="s">
        <v>1167</v>
      </c>
      <c r="B390" s="23">
        <v>45440</v>
      </c>
      <c r="C390" s="22" t="s">
        <v>700</v>
      </c>
      <c r="D390" s="22" t="s">
        <v>591</v>
      </c>
      <c r="E390" s="22" t="s">
        <v>1168</v>
      </c>
      <c r="F390" s="24">
        <v>10</v>
      </c>
      <c r="G390" s="24">
        <v>3450</v>
      </c>
      <c r="H390" s="24">
        <v>20.399999999999999</v>
      </c>
      <c r="I390" s="24">
        <v>27462</v>
      </c>
      <c r="J390" s="22" t="s">
        <v>104</v>
      </c>
      <c r="K390" s="22" t="s">
        <v>105</v>
      </c>
      <c r="L390" t="str">
        <f>VLOOKUP(D390,Products!A:F,3,FALSE())</f>
        <v>Apparel</v>
      </c>
      <c r="M390" t="str">
        <f>VLOOKUP(C390,Customers!A:F,5,FALSE())</f>
        <v>Retail</v>
      </c>
      <c r="O390" t="str">
        <f>IFERROR(VLOOKUP(E390,Sales_Reps!$A:$C,3,FALSE()),"")</f>
        <v/>
      </c>
      <c r="P390">
        <f>IFERROR(VLOOKUP(C390,Customers!$A:$C,3,FALSE()),"")</f>
        <v>49</v>
      </c>
      <c r="Q390" t="str">
        <f t="shared" si="6"/>
        <v>May-24</v>
      </c>
      <c r="R390">
        <f>IFERROR((VLOOKUP(D390,Products!$A:$E,5,FALSE())-VLOOKUP(D390,Products!$A:$E,4,FALSE()))/VLOOKUP(D390,Products!$A:$E,5,FALSE()),"")</f>
        <v>0.49333333333333335</v>
      </c>
    </row>
    <row r="391" spans="1:18" x14ac:dyDescent="0.3">
      <c r="A391" s="22" t="s">
        <v>1169</v>
      </c>
      <c r="B391" s="23">
        <v>45440</v>
      </c>
      <c r="C391" s="22" t="s">
        <v>240</v>
      </c>
      <c r="D391" s="22" t="s">
        <v>695</v>
      </c>
      <c r="E391" s="22" t="s">
        <v>1170</v>
      </c>
      <c r="F391" s="24">
        <v>1</v>
      </c>
      <c r="G391" s="24">
        <v>6940</v>
      </c>
      <c r="H391" s="24">
        <v>9.6999999999999993</v>
      </c>
      <c r="I391" s="24">
        <v>6266.82</v>
      </c>
      <c r="J391" s="22" t="s">
        <v>104</v>
      </c>
      <c r="K391" s="22" t="s">
        <v>151</v>
      </c>
      <c r="L391" t="str">
        <f>VLOOKUP(D391,Products!A:F,3,FALSE())</f>
        <v>Sports</v>
      </c>
      <c r="M391" t="str">
        <f>VLOOKUP(C391,Customers!A:F,5,FALSE())</f>
        <v>Retail</v>
      </c>
      <c r="O391" t="str">
        <f>IFERROR(VLOOKUP(E391,Sales_Reps!$A:$C,3,FALSE()),"")</f>
        <v/>
      </c>
      <c r="P391">
        <f>IFERROR(VLOOKUP(C391,Customers!$A:$C,3,FALSE()),"")</f>
        <v>26</v>
      </c>
      <c r="Q391" t="str">
        <f t="shared" si="6"/>
        <v>May-24</v>
      </c>
      <c r="R391">
        <f>IFERROR((VLOOKUP(D391,Products!$A:$E,5,FALSE())-VLOOKUP(D391,Products!$A:$E,4,FALSE()))/VLOOKUP(D391,Products!$A:$E,5,FALSE()),"")</f>
        <v>0.5926512968299712</v>
      </c>
    </row>
    <row r="392" spans="1:18" x14ac:dyDescent="0.3">
      <c r="A392" s="22" t="s">
        <v>1171</v>
      </c>
      <c r="B392" s="23">
        <v>45358</v>
      </c>
      <c r="C392" s="22" t="s">
        <v>1172</v>
      </c>
      <c r="D392" s="22" t="s">
        <v>205</v>
      </c>
      <c r="E392" s="22" t="s">
        <v>1173</v>
      </c>
      <c r="F392" s="24">
        <v>10</v>
      </c>
      <c r="G392" s="24">
        <v>3350</v>
      </c>
      <c r="H392" s="24">
        <v>3.2</v>
      </c>
      <c r="I392" s="24">
        <v>32428</v>
      </c>
      <c r="J392" s="22" t="s">
        <v>104</v>
      </c>
      <c r="K392" s="22" t="s">
        <v>111</v>
      </c>
      <c r="L392" t="str">
        <f>VLOOKUP(D392,Products!A:F,3,FALSE())</f>
        <v>Beauty</v>
      </c>
      <c r="M392" t="str">
        <f>VLOOKUP(C392,Customers!A:F,5,FALSE())</f>
        <v>Retail</v>
      </c>
      <c r="O392" t="str">
        <f>IFERROR(VLOOKUP(E392,Sales_Reps!$A:$C,3,FALSE()),"")</f>
        <v/>
      </c>
      <c r="P392">
        <f>IFERROR(VLOOKUP(C392,Customers!$A:$C,3,FALSE()),"")</f>
        <v>22</v>
      </c>
      <c r="Q392" t="str">
        <f t="shared" si="6"/>
        <v>Mar-24</v>
      </c>
      <c r="R392">
        <f>IFERROR((VLOOKUP(D392,Products!$A:$E,5,FALSE())-VLOOKUP(D392,Products!$A:$E,4,FALSE()))/VLOOKUP(D392,Products!$A:$E,5,FALSE()),"")</f>
        <v>0.48417910447761192</v>
      </c>
    </row>
    <row r="393" spans="1:18" x14ac:dyDescent="0.3">
      <c r="A393" s="22" t="s">
        <v>1174</v>
      </c>
      <c r="B393" s="23">
        <v>45387</v>
      </c>
      <c r="C393" s="22" t="s">
        <v>1175</v>
      </c>
      <c r="D393" s="22" t="s">
        <v>308</v>
      </c>
      <c r="E393" s="22" t="s">
        <v>1176</v>
      </c>
      <c r="F393" s="24">
        <v>7</v>
      </c>
      <c r="G393" s="24">
        <v>1540</v>
      </c>
      <c r="H393" s="24">
        <v>0.5</v>
      </c>
      <c r="I393" s="24">
        <v>10726.1</v>
      </c>
      <c r="J393" s="22" t="s">
        <v>104</v>
      </c>
      <c r="K393" s="22" t="s">
        <v>116</v>
      </c>
      <c r="L393" t="str">
        <f>VLOOKUP(D393,Products!A:F,3,FALSE())</f>
        <v>Beauty</v>
      </c>
      <c r="M393" t="str">
        <f>VLOOKUP(C393,Customers!A:F,5,FALSE())</f>
        <v>Retail</v>
      </c>
      <c r="O393" t="str">
        <f>IFERROR(VLOOKUP(E393,Sales_Reps!$A:$C,3,FALSE()),"")</f>
        <v/>
      </c>
      <c r="P393">
        <f>IFERROR(VLOOKUP(C393,Customers!$A:$C,3,FALSE()),"")</f>
        <v>63</v>
      </c>
      <c r="Q393" t="str">
        <f t="shared" si="6"/>
        <v>Apr-24</v>
      </c>
      <c r="R393">
        <f>IFERROR((VLOOKUP(D393,Products!$A:$E,5,FALSE())-VLOOKUP(D393,Products!$A:$E,4,FALSE()))/VLOOKUP(D393,Products!$A:$E,5,FALSE()),"")</f>
        <v>0.57987012987012987</v>
      </c>
    </row>
    <row r="394" spans="1:18" x14ac:dyDescent="0.3">
      <c r="A394" s="22" t="s">
        <v>1177</v>
      </c>
      <c r="B394" s="23">
        <v>45655</v>
      </c>
      <c r="C394" s="22" t="s">
        <v>1178</v>
      </c>
      <c r="D394" s="22" t="s">
        <v>102</v>
      </c>
      <c r="E394" s="22" t="s">
        <v>1179</v>
      </c>
      <c r="F394" s="24">
        <v>10</v>
      </c>
      <c r="G394" s="24">
        <v>3620</v>
      </c>
      <c r="H394" s="24">
        <v>22</v>
      </c>
      <c r="I394" s="24">
        <v>28236</v>
      </c>
      <c r="J394" s="22" t="s">
        <v>104</v>
      </c>
      <c r="K394" s="22" t="s">
        <v>105</v>
      </c>
      <c r="L394" t="str">
        <f>VLOOKUP(D394,Products!A:F,3,FALSE())</f>
        <v>Apparel</v>
      </c>
      <c r="M394" t="e">
        <f>VLOOKUP(C394,Customers!A:F,5,FALSE())</f>
        <v>#N/A</v>
      </c>
      <c r="O394" t="str">
        <f>IFERROR(VLOOKUP(E394,Sales_Reps!$A:$C,3,FALSE()),"")</f>
        <v/>
      </c>
      <c r="P394" t="str">
        <f>IFERROR(VLOOKUP(C394,Customers!$A:$C,3,FALSE()),"")</f>
        <v/>
      </c>
      <c r="Q394" t="str">
        <f t="shared" si="6"/>
        <v>Dec-24</v>
      </c>
      <c r="R394">
        <f>IFERROR((VLOOKUP(D394,Products!$A:$E,5,FALSE())-VLOOKUP(D394,Products!$A:$E,4,FALSE()))/VLOOKUP(D394,Products!$A:$E,5,FALSE()),"")</f>
        <v>0.3069060773480663</v>
      </c>
    </row>
    <row r="395" spans="1:18" x14ac:dyDescent="0.3">
      <c r="A395" s="22" t="s">
        <v>1180</v>
      </c>
      <c r="B395" s="23">
        <v>45629</v>
      </c>
      <c r="C395" s="22" t="s">
        <v>274</v>
      </c>
      <c r="D395" s="22" t="s">
        <v>114</v>
      </c>
      <c r="E395" s="22" t="s">
        <v>1181</v>
      </c>
      <c r="F395" s="24">
        <v>2</v>
      </c>
      <c r="G395" s="24">
        <v>470</v>
      </c>
      <c r="H395" s="24">
        <v>26.5</v>
      </c>
      <c r="I395" s="24">
        <v>690.9</v>
      </c>
      <c r="J395" s="22" t="s">
        <v>110</v>
      </c>
      <c r="K395" s="22" t="s">
        <v>105</v>
      </c>
      <c r="L395" t="str">
        <f>VLOOKUP(D395,Products!A:F,3,FALSE())</f>
        <v>Sports</v>
      </c>
      <c r="M395" t="str">
        <f>VLOOKUP(C395,Customers!A:F,5,FALSE())</f>
        <v>SMB</v>
      </c>
      <c r="O395" t="str">
        <f>IFERROR(VLOOKUP(E395,Sales_Reps!$A:$C,3,FALSE()),"")</f>
        <v/>
      </c>
      <c r="P395">
        <f>IFERROR(VLOOKUP(C395,Customers!$A:$C,3,FALSE()),"")</f>
        <v>29</v>
      </c>
      <c r="Q395" t="str">
        <f t="shared" si="6"/>
        <v>Dec-24</v>
      </c>
      <c r="R395">
        <f>IFERROR((VLOOKUP(D395,Products!$A:$E,5,FALSE())-VLOOKUP(D395,Products!$A:$E,4,FALSE()))/VLOOKUP(D395,Products!$A:$E,5,FALSE()),"")</f>
        <v>0.35744680851063831</v>
      </c>
    </row>
    <row r="396" spans="1:18" x14ac:dyDescent="0.3">
      <c r="A396" s="22" t="s">
        <v>1182</v>
      </c>
      <c r="B396" s="23">
        <v>45323</v>
      </c>
      <c r="C396" s="22" t="s">
        <v>1183</v>
      </c>
      <c r="D396" s="22" t="s">
        <v>119</v>
      </c>
      <c r="E396" s="22" t="s">
        <v>1184</v>
      </c>
      <c r="F396" s="24">
        <v>6</v>
      </c>
      <c r="G396" s="24">
        <v>3660</v>
      </c>
      <c r="H396" s="24">
        <v>1.5</v>
      </c>
      <c r="I396" s="24">
        <v>21630.6</v>
      </c>
      <c r="J396" s="22" t="s">
        <v>104</v>
      </c>
      <c r="K396" s="22" t="s">
        <v>111</v>
      </c>
      <c r="L396" t="str">
        <f>VLOOKUP(D396,Products!A:F,3,FALSE())</f>
        <v>Grocery</v>
      </c>
      <c r="M396" t="str">
        <f>VLOOKUP(C396,Customers!A:F,5,FALSE())</f>
        <v>SMB</v>
      </c>
      <c r="O396" t="str">
        <f>IFERROR(VLOOKUP(E396,Sales_Reps!$A:$C,3,FALSE()),"")</f>
        <v/>
      </c>
      <c r="P396">
        <f>IFERROR(VLOOKUP(C396,Customers!$A:$C,3,FALSE()),"")</f>
        <v>39</v>
      </c>
      <c r="Q396" t="str">
        <f t="shared" si="6"/>
        <v>Feb-24</v>
      </c>
      <c r="R396">
        <f>IFERROR((VLOOKUP(D396,Products!$A:$E,5,FALSE())-VLOOKUP(D396,Products!$A:$E,4,FALSE()))/VLOOKUP(D396,Products!$A:$E,5,FALSE()),"")</f>
        <v>0.39508196721311473</v>
      </c>
    </row>
    <row r="397" spans="1:18" x14ac:dyDescent="0.3">
      <c r="A397" s="22" t="s">
        <v>1185</v>
      </c>
      <c r="B397" s="23">
        <v>45432</v>
      </c>
      <c r="C397" s="22" t="s">
        <v>136</v>
      </c>
      <c r="D397" s="22" t="s">
        <v>695</v>
      </c>
      <c r="E397" s="22" t="s">
        <v>1186</v>
      </c>
      <c r="F397" s="24">
        <v>10</v>
      </c>
      <c r="G397" s="24">
        <v>6940</v>
      </c>
      <c r="H397" s="24">
        <v>1.9</v>
      </c>
      <c r="I397" s="24">
        <v>68081.399999999994</v>
      </c>
      <c r="J397" s="22" t="s">
        <v>104</v>
      </c>
      <c r="K397" s="22" t="s">
        <v>134</v>
      </c>
      <c r="L397" t="str">
        <f>VLOOKUP(D397,Products!A:F,3,FALSE())</f>
        <v>Sports</v>
      </c>
      <c r="M397" t="str">
        <f>VLOOKUP(C397,Customers!A:F,5,FALSE())</f>
        <v>Corporate</v>
      </c>
      <c r="O397" t="str">
        <f>IFERROR(VLOOKUP(E397,Sales_Reps!$A:$C,3,FALSE()),"")</f>
        <v/>
      </c>
      <c r="P397">
        <f>IFERROR(VLOOKUP(C397,Customers!$A:$C,3,FALSE()),"")</f>
        <v>57</v>
      </c>
      <c r="Q397" t="str">
        <f t="shared" si="6"/>
        <v>May-24</v>
      </c>
      <c r="R397">
        <f>IFERROR((VLOOKUP(D397,Products!$A:$E,5,FALSE())-VLOOKUP(D397,Products!$A:$E,4,FALSE()))/VLOOKUP(D397,Products!$A:$E,5,FALSE()),"")</f>
        <v>0.5926512968299712</v>
      </c>
    </row>
    <row r="398" spans="1:18" x14ac:dyDescent="0.3">
      <c r="A398" s="22" t="s">
        <v>1187</v>
      </c>
      <c r="B398" s="23">
        <v>45397</v>
      </c>
      <c r="C398" s="22" t="s">
        <v>802</v>
      </c>
      <c r="D398" s="22" t="s">
        <v>488</v>
      </c>
      <c r="E398" s="22" t="s">
        <v>1188</v>
      </c>
      <c r="F398" s="24">
        <v>8</v>
      </c>
      <c r="G398" s="24">
        <v>2290</v>
      </c>
      <c r="H398" s="24">
        <v>27.9</v>
      </c>
      <c r="I398" s="24">
        <v>13208.72</v>
      </c>
      <c r="J398" s="22" t="s">
        <v>104</v>
      </c>
      <c r="K398" s="22" t="s">
        <v>105</v>
      </c>
      <c r="L398" t="str">
        <f>VLOOKUP(D398,Products!A:F,3,FALSE())</f>
        <v>Beauty</v>
      </c>
      <c r="M398" t="str">
        <f>VLOOKUP(C398,Customers!A:F,5,FALSE())</f>
        <v>Corporate</v>
      </c>
      <c r="O398" t="str">
        <f>IFERROR(VLOOKUP(E398,Sales_Reps!$A:$C,3,FALSE()),"")</f>
        <v/>
      </c>
      <c r="P398">
        <f>IFERROR(VLOOKUP(C398,Customers!$A:$C,3,FALSE()),"")</f>
        <v>40</v>
      </c>
      <c r="Q398" t="str">
        <f t="shared" si="6"/>
        <v>Apr-24</v>
      </c>
      <c r="R398">
        <f>IFERROR((VLOOKUP(D398,Products!$A:$E,5,FALSE())-VLOOKUP(D398,Products!$A:$E,4,FALSE()))/VLOOKUP(D398,Products!$A:$E,5,FALSE()),"")</f>
        <v>0.46768558951965067</v>
      </c>
    </row>
    <row r="399" spans="1:18" x14ac:dyDescent="0.3">
      <c r="A399" s="22" t="s">
        <v>1189</v>
      </c>
      <c r="B399" s="23">
        <v>45573</v>
      </c>
      <c r="C399" s="22" t="s">
        <v>690</v>
      </c>
      <c r="D399" s="22" t="s">
        <v>123</v>
      </c>
      <c r="E399" s="22" t="s">
        <v>1190</v>
      </c>
      <c r="F399" s="24">
        <v>9</v>
      </c>
      <c r="G399" s="24">
        <v>3160</v>
      </c>
      <c r="H399" s="24">
        <v>10.199999999999999</v>
      </c>
      <c r="I399" s="24">
        <v>25539.119999999999</v>
      </c>
      <c r="J399" s="22" t="s">
        <v>104</v>
      </c>
      <c r="K399" s="22" t="s">
        <v>151</v>
      </c>
      <c r="L399" t="str">
        <f>VLOOKUP(D399,Products!A:F,3,FALSE())</f>
        <v>Apparel</v>
      </c>
      <c r="M399" t="str">
        <f>VLOOKUP(C399,Customers!A:F,5,FALSE())</f>
        <v>Retail</v>
      </c>
      <c r="O399" t="str">
        <f>IFERROR(VLOOKUP(E399,Sales_Reps!$A:$C,3,FALSE()),"")</f>
        <v/>
      </c>
      <c r="P399">
        <f>IFERROR(VLOOKUP(C399,Customers!$A:$C,3,FALSE()),"")</f>
        <v>61</v>
      </c>
      <c r="Q399" t="str">
        <f t="shared" si="6"/>
        <v>Oct-24</v>
      </c>
      <c r="R399">
        <f>IFERROR((VLOOKUP(D399,Products!$A:$E,5,FALSE())-VLOOKUP(D399,Products!$A:$E,4,FALSE()))/VLOOKUP(D399,Products!$A:$E,5,FALSE()),"")</f>
        <v>0.4031645569620253</v>
      </c>
    </row>
    <row r="400" spans="1:18" x14ac:dyDescent="0.3">
      <c r="A400" s="22" t="s">
        <v>1191</v>
      </c>
      <c r="B400" s="23">
        <v>45307</v>
      </c>
      <c r="C400" s="22" t="s">
        <v>1192</v>
      </c>
      <c r="D400" s="22" t="s">
        <v>577</v>
      </c>
      <c r="E400" s="22" t="s">
        <v>1193</v>
      </c>
      <c r="F400" s="24">
        <v>6</v>
      </c>
      <c r="G400" s="24">
        <v>5080</v>
      </c>
      <c r="H400" s="24">
        <v>25.4</v>
      </c>
      <c r="I400" s="24">
        <v>22738.080000000002</v>
      </c>
      <c r="J400" s="22" t="s">
        <v>104</v>
      </c>
      <c r="K400" s="22" t="s">
        <v>105</v>
      </c>
      <c r="L400" t="str">
        <f>VLOOKUP(D400,Products!A:F,3,FALSE())</f>
        <v>Home</v>
      </c>
      <c r="M400" t="str">
        <f>VLOOKUP(C400,Customers!A:F,5,FALSE())</f>
        <v>Retail</v>
      </c>
      <c r="O400" t="str">
        <f>IFERROR(VLOOKUP(E400,Sales_Reps!$A:$C,3,FALSE()),"")</f>
        <v/>
      </c>
      <c r="P400">
        <f>IFERROR(VLOOKUP(C400,Customers!$A:$C,3,FALSE()),"")</f>
        <v>36</v>
      </c>
      <c r="Q400" t="str">
        <f t="shared" si="6"/>
        <v>Jan-24</v>
      </c>
      <c r="R400">
        <f>IFERROR((VLOOKUP(D400,Products!$A:$E,5,FALSE())-VLOOKUP(D400,Products!$A:$E,4,FALSE()))/VLOOKUP(D400,Products!$A:$E,5,FALSE()),"")</f>
        <v>0.51594488188976373</v>
      </c>
    </row>
    <row r="401" spans="1:18" x14ac:dyDescent="0.3">
      <c r="A401" s="22" t="s">
        <v>1194</v>
      </c>
      <c r="B401" s="23">
        <v>45620</v>
      </c>
      <c r="C401" s="22" t="s">
        <v>1082</v>
      </c>
      <c r="D401" s="22" t="s">
        <v>231</v>
      </c>
      <c r="E401" s="22" t="s">
        <v>1195</v>
      </c>
      <c r="F401" s="24">
        <v>6</v>
      </c>
      <c r="G401" s="24">
        <v>2760</v>
      </c>
      <c r="H401" s="24">
        <v>21.3</v>
      </c>
      <c r="I401" s="24">
        <v>13032.72</v>
      </c>
      <c r="J401" s="22" t="s">
        <v>104</v>
      </c>
      <c r="K401" s="22" t="s">
        <v>151</v>
      </c>
      <c r="L401" t="str">
        <f>VLOOKUP(D401,Products!A:F,3,FALSE())</f>
        <v>Grocery</v>
      </c>
      <c r="M401" t="str">
        <f>VLOOKUP(C401,Customers!A:F,5,FALSE())</f>
        <v>Retail</v>
      </c>
      <c r="O401" t="str">
        <f>IFERROR(VLOOKUP(E401,Sales_Reps!$A:$C,3,FALSE()),"")</f>
        <v/>
      </c>
      <c r="P401">
        <f>IFERROR(VLOOKUP(C401,Customers!$A:$C,3,FALSE()),"")</f>
        <v>64</v>
      </c>
      <c r="Q401" t="str">
        <f t="shared" si="6"/>
        <v>Nov-24</v>
      </c>
      <c r="R401">
        <f>IFERROR((VLOOKUP(D401,Products!$A:$E,5,FALSE())-VLOOKUP(D401,Products!$A:$E,4,FALSE()))/VLOOKUP(D401,Products!$A:$E,5,FALSE()),"")</f>
        <v>0.48007246376811596</v>
      </c>
    </row>
    <row r="402" spans="1:18" x14ac:dyDescent="0.3">
      <c r="A402" s="22" t="s">
        <v>1196</v>
      </c>
      <c r="B402" s="23">
        <v>45462</v>
      </c>
      <c r="C402" s="22" t="s">
        <v>1197</v>
      </c>
      <c r="D402" s="22" t="s">
        <v>319</v>
      </c>
      <c r="E402" s="22" t="s">
        <v>1198</v>
      </c>
      <c r="F402" s="24">
        <v>5</v>
      </c>
      <c r="G402" s="24">
        <v>1220</v>
      </c>
      <c r="H402" s="24">
        <v>7.6</v>
      </c>
      <c r="I402" s="24">
        <v>5636.4</v>
      </c>
      <c r="J402" s="22" t="s">
        <v>104</v>
      </c>
      <c r="K402" s="22" t="s">
        <v>129</v>
      </c>
      <c r="L402" t="str">
        <f>VLOOKUP(D402,Products!A:F,3,FALSE())</f>
        <v>Electronics</v>
      </c>
      <c r="M402" t="e">
        <f>VLOOKUP(C402,Customers!A:F,5,FALSE())</f>
        <v>#N/A</v>
      </c>
      <c r="O402" t="str">
        <f>IFERROR(VLOOKUP(E402,Sales_Reps!$A:$C,3,FALSE()),"")</f>
        <v/>
      </c>
      <c r="P402" t="str">
        <f>IFERROR(VLOOKUP(C402,Customers!$A:$C,3,FALSE()),"")</f>
        <v/>
      </c>
      <c r="Q402" t="str">
        <f t="shared" si="6"/>
        <v>Jun-24</v>
      </c>
      <c r="R402">
        <f>IFERROR((VLOOKUP(D402,Products!$A:$E,5,FALSE())-VLOOKUP(D402,Products!$A:$E,4,FALSE()))/VLOOKUP(D402,Products!$A:$E,5,FALSE()),"")</f>
        <v>0.57622950819672136</v>
      </c>
    </row>
    <row r="403" spans="1:18" x14ac:dyDescent="0.3">
      <c r="A403" s="22" t="s">
        <v>1199</v>
      </c>
      <c r="B403" s="23">
        <v>45622</v>
      </c>
      <c r="C403" s="22" t="s">
        <v>364</v>
      </c>
      <c r="D403" s="22" t="s">
        <v>212</v>
      </c>
      <c r="E403" s="22" t="s">
        <v>1200</v>
      </c>
      <c r="F403" s="24">
        <v>5</v>
      </c>
      <c r="G403" s="24">
        <v>4880</v>
      </c>
      <c r="H403" s="24">
        <v>8.5</v>
      </c>
      <c r="I403" s="24">
        <v>22326</v>
      </c>
      <c r="J403" s="22" t="s">
        <v>104</v>
      </c>
      <c r="K403" s="22" t="s">
        <v>111</v>
      </c>
      <c r="L403" t="str">
        <f>VLOOKUP(D403,Products!A:F,3,FALSE())</f>
        <v>Beauty</v>
      </c>
      <c r="M403" t="str">
        <f>VLOOKUP(C403,Customers!A:F,5,FALSE())</f>
        <v>Retail</v>
      </c>
      <c r="O403" t="str">
        <f>IFERROR(VLOOKUP(E403,Sales_Reps!$A:$C,3,FALSE()),"")</f>
        <v/>
      </c>
      <c r="P403">
        <f>IFERROR(VLOOKUP(C403,Customers!$A:$C,3,FALSE()),"")</f>
        <v>41</v>
      </c>
      <c r="Q403" t="str">
        <f t="shared" si="6"/>
        <v>Nov-24</v>
      </c>
      <c r="R403">
        <f>IFERROR((VLOOKUP(D403,Products!$A:$E,5,FALSE())-VLOOKUP(D403,Products!$A:$E,4,FALSE()))/VLOOKUP(D403,Products!$A:$E,5,FALSE()),"")</f>
        <v>0.43278688524590164</v>
      </c>
    </row>
    <row r="404" spans="1:18" x14ac:dyDescent="0.3">
      <c r="A404" s="22" t="s">
        <v>1201</v>
      </c>
      <c r="B404" s="23">
        <v>45596</v>
      </c>
      <c r="C404" s="22" t="s">
        <v>271</v>
      </c>
      <c r="D404" s="22" t="s">
        <v>315</v>
      </c>
      <c r="E404" s="22" t="s">
        <v>1202</v>
      </c>
      <c r="F404" s="24">
        <v>7</v>
      </c>
      <c r="G404" s="24">
        <v>4070</v>
      </c>
      <c r="H404" s="24">
        <v>28</v>
      </c>
      <c r="I404" s="24">
        <v>20512.8</v>
      </c>
      <c r="J404" s="22" t="s">
        <v>104</v>
      </c>
      <c r="K404" s="22" t="s">
        <v>134</v>
      </c>
      <c r="L404" t="str">
        <f>VLOOKUP(D404,Products!A:F,3,FALSE())</f>
        <v>Grocery</v>
      </c>
      <c r="M404" t="str">
        <f>VLOOKUP(C404,Customers!A:F,5,FALSE())</f>
        <v>SMB</v>
      </c>
      <c r="O404" t="str">
        <f>IFERROR(VLOOKUP(E404,Sales_Reps!$A:$C,3,FALSE()),"")</f>
        <v/>
      </c>
      <c r="P404">
        <f>IFERROR(VLOOKUP(C404,Customers!$A:$C,3,FALSE()),"")</f>
        <v>64</v>
      </c>
      <c r="Q404" t="str">
        <f t="shared" si="6"/>
        <v>Oct-24</v>
      </c>
      <c r="R404">
        <f>IFERROR((VLOOKUP(D404,Products!$A:$E,5,FALSE())-VLOOKUP(D404,Products!$A:$E,4,FALSE()))/VLOOKUP(D404,Products!$A:$E,5,FALSE()),"")</f>
        <v>0.50196560196560192</v>
      </c>
    </row>
    <row r="405" spans="1:18" x14ac:dyDescent="0.3">
      <c r="A405" s="22" t="s">
        <v>1203</v>
      </c>
      <c r="B405" s="23">
        <v>45506</v>
      </c>
      <c r="C405" s="22" t="s">
        <v>673</v>
      </c>
      <c r="D405" s="22" t="s">
        <v>521</v>
      </c>
      <c r="E405" s="22" t="s">
        <v>1204</v>
      </c>
      <c r="F405" s="24">
        <v>2</v>
      </c>
      <c r="G405" s="24">
        <v>3970</v>
      </c>
      <c r="H405" s="24">
        <v>14</v>
      </c>
      <c r="I405" s="24">
        <v>6828.4</v>
      </c>
      <c r="J405" s="22" t="s">
        <v>104</v>
      </c>
      <c r="K405" s="22" t="s">
        <v>151</v>
      </c>
      <c r="L405" t="str">
        <f>VLOOKUP(D405,Products!A:F,3,FALSE())</f>
        <v>Electronics</v>
      </c>
      <c r="M405" t="str">
        <f>VLOOKUP(C405,Customers!A:F,5,FALSE())</f>
        <v>SMB</v>
      </c>
      <c r="O405" t="str">
        <f>IFERROR(VLOOKUP(E405,Sales_Reps!$A:$C,3,FALSE()),"")</f>
        <v/>
      </c>
      <c r="P405">
        <f>IFERROR(VLOOKUP(C405,Customers!$A:$C,3,FALSE()),"")</f>
        <v>65</v>
      </c>
      <c r="Q405" t="str">
        <f t="shared" si="6"/>
        <v>Aug-24</v>
      </c>
      <c r="R405">
        <f>IFERROR((VLOOKUP(D405,Products!$A:$E,5,FALSE())-VLOOKUP(D405,Products!$A:$E,4,FALSE()))/VLOOKUP(D405,Products!$A:$E,5,FALSE()),"")</f>
        <v>0.27833753148614609</v>
      </c>
    </row>
    <row r="406" spans="1:18" x14ac:dyDescent="0.3">
      <c r="A406" s="22" t="s">
        <v>1205</v>
      </c>
      <c r="B406" s="23">
        <v>45349</v>
      </c>
      <c r="C406" s="22" t="s">
        <v>318</v>
      </c>
      <c r="D406" s="22" t="s">
        <v>334</v>
      </c>
      <c r="E406" s="22" t="s">
        <v>1206</v>
      </c>
      <c r="F406" s="24">
        <v>9</v>
      </c>
      <c r="G406" s="24">
        <v>2660</v>
      </c>
      <c r="H406" s="24">
        <v>10.1</v>
      </c>
      <c r="I406" s="24">
        <v>21522.06</v>
      </c>
      <c r="J406" s="22" t="s">
        <v>104</v>
      </c>
      <c r="K406" s="22" t="s">
        <v>116</v>
      </c>
      <c r="L406" t="str">
        <f>VLOOKUP(D406,Products!A:F,3,FALSE())</f>
        <v>Electronics</v>
      </c>
      <c r="M406" t="str">
        <f>VLOOKUP(C406,Customers!A:F,5,FALSE())</f>
        <v>Corporate</v>
      </c>
      <c r="O406" t="str">
        <f>IFERROR(VLOOKUP(E406,Sales_Reps!$A:$C,3,FALSE()),"")</f>
        <v/>
      </c>
      <c r="P406">
        <f>IFERROR(VLOOKUP(C406,Customers!$A:$C,3,FALSE()),"")</f>
        <v>55</v>
      </c>
      <c r="Q406" t="str">
        <f t="shared" si="6"/>
        <v>Feb-24</v>
      </c>
      <c r="R406">
        <f>IFERROR((VLOOKUP(D406,Products!$A:$E,5,FALSE())-VLOOKUP(D406,Products!$A:$E,4,FALSE()))/VLOOKUP(D406,Products!$A:$E,5,FALSE()),"")</f>
        <v>0.52669172932330832</v>
      </c>
    </row>
    <row r="407" spans="1:18" x14ac:dyDescent="0.3">
      <c r="A407" s="22" t="s">
        <v>1207</v>
      </c>
      <c r="B407" s="23">
        <v>45407</v>
      </c>
      <c r="C407" s="22" t="s">
        <v>1208</v>
      </c>
      <c r="D407" s="22" t="s">
        <v>224</v>
      </c>
      <c r="E407" s="22" t="s">
        <v>1209</v>
      </c>
      <c r="F407" s="24">
        <v>9</v>
      </c>
      <c r="G407" s="24">
        <v>2860</v>
      </c>
      <c r="H407" s="24">
        <v>10.1</v>
      </c>
      <c r="I407" s="24">
        <v>23140.26</v>
      </c>
      <c r="J407" s="22" t="s">
        <v>164</v>
      </c>
      <c r="K407" s="22" t="s">
        <v>105</v>
      </c>
      <c r="L407" t="str">
        <f>VLOOKUP(D407,Products!A:F,3,FALSE())</f>
        <v>Sports</v>
      </c>
      <c r="M407" t="str">
        <f>VLOOKUP(C407,Customers!A:F,5,FALSE())</f>
        <v>Retail</v>
      </c>
      <c r="O407" t="str">
        <f>IFERROR(VLOOKUP(E407,Sales_Reps!$A:$C,3,FALSE()),"")</f>
        <v/>
      </c>
      <c r="P407">
        <f>IFERROR(VLOOKUP(C407,Customers!$A:$C,3,FALSE()),"")</f>
        <v>36</v>
      </c>
      <c r="Q407" t="str">
        <f t="shared" si="6"/>
        <v>Apr-24</v>
      </c>
      <c r="R407">
        <f>IFERROR((VLOOKUP(D407,Products!$A:$E,5,FALSE())-VLOOKUP(D407,Products!$A:$E,4,FALSE()))/VLOOKUP(D407,Products!$A:$E,5,FALSE()),"")</f>
        <v>0.29090909090909089</v>
      </c>
    </row>
    <row r="408" spans="1:18" x14ac:dyDescent="0.3">
      <c r="A408" s="22" t="s">
        <v>1210</v>
      </c>
      <c r="B408" s="23">
        <v>45591</v>
      </c>
      <c r="C408" s="22" t="s">
        <v>351</v>
      </c>
      <c r="D408" s="22" t="s">
        <v>319</v>
      </c>
      <c r="E408" s="22" t="s">
        <v>1211</v>
      </c>
      <c r="F408" s="24">
        <v>7</v>
      </c>
      <c r="G408" s="24">
        <v>1220</v>
      </c>
      <c r="H408" s="24">
        <v>23.5</v>
      </c>
      <c r="I408" s="24">
        <v>6533.1</v>
      </c>
      <c r="J408" s="22" t="s">
        <v>164</v>
      </c>
      <c r="K408" s="22" t="s">
        <v>116</v>
      </c>
      <c r="L408" t="str">
        <f>VLOOKUP(D408,Products!A:F,3,FALSE())</f>
        <v>Electronics</v>
      </c>
      <c r="M408" t="str">
        <f>VLOOKUP(C408,Customers!A:F,5,FALSE())</f>
        <v>Retail</v>
      </c>
      <c r="O408" t="str">
        <f>IFERROR(VLOOKUP(E408,Sales_Reps!$A:$C,3,FALSE()),"")</f>
        <v/>
      </c>
      <c r="P408">
        <f>IFERROR(VLOOKUP(C408,Customers!$A:$C,3,FALSE()),"")</f>
        <v>35</v>
      </c>
      <c r="Q408" t="str">
        <f t="shared" si="6"/>
        <v>Oct-24</v>
      </c>
      <c r="R408">
        <f>IFERROR((VLOOKUP(D408,Products!$A:$E,5,FALSE())-VLOOKUP(D408,Products!$A:$E,4,FALSE()))/VLOOKUP(D408,Products!$A:$E,5,FALSE()),"")</f>
        <v>0.57622950819672136</v>
      </c>
    </row>
    <row r="409" spans="1:18" x14ac:dyDescent="0.3">
      <c r="A409" s="22" t="s">
        <v>1212</v>
      </c>
      <c r="B409" s="23">
        <v>45584</v>
      </c>
      <c r="C409" s="22" t="s">
        <v>563</v>
      </c>
      <c r="D409" s="22" t="s">
        <v>289</v>
      </c>
      <c r="E409" s="22" t="s">
        <v>1213</v>
      </c>
      <c r="F409" s="24">
        <v>1</v>
      </c>
      <c r="G409" s="24">
        <v>2270</v>
      </c>
      <c r="H409" s="24">
        <v>5.8</v>
      </c>
      <c r="I409" s="24">
        <v>2138.34</v>
      </c>
      <c r="J409" s="22" t="s">
        <v>159</v>
      </c>
      <c r="K409" s="22" t="s">
        <v>116</v>
      </c>
      <c r="L409" t="str">
        <f>VLOOKUP(D409,Products!A:F,3,FALSE())</f>
        <v>Grocery</v>
      </c>
      <c r="M409" t="str">
        <f>VLOOKUP(C409,Customers!A:F,5,FALSE())</f>
        <v>Corporate</v>
      </c>
      <c r="O409" t="str">
        <f>IFERROR(VLOOKUP(E409,Sales_Reps!$A:$C,3,FALSE()),"")</f>
        <v/>
      </c>
      <c r="P409">
        <f>IFERROR(VLOOKUP(C409,Customers!$A:$C,3,FALSE()),"")</f>
        <v>31</v>
      </c>
      <c r="Q409" t="str">
        <f t="shared" si="6"/>
        <v>Oct-24</v>
      </c>
      <c r="R409">
        <f>IFERROR((VLOOKUP(D409,Products!$A:$E,5,FALSE())-VLOOKUP(D409,Products!$A:$E,4,FALSE()))/VLOOKUP(D409,Products!$A:$E,5,FALSE()),"")</f>
        <v>0.37797356828193834</v>
      </c>
    </row>
    <row r="410" spans="1:18" x14ac:dyDescent="0.3">
      <c r="A410" s="22" t="s">
        <v>1214</v>
      </c>
      <c r="B410" s="23">
        <v>45581</v>
      </c>
      <c r="C410" s="22" t="s">
        <v>861</v>
      </c>
      <c r="D410" s="22" t="s">
        <v>234</v>
      </c>
      <c r="E410" s="22" t="s">
        <v>1215</v>
      </c>
      <c r="F410" s="24">
        <v>2</v>
      </c>
      <c r="G410" s="24">
        <v>660</v>
      </c>
      <c r="H410" s="24">
        <v>2.2999999999999998</v>
      </c>
      <c r="I410" s="24">
        <v>1289.6400000000001</v>
      </c>
      <c r="J410" s="22" t="s">
        <v>104</v>
      </c>
      <c r="K410" s="22" t="s">
        <v>129</v>
      </c>
      <c r="L410" t="str">
        <f>VLOOKUP(D410,Products!A:F,3,FALSE())</f>
        <v>Home</v>
      </c>
      <c r="M410" t="str">
        <f>VLOOKUP(C410,Customers!A:F,5,FALSE())</f>
        <v>SMB</v>
      </c>
      <c r="O410" t="str">
        <f>IFERROR(VLOOKUP(E410,Sales_Reps!$A:$C,3,FALSE()),"")</f>
        <v/>
      </c>
      <c r="P410">
        <f>IFERROR(VLOOKUP(C410,Customers!$A:$C,3,FALSE()),"")</f>
        <v>65</v>
      </c>
      <c r="Q410" t="str">
        <f t="shared" si="6"/>
        <v>Oct-24</v>
      </c>
      <c r="R410">
        <f>IFERROR((VLOOKUP(D410,Products!$A:$E,5,FALSE())-VLOOKUP(D410,Products!$A:$E,4,FALSE()))/VLOOKUP(D410,Products!$A:$E,5,FALSE()),"")</f>
        <v>0.50151515151515147</v>
      </c>
    </row>
    <row r="411" spans="1:18" x14ac:dyDescent="0.3">
      <c r="A411" s="22" t="s">
        <v>1216</v>
      </c>
      <c r="B411" s="23">
        <v>45441</v>
      </c>
      <c r="C411" s="22" t="s">
        <v>428</v>
      </c>
      <c r="D411" s="22" t="s">
        <v>123</v>
      </c>
      <c r="E411" s="22" t="s">
        <v>1217</v>
      </c>
      <c r="F411" s="24">
        <v>1</v>
      </c>
      <c r="G411" s="24">
        <v>3160</v>
      </c>
      <c r="H411" s="24">
        <v>5.6</v>
      </c>
      <c r="I411" s="24">
        <v>2983.04</v>
      </c>
      <c r="J411" s="22" t="s">
        <v>104</v>
      </c>
      <c r="K411" s="22" t="s">
        <v>111</v>
      </c>
      <c r="L411" t="str">
        <f>VLOOKUP(D411,Products!A:F,3,FALSE())</f>
        <v>Apparel</v>
      </c>
      <c r="M411" t="str">
        <f>VLOOKUP(C411,Customers!A:F,5,FALSE())</f>
        <v>Corporate</v>
      </c>
      <c r="O411" t="str">
        <f>IFERROR(VLOOKUP(E411,Sales_Reps!$A:$C,3,FALSE()),"")</f>
        <v/>
      </c>
      <c r="P411">
        <f>IFERROR(VLOOKUP(C411,Customers!$A:$C,3,FALSE()),"")</f>
        <v>38</v>
      </c>
      <c r="Q411" t="str">
        <f t="shared" si="6"/>
        <v>May-24</v>
      </c>
      <c r="R411">
        <f>IFERROR((VLOOKUP(D411,Products!$A:$E,5,FALSE())-VLOOKUP(D411,Products!$A:$E,4,FALSE()))/VLOOKUP(D411,Products!$A:$E,5,FALSE()),"")</f>
        <v>0.4031645569620253</v>
      </c>
    </row>
    <row r="412" spans="1:18" x14ac:dyDescent="0.3">
      <c r="A412" s="22" t="s">
        <v>1218</v>
      </c>
      <c r="B412" s="23">
        <v>45408</v>
      </c>
      <c r="C412" s="22" t="s">
        <v>122</v>
      </c>
      <c r="D412" s="22" t="s">
        <v>157</v>
      </c>
      <c r="E412" s="22" t="s">
        <v>1219</v>
      </c>
      <c r="F412" s="24">
        <v>1</v>
      </c>
      <c r="G412" s="24">
        <v>2600</v>
      </c>
      <c r="H412" s="24">
        <v>1</v>
      </c>
      <c r="I412" s="24">
        <v>2574</v>
      </c>
      <c r="J412" s="22" t="s">
        <v>104</v>
      </c>
      <c r="K412" s="22" t="s">
        <v>111</v>
      </c>
      <c r="L412" t="str">
        <f>VLOOKUP(D412,Products!A:F,3,FALSE())</f>
        <v>Electronics</v>
      </c>
      <c r="M412" t="str">
        <f>VLOOKUP(C412,Customers!A:F,5,FALSE())</f>
        <v>Retail</v>
      </c>
      <c r="O412" t="str">
        <f>IFERROR(VLOOKUP(E412,Sales_Reps!$A:$C,3,FALSE()),"")</f>
        <v/>
      </c>
      <c r="P412">
        <f>IFERROR(VLOOKUP(C412,Customers!$A:$C,3,FALSE()),"")</f>
        <v>36</v>
      </c>
      <c r="Q412" t="str">
        <f t="shared" si="6"/>
        <v>Apr-24</v>
      </c>
      <c r="R412">
        <f>IFERROR((VLOOKUP(D412,Products!$A:$E,5,FALSE())-VLOOKUP(D412,Products!$A:$E,4,FALSE()))/VLOOKUP(D412,Products!$A:$E,5,FALSE()),"")</f>
        <v>0.5953846153846154</v>
      </c>
    </row>
    <row r="413" spans="1:18" x14ac:dyDescent="0.3">
      <c r="A413" s="22" t="s">
        <v>1220</v>
      </c>
      <c r="B413" s="23">
        <v>45515</v>
      </c>
      <c r="C413" s="22" t="s">
        <v>1221</v>
      </c>
      <c r="D413" s="22" t="s">
        <v>323</v>
      </c>
      <c r="E413" s="22" t="s">
        <v>1222</v>
      </c>
      <c r="F413" s="24">
        <v>4</v>
      </c>
      <c r="G413" s="24">
        <v>4610</v>
      </c>
      <c r="H413" s="24">
        <v>18.7</v>
      </c>
      <c r="I413" s="24">
        <v>14991.72</v>
      </c>
      <c r="J413" s="22" t="s">
        <v>104</v>
      </c>
      <c r="K413" s="22" t="s">
        <v>111</v>
      </c>
      <c r="L413" t="str">
        <f>VLOOKUP(D413,Products!A:F,3,FALSE())</f>
        <v>Home</v>
      </c>
      <c r="M413" t="str">
        <f>VLOOKUP(C413,Customers!A:F,5,FALSE())</f>
        <v>Retail</v>
      </c>
      <c r="O413" t="str">
        <f>IFERROR(VLOOKUP(E413,Sales_Reps!$A:$C,3,FALSE()),"")</f>
        <v/>
      </c>
      <c r="P413">
        <f>IFERROR(VLOOKUP(C413,Customers!$A:$C,3,FALSE()),"")</f>
        <v>32</v>
      </c>
      <c r="Q413" t="str">
        <f t="shared" si="6"/>
        <v>Aug-24</v>
      </c>
      <c r="R413">
        <f>IFERROR((VLOOKUP(D413,Products!$A:$E,5,FALSE())-VLOOKUP(D413,Products!$A:$E,4,FALSE()))/VLOOKUP(D413,Products!$A:$E,5,FALSE()),"")</f>
        <v>0.59869848156182215</v>
      </c>
    </row>
    <row r="414" spans="1:18" x14ac:dyDescent="0.3">
      <c r="A414" s="22" t="s">
        <v>1223</v>
      </c>
      <c r="B414" s="23">
        <v>45412</v>
      </c>
      <c r="C414" s="22" t="s">
        <v>766</v>
      </c>
      <c r="D414" s="22" t="s">
        <v>279</v>
      </c>
      <c r="E414" s="22" t="s">
        <v>1224</v>
      </c>
      <c r="F414" s="24">
        <v>3</v>
      </c>
      <c r="G414" s="24">
        <v>3640</v>
      </c>
      <c r="H414" s="24">
        <v>9.6999999999999993</v>
      </c>
      <c r="I414" s="24">
        <v>9860.76</v>
      </c>
      <c r="J414" s="22" t="s">
        <v>159</v>
      </c>
      <c r="K414" s="22" t="s">
        <v>105</v>
      </c>
      <c r="L414" t="str">
        <f>VLOOKUP(D414,Products!A:F,3,FALSE())</f>
        <v>Apparel</v>
      </c>
      <c r="M414" t="str">
        <f>VLOOKUP(C414,Customers!A:F,5,FALSE())</f>
        <v>Retail</v>
      </c>
      <c r="O414" t="str">
        <f>IFERROR(VLOOKUP(E414,Sales_Reps!$A:$C,3,FALSE()),"")</f>
        <v/>
      </c>
      <c r="P414">
        <f>IFERROR(VLOOKUP(C414,Customers!$A:$C,3,FALSE()),"")</f>
        <v>62</v>
      </c>
      <c r="Q414" t="str">
        <f t="shared" si="6"/>
        <v>Apr-24</v>
      </c>
      <c r="R414">
        <f>IFERROR((VLOOKUP(D414,Products!$A:$E,5,FALSE())-VLOOKUP(D414,Products!$A:$E,4,FALSE()))/VLOOKUP(D414,Products!$A:$E,5,FALSE()),"")</f>
        <v>0.28269230769230769</v>
      </c>
    </row>
    <row r="415" spans="1:18" x14ac:dyDescent="0.3">
      <c r="A415" s="22" t="s">
        <v>1225</v>
      </c>
      <c r="B415" s="23">
        <v>45448</v>
      </c>
      <c r="C415" s="22" t="s">
        <v>745</v>
      </c>
      <c r="D415" s="22" t="s">
        <v>197</v>
      </c>
      <c r="E415" s="22" t="s">
        <v>1226</v>
      </c>
      <c r="F415" s="24">
        <v>6</v>
      </c>
      <c r="G415" s="24">
        <v>2720</v>
      </c>
      <c r="H415" s="24">
        <v>13</v>
      </c>
      <c r="I415" s="24">
        <v>14198.4</v>
      </c>
      <c r="J415" s="22" t="s">
        <v>110</v>
      </c>
      <c r="K415" s="22" t="s">
        <v>116</v>
      </c>
      <c r="L415" t="str">
        <f>VLOOKUP(D415,Products!A:F,3,FALSE())</f>
        <v>Apparel</v>
      </c>
      <c r="M415" t="str">
        <f>VLOOKUP(C415,Customers!A:F,5,FALSE())</f>
        <v>SMB</v>
      </c>
      <c r="O415" t="str">
        <f>IFERROR(VLOOKUP(E415,Sales_Reps!$A:$C,3,FALSE()),"")</f>
        <v/>
      </c>
      <c r="P415">
        <f>IFERROR(VLOOKUP(C415,Customers!$A:$C,3,FALSE()),"")</f>
        <v>29</v>
      </c>
      <c r="Q415" t="str">
        <f t="shared" si="6"/>
        <v>Jun-24</v>
      </c>
      <c r="R415">
        <f>IFERROR((VLOOKUP(D415,Products!$A:$E,5,FALSE())-VLOOKUP(D415,Products!$A:$E,4,FALSE()))/VLOOKUP(D415,Products!$A:$E,5,FALSE()),"")</f>
        <v>0.2786764705882353</v>
      </c>
    </row>
    <row r="416" spans="1:18" x14ac:dyDescent="0.3">
      <c r="A416" s="22" t="s">
        <v>1227</v>
      </c>
      <c r="B416" s="23">
        <v>45644</v>
      </c>
      <c r="C416" s="22" t="s">
        <v>719</v>
      </c>
      <c r="D416" s="22" t="s">
        <v>605</v>
      </c>
      <c r="E416" s="22" t="s">
        <v>1228</v>
      </c>
      <c r="F416" s="24">
        <v>5</v>
      </c>
      <c r="G416" s="24">
        <v>3780</v>
      </c>
      <c r="H416" s="24">
        <v>15.2</v>
      </c>
      <c r="I416" s="24">
        <v>16027.2</v>
      </c>
      <c r="J416" s="22" t="s">
        <v>104</v>
      </c>
      <c r="K416" s="22" t="s">
        <v>116</v>
      </c>
      <c r="L416" t="str">
        <f>VLOOKUP(D416,Products!A:F,3,FALSE())</f>
        <v>Sports</v>
      </c>
      <c r="M416" t="str">
        <f>VLOOKUP(C416,Customers!A:F,5,FALSE())</f>
        <v>Retail</v>
      </c>
      <c r="O416" t="str">
        <f>IFERROR(VLOOKUP(E416,Sales_Reps!$A:$C,3,FALSE()),"")</f>
        <v/>
      </c>
      <c r="P416">
        <f>IFERROR(VLOOKUP(C416,Customers!$A:$C,3,FALSE()),"")</f>
        <v>45</v>
      </c>
      <c r="Q416" t="str">
        <f t="shared" si="6"/>
        <v>Dec-24</v>
      </c>
      <c r="R416">
        <f>IFERROR((VLOOKUP(D416,Products!$A:$E,5,FALSE())-VLOOKUP(D416,Products!$A:$E,4,FALSE()))/VLOOKUP(D416,Products!$A:$E,5,FALSE()),"")</f>
        <v>0.50793650793650791</v>
      </c>
    </row>
    <row r="417" spans="1:18" x14ac:dyDescent="0.3">
      <c r="A417" s="22" t="s">
        <v>1229</v>
      </c>
      <c r="B417" s="23">
        <v>45407</v>
      </c>
      <c r="C417" s="22" t="s">
        <v>1230</v>
      </c>
      <c r="D417" s="22" t="s">
        <v>674</v>
      </c>
      <c r="E417" s="22" t="s">
        <v>1231</v>
      </c>
      <c r="F417" s="24">
        <v>9</v>
      </c>
      <c r="G417" s="24">
        <v>1090</v>
      </c>
      <c r="H417" s="24">
        <v>28.5</v>
      </c>
      <c r="I417" s="24">
        <v>7014.15</v>
      </c>
      <c r="J417" s="22" t="s">
        <v>104</v>
      </c>
      <c r="K417" s="22" t="s">
        <v>151</v>
      </c>
      <c r="L417" t="str">
        <f>VLOOKUP(D417,Products!A:F,3,FALSE())</f>
        <v>Home</v>
      </c>
      <c r="M417" t="str">
        <f>VLOOKUP(C417,Customers!A:F,5,FALSE())</f>
        <v>Retail</v>
      </c>
      <c r="O417" t="str">
        <f>IFERROR(VLOOKUP(E417,Sales_Reps!$A:$C,3,FALSE()),"")</f>
        <v/>
      </c>
      <c r="P417">
        <f>IFERROR(VLOOKUP(C417,Customers!$A:$C,3,FALSE()),"")</f>
        <v>52</v>
      </c>
      <c r="Q417" t="str">
        <f t="shared" si="6"/>
        <v>Apr-24</v>
      </c>
      <c r="R417">
        <f>IFERROR((VLOOKUP(D417,Products!$A:$E,5,FALSE())-VLOOKUP(D417,Products!$A:$E,4,FALSE()))/VLOOKUP(D417,Products!$A:$E,5,FALSE()),"")</f>
        <v>0.57431192660550456</v>
      </c>
    </row>
    <row r="418" spans="1:18" x14ac:dyDescent="0.3">
      <c r="A418" s="22" t="s">
        <v>1232</v>
      </c>
      <c r="B418" s="23">
        <v>45581</v>
      </c>
      <c r="C418" s="22" t="s">
        <v>810</v>
      </c>
      <c r="D418" s="22" t="s">
        <v>674</v>
      </c>
      <c r="E418" s="22" t="s">
        <v>1233</v>
      </c>
      <c r="F418" s="24">
        <v>6</v>
      </c>
      <c r="G418" s="24">
        <v>1090</v>
      </c>
      <c r="H418" s="24">
        <v>28.7</v>
      </c>
      <c r="I418" s="24">
        <v>4663.0200000000004</v>
      </c>
      <c r="J418" s="22" t="s">
        <v>104</v>
      </c>
      <c r="K418" s="22" t="s">
        <v>111</v>
      </c>
      <c r="L418" t="str">
        <f>VLOOKUP(D418,Products!A:F,3,FALSE())</f>
        <v>Home</v>
      </c>
      <c r="M418" t="str">
        <f>VLOOKUP(C418,Customers!A:F,5,FALSE())</f>
        <v>Retail</v>
      </c>
      <c r="O418" t="str">
        <f>IFERROR(VLOOKUP(E418,Sales_Reps!$A:$C,3,FALSE()),"")</f>
        <v/>
      </c>
      <c r="P418">
        <f>IFERROR(VLOOKUP(C418,Customers!$A:$C,3,FALSE()),"")</f>
        <v>26</v>
      </c>
      <c r="Q418" t="str">
        <f t="shared" si="6"/>
        <v>Oct-24</v>
      </c>
      <c r="R418">
        <f>IFERROR((VLOOKUP(D418,Products!$A:$E,5,FALSE())-VLOOKUP(D418,Products!$A:$E,4,FALSE()))/VLOOKUP(D418,Products!$A:$E,5,FALSE()),"")</f>
        <v>0.57431192660550456</v>
      </c>
    </row>
    <row r="419" spans="1:18" x14ac:dyDescent="0.3">
      <c r="A419" s="22" t="s">
        <v>1234</v>
      </c>
      <c r="B419" s="23">
        <v>45366</v>
      </c>
      <c r="C419" s="22" t="s">
        <v>855</v>
      </c>
      <c r="D419" s="22" t="s">
        <v>442</v>
      </c>
      <c r="E419" s="22" t="s">
        <v>1235</v>
      </c>
      <c r="F419" s="24">
        <v>5</v>
      </c>
      <c r="G419" s="24">
        <v>2510</v>
      </c>
      <c r="H419" s="24">
        <v>25</v>
      </c>
      <c r="I419" s="24">
        <v>9412.5</v>
      </c>
      <c r="J419" s="22" t="s">
        <v>104</v>
      </c>
      <c r="K419" s="22" t="s">
        <v>129</v>
      </c>
      <c r="L419" t="str">
        <f>VLOOKUP(D419,Products!A:F,3,FALSE())</f>
        <v>Apparel</v>
      </c>
      <c r="M419" t="str">
        <f>VLOOKUP(C419,Customers!A:F,5,FALSE())</f>
        <v>Retail</v>
      </c>
      <c r="O419" t="str">
        <f>IFERROR(VLOOKUP(E419,Sales_Reps!$A:$C,3,FALSE()),"")</f>
        <v/>
      </c>
      <c r="P419">
        <f>IFERROR(VLOOKUP(C419,Customers!$A:$C,3,FALSE()),"")</f>
        <v>44</v>
      </c>
      <c r="Q419" t="str">
        <f t="shared" si="6"/>
        <v>Mar-24</v>
      </c>
      <c r="R419">
        <f>IFERROR((VLOOKUP(D419,Products!$A:$E,5,FALSE())-VLOOKUP(D419,Products!$A:$E,4,FALSE()))/VLOOKUP(D419,Products!$A:$E,5,FALSE()),"")</f>
        <v>0.57171314741035861</v>
      </c>
    </row>
    <row r="420" spans="1:18" x14ac:dyDescent="0.3">
      <c r="A420" s="22" t="s">
        <v>1236</v>
      </c>
      <c r="B420" s="23">
        <v>45577</v>
      </c>
      <c r="C420" s="22" t="s">
        <v>468</v>
      </c>
      <c r="D420" s="22" t="s">
        <v>521</v>
      </c>
      <c r="E420" s="22" t="s">
        <v>1237</v>
      </c>
      <c r="F420" s="24">
        <v>5</v>
      </c>
      <c r="G420" s="24">
        <v>3970</v>
      </c>
      <c r="H420" s="24">
        <v>26</v>
      </c>
      <c r="I420" s="24">
        <v>14689</v>
      </c>
      <c r="J420" s="22" t="s">
        <v>104</v>
      </c>
      <c r="K420" s="22" t="s">
        <v>105</v>
      </c>
      <c r="L420" t="str">
        <f>VLOOKUP(D420,Products!A:F,3,FALSE())</f>
        <v>Electronics</v>
      </c>
      <c r="M420" t="str">
        <f>VLOOKUP(C420,Customers!A:F,5,FALSE())</f>
        <v>Retail</v>
      </c>
      <c r="O420" t="str">
        <f>IFERROR(VLOOKUP(E420,Sales_Reps!$A:$C,3,FALSE()),"")</f>
        <v/>
      </c>
      <c r="P420">
        <f>IFERROR(VLOOKUP(C420,Customers!$A:$C,3,FALSE()),"")</f>
        <v>43</v>
      </c>
      <c r="Q420" t="str">
        <f t="shared" si="6"/>
        <v>Oct-24</v>
      </c>
      <c r="R420">
        <f>IFERROR((VLOOKUP(D420,Products!$A:$E,5,FALSE())-VLOOKUP(D420,Products!$A:$E,4,FALSE()))/VLOOKUP(D420,Products!$A:$E,5,FALSE()),"")</f>
        <v>0.27833753148614609</v>
      </c>
    </row>
    <row r="421" spans="1:18" x14ac:dyDescent="0.3">
      <c r="A421" s="22" t="s">
        <v>1238</v>
      </c>
      <c r="B421" s="23">
        <v>45333</v>
      </c>
      <c r="C421" s="22" t="s">
        <v>716</v>
      </c>
      <c r="D421" s="22" t="s">
        <v>315</v>
      </c>
      <c r="E421" s="22" t="s">
        <v>1239</v>
      </c>
      <c r="F421" s="24">
        <v>9</v>
      </c>
      <c r="G421" s="24">
        <v>4070</v>
      </c>
      <c r="H421" s="24">
        <v>15.7</v>
      </c>
      <c r="I421" s="24">
        <v>30879.09</v>
      </c>
      <c r="J421" s="22" t="s">
        <v>104</v>
      </c>
      <c r="K421" s="22" t="s">
        <v>129</v>
      </c>
      <c r="L421" t="str">
        <f>VLOOKUP(D421,Products!A:F,3,FALSE())</f>
        <v>Grocery</v>
      </c>
      <c r="M421" t="str">
        <f>VLOOKUP(C421,Customers!A:F,5,FALSE())</f>
        <v>Retail</v>
      </c>
      <c r="O421" t="str">
        <f>IFERROR(VLOOKUP(E421,Sales_Reps!$A:$C,3,FALSE()),"")</f>
        <v/>
      </c>
      <c r="P421">
        <f>IFERROR(VLOOKUP(C421,Customers!$A:$C,3,FALSE()),"")</f>
        <v>44</v>
      </c>
      <c r="Q421" t="str">
        <f t="shared" si="6"/>
        <v>Feb-24</v>
      </c>
      <c r="R421">
        <f>IFERROR((VLOOKUP(D421,Products!$A:$E,5,FALSE())-VLOOKUP(D421,Products!$A:$E,4,FALSE()))/VLOOKUP(D421,Products!$A:$E,5,FALSE()),"")</f>
        <v>0.50196560196560192</v>
      </c>
    </row>
    <row r="422" spans="1:18" x14ac:dyDescent="0.3">
      <c r="A422" s="22" t="s">
        <v>1240</v>
      </c>
      <c r="B422" s="23">
        <v>45418</v>
      </c>
      <c r="C422" s="22" t="s">
        <v>301</v>
      </c>
      <c r="D422" s="22" t="s">
        <v>141</v>
      </c>
      <c r="E422" s="22" t="s">
        <v>1241</v>
      </c>
      <c r="F422" s="24">
        <v>6</v>
      </c>
      <c r="G422" s="24">
        <v>5490</v>
      </c>
      <c r="H422" s="24">
        <v>8.5</v>
      </c>
      <c r="I422" s="24">
        <v>30140.1</v>
      </c>
      <c r="J422" s="22" t="s">
        <v>164</v>
      </c>
      <c r="K422" s="22" t="s">
        <v>111</v>
      </c>
      <c r="L422" t="str">
        <f>VLOOKUP(D422,Products!A:F,3,FALSE())</f>
        <v>Home</v>
      </c>
      <c r="M422" t="str">
        <f>VLOOKUP(C422,Customers!A:F,5,FALSE())</f>
        <v>Retail</v>
      </c>
      <c r="O422" t="str">
        <f>IFERROR(VLOOKUP(E422,Sales_Reps!$A:$C,3,FALSE()),"")</f>
        <v/>
      </c>
      <c r="P422">
        <f>IFERROR(VLOOKUP(C422,Customers!$A:$C,3,FALSE()),"")</f>
        <v>24</v>
      </c>
      <c r="Q422" t="str">
        <f t="shared" si="6"/>
        <v>May-24</v>
      </c>
      <c r="R422">
        <f>IFERROR((VLOOKUP(D422,Products!$A:$E,5,FALSE())-VLOOKUP(D422,Products!$A:$E,4,FALSE()))/VLOOKUP(D422,Products!$A:$E,5,FALSE()),"")</f>
        <v>0.53570127504553733</v>
      </c>
    </row>
    <row r="423" spans="1:18" x14ac:dyDescent="0.3">
      <c r="A423" s="22" t="s">
        <v>1242</v>
      </c>
      <c r="B423" s="23">
        <v>45615</v>
      </c>
      <c r="C423" s="22" t="s">
        <v>1243</v>
      </c>
      <c r="D423" s="22" t="s">
        <v>209</v>
      </c>
      <c r="E423" s="22" t="s">
        <v>1244</v>
      </c>
      <c r="F423" s="24">
        <v>9</v>
      </c>
      <c r="G423" s="24">
        <v>1010</v>
      </c>
      <c r="H423" s="24">
        <v>3.6</v>
      </c>
      <c r="I423" s="24">
        <v>8762.76</v>
      </c>
      <c r="J423" s="22" t="s">
        <v>104</v>
      </c>
      <c r="K423" s="22" t="s">
        <v>134</v>
      </c>
      <c r="L423" t="str">
        <f>VLOOKUP(D423,Products!A:F,3,FALSE())</f>
        <v>Sports</v>
      </c>
      <c r="M423" t="str">
        <f>VLOOKUP(C423,Customers!A:F,5,FALSE())</f>
        <v>Retail</v>
      </c>
      <c r="O423" t="str">
        <f>IFERROR(VLOOKUP(E423,Sales_Reps!$A:$C,3,FALSE()),"")</f>
        <v/>
      </c>
      <c r="P423">
        <f>IFERROR(VLOOKUP(C423,Customers!$A:$C,3,FALSE()),"")</f>
        <v>52</v>
      </c>
      <c r="Q423" t="str">
        <f t="shared" si="6"/>
        <v>Nov-24</v>
      </c>
      <c r="R423">
        <f>IFERROR((VLOOKUP(D423,Products!$A:$E,5,FALSE())-VLOOKUP(D423,Products!$A:$E,4,FALSE()))/VLOOKUP(D423,Products!$A:$E,5,FALSE()),"")</f>
        <v>0.4891089108910891</v>
      </c>
    </row>
    <row r="424" spans="1:18" x14ac:dyDescent="0.3">
      <c r="A424" s="22" t="s">
        <v>1245</v>
      </c>
      <c r="B424" s="23">
        <v>45631</v>
      </c>
      <c r="C424" s="22" t="s">
        <v>1246</v>
      </c>
      <c r="D424" s="22" t="s">
        <v>119</v>
      </c>
      <c r="E424" s="22" t="s">
        <v>1247</v>
      </c>
      <c r="F424" s="24">
        <v>6</v>
      </c>
      <c r="G424" s="24">
        <v>3660</v>
      </c>
      <c r="H424" s="24">
        <v>10.8</v>
      </c>
      <c r="I424" s="24">
        <v>19588.32</v>
      </c>
      <c r="J424" s="22" t="s">
        <v>104</v>
      </c>
      <c r="K424" s="22" t="s">
        <v>134</v>
      </c>
      <c r="L424" t="str">
        <f>VLOOKUP(D424,Products!A:F,3,FALSE())</f>
        <v>Grocery</v>
      </c>
      <c r="M424" t="str">
        <f>VLOOKUP(C424,Customers!A:F,5,FALSE())</f>
        <v>Retail</v>
      </c>
      <c r="O424" t="str">
        <f>IFERROR(VLOOKUP(E424,Sales_Reps!$A:$C,3,FALSE()),"")</f>
        <v/>
      </c>
      <c r="P424">
        <f>IFERROR(VLOOKUP(C424,Customers!$A:$C,3,FALSE()),"")</f>
        <v>37</v>
      </c>
      <c r="Q424" t="str">
        <f t="shared" si="6"/>
        <v>Dec-24</v>
      </c>
      <c r="R424">
        <f>IFERROR((VLOOKUP(D424,Products!$A:$E,5,FALSE())-VLOOKUP(D424,Products!$A:$E,4,FALSE()))/VLOOKUP(D424,Products!$A:$E,5,FALSE()),"")</f>
        <v>0.39508196721311473</v>
      </c>
    </row>
    <row r="425" spans="1:18" x14ac:dyDescent="0.3">
      <c r="A425" s="22" t="s">
        <v>1248</v>
      </c>
      <c r="B425" s="23">
        <v>45524</v>
      </c>
      <c r="C425" s="22" t="s">
        <v>529</v>
      </c>
      <c r="D425" s="22" t="s">
        <v>178</v>
      </c>
      <c r="E425" s="22" t="s">
        <v>1249</v>
      </c>
      <c r="F425" s="24">
        <v>6</v>
      </c>
      <c r="G425" s="24">
        <v>3450</v>
      </c>
      <c r="H425" s="24">
        <v>10.7</v>
      </c>
      <c r="I425" s="24">
        <v>18485.099999999999</v>
      </c>
      <c r="J425" s="22" t="s">
        <v>104</v>
      </c>
      <c r="K425" s="22" t="s">
        <v>105</v>
      </c>
      <c r="L425" t="str">
        <f>VLOOKUP(D425,Products!A:F,3,FALSE())</f>
        <v>Beauty</v>
      </c>
      <c r="M425" t="str">
        <f>VLOOKUP(C425,Customers!A:F,5,FALSE())</f>
        <v>Retail</v>
      </c>
      <c r="O425" t="str">
        <f>IFERROR(VLOOKUP(E425,Sales_Reps!$A:$C,3,FALSE()),"")</f>
        <v/>
      </c>
      <c r="P425">
        <f>IFERROR(VLOOKUP(C425,Customers!$A:$C,3,FALSE()),"")</f>
        <v>22</v>
      </c>
      <c r="Q425" t="str">
        <f t="shared" si="6"/>
        <v>Aug-24</v>
      </c>
      <c r="R425">
        <f>IFERROR((VLOOKUP(D425,Products!$A:$E,5,FALSE())-VLOOKUP(D425,Products!$A:$E,4,FALSE()))/VLOOKUP(D425,Products!$A:$E,5,FALSE()),"")</f>
        <v>0.29855072463768118</v>
      </c>
    </row>
    <row r="426" spans="1:18" x14ac:dyDescent="0.3">
      <c r="A426" s="22" t="s">
        <v>1250</v>
      </c>
      <c r="B426" s="23">
        <v>45379</v>
      </c>
      <c r="C426" s="22" t="s">
        <v>264</v>
      </c>
      <c r="D426" s="22" t="s">
        <v>315</v>
      </c>
      <c r="E426" s="22" t="s">
        <v>1251</v>
      </c>
      <c r="F426" s="24">
        <v>10</v>
      </c>
      <c r="G426" s="24">
        <v>4070</v>
      </c>
      <c r="H426" s="24">
        <v>23.4</v>
      </c>
      <c r="I426" s="24">
        <v>31176.2</v>
      </c>
      <c r="J426" s="22" t="s">
        <v>164</v>
      </c>
      <c r="K426" s="22" t="s">
        <v>111</v>
      </c>
      <c r="L426" t="str">
        <f>VLOOKUP(D426,Products!A:F,3,FALSE())</f>
        <v>Grocery</v>
      </c>
      <c r="M426" t="str">
        <f>VLOOKUP(C426,Customers!A:F,5,FALSE())</f>
        <v>Retail</v>
      </c>
      <c r="O426" t="str">
        <f>IFERROR(VLOOKUP(E426,Sales_Reps!$A:$C,3,FALSE()),"")</f>
        <v/>
      </c>
      <c r="P426">
        <f>IFERROR(VLOOKUP(C426,Customers!$A:$C,3,FALSE()),"")</f>
        <v>37</v>
      </c>
      <c r="Q426" t="str">
        <f t="shared" si="6"/>
        <v>Mar-24</v>
      </c>
      <c r="R426">
        <f>IFERROR((VLOOKUP(D426,Products!$A:$E,5,FALSE())-VLOOKUP(D426,Products!$A:$E,4,FALSE()))/VLOOKUP(D426,Products!$A:$E,5,FALSE()),"")</f>
        <v>0.50196560196560192</v>
      </c>
    </row>
    <row r="427" spans="1:18" x14ac:dyDescent="0.3">
      <c r="A427" s="22" t="s">
        <v>1252</v>
      </c>
      <c r="B427" s="23">
        <v>45454</v>
      </c>
      <c r="C427" s="22" t="s">
        <v>1253</v>
      </c>
      <c r="D427" s="22" t="s">
        <v>216</v>
      </c>
      <c r="E427" s="22" t="s">
        <v>1254</v>
      </c>
      <c r="F427" s="24">
        <v>9</v>
      </c>
      <c r="G427" s="24">
        <v>3570</v>
      </c>
      <c r="H427" s="24">
        <v>15.2</v>
      </c>
      <c r="I427" s="24">
        <v>27246.240000000002</v>
      </c>
      <c r="J427" s="22" t="s">
        <v>104</v>
      </c>
      <c r="K427" s="22" t="s">
        <v>134</v>
      </c>
      <c r="L427" t="str">
        <f>VLOOKUP(D427,Products!A:F,3,FALSE())</f>
        <v>Electronics</v>
      </c>
      <c r="M427" t="str">
        <f>VLOOKUP(C427,Customers!A:F,5,FALSE())</f>
        <v>Corporate</v>
      </c>
      <c r="O427" t="str">
        <f>IFERROR(VLOOKUP(E427,Sales_Reps!$A:$C,3,FALSE()),"")</f>
        <v/>
      </c>
      <c r="P427">
        <f>IFERROR(VLOOKUP(C427,Customers!$A:$C,3,FALSE()),"")</f>
        <v>41</v>
      </c>
      <c r="Q427" t="str">
        <f t="shared" si="6"/>
        <v>Jun-24</v>
      </c>
      <c r="R427">
        <f>IFERROR((VLOOKUP(D427,Products!$A:$E,5,FALSE())-VLOOKUP(D427,Products!$A:$E,4,FALSE()))/VLOOKUP(D427,Products!$A:$E,5,FALSE()),"")</f>
        <v>0.53361344537815125</v>
      </c>
    </row>
    <row r="428" spans="1:18" x14ac:dyDescent="0.3">
      <c r="A428" s="22" t="s">
        <v>1255</v>
      </c>
      <c r="B428" s="23">
        <v>45562</v>
      </c>
      <c r="C428" s="22" t="s">
        <v>136</v>
      </c>
      <c r="D428" s="22" t="s">
        <v>695</v>
      </c>
      <c r="E428" s="22" t="s">
        <v>1256</v>
      </c>
      <c r="F428" s="24">
        <v>10</v>
      </c>
      <c r="G428" s="24">
        <v>6940</v>
      </c>
      <c r="H428" s="24">
        <v>21.8</v>
      </c>
      <c r="I428" s="24">
        <v>54270.8</v>
      </c>
      <c r="J428" s="22" t="s">
        <v>110</v>
      </c>
      <c r="K428" s="22" t="s">
        <v>134</v>
      </c>
      <c r="L428" t="str">
        <f>VLOOKUP(D428,Products!A:F,3,FALSE())</f>
        <v>Sports</v>
      </c>
      <c r="M428" t="str">
        <f>VLOOKUP(C428,Customers!A:F,5,FALSE())</f>
        <v>Corporate</v>
      </c>
      <c r="O428" t="str">
        <f>IFERROR(VLOOKUP(E428,Sales_Reps!$A:$C,3,FALSE()),"")</f>
        <v/>
      </c>
      <c r="P428">
        <f>IFERROR(VLOOKUP(C428,Customers!$A:$C,3,FALSE()),"")</f>
        <v>57</v>
      </c>
      <c r="Q428" t="str">
        <f t="shared" si="6"/>
        <v>Sep-24</v>
      </c>
      <c r="R428">
        <f>IFERROR((VLOOKUP(D428,Products!$A:$E,5,FALSE())-VLOOKUP(D428,Products!$A:$E,4,FALSE()))/VLOOKUP(D428,Products!$A:$E,5,FALSE()),"")</f>
        <v>0.5926512968299712</v>
      </c>
    </row>
    <row r="429" spans="1:18" x14ac:dyDescent="0.3">
      <c r="A429" s="22" t="s">
        <v>1257</v>
      </c>
      <c r="B429" s="23">
        <v>45489</v>
      </c>
      <c r="C429" s="22" t="s">
        <v>386</v>
      </c>
      <c r="D429" s="22" t="s">
        <v>201</v>
      </c>
      <c r="E429" s="22" t="s">
        <v>1258</v>
      </c>
      <c r="F429" s="24">
        <v>9</v>
      </c>
      <c r="G429" s="24">
        <v>1650</v>
      </c>
      <c r="H429" s="24">
        <v>24.3</v>
      </c>
      <c r="I429" s="24">
        <v>11241.45</v>
      </c>
      <c r="J429" s="22" t="s">
        <v>104</v>
      </c>
      <c r="K429" s="22" t="s">
        <v>105</v>
      </c>
      <c r="L429" t="str">
        <f>VLOOKUP(D429,Products!A:F,3,FALSE())</f>
        <v>Beauty</v>
      </c>
      <c r="M429" t="str">
        <f>VLOOKUP(C429,Customers!A:F,5,FALSE())</f>
        <v>SMB</v>
      </c>
      <c r="O429" t="str">
        <f>IFERROR(VLOOKUP(E429,Sales_Reps!$A:$C,3,FALSE()),"")</f>
        <v/>
      </c>
      <c r="P429">
        <f>IFERROR(VLOOKUP(C429,Customers!$A:$C,3,FALSE()),"")</f>
        <v>60</v>
      </c>
      <c r="Q429" t="str">
        <f t="shared" si="6"/>
        <v>Jul-24</v>
      </c>
      <c r="R429">
        <f>IFERROR((VLOOKUP(D429,Products!$A:$E,5,FALSE())-VLOOKUP(D429,Products!$A:$E,4,FALSE()))/VLOOKUP(D429,Products!$A:$E,5,FALSE()),"")</f>
        <v>0.2593939393939394</v>
      </c>
    </row>
    <row r="430" spans="1:18" x14ac:dyDescent="0.3">
      <c r="A430" s="22" t="s">
        <v>1259</v>
      </c>
      <c r="B430" s="23">
        <v>45624</v>
      </c>
      <c r="C430" s="22" t="s">
        <v>778</v>
      </c>
      <c r="D430" s="22" t="s">
        <v>137</v>
      </c>
      <c r="E430" s="22" t="s">
        <v>1260</v>
      </c>
      <c r="F430" s="24">
        <v>10</v>
      </c>
      <c r="G430" s="24">
        <v>1430</v>
      </c>
      <c r="H430" s="24">
        <v>25.2</v>
      </c>
      <c r="I430" s="24">
        <v>10696.4</v>
      </c>
      <c r="J430" s="22" t="s">
        <v>104</v>
      </c>
      <c r="K430" s="22" t="s">
        <v>134</v>
      </c>
      <c r="L430" t="str">
        <f>VLOOKUP(D430,Products!A:F,3,FALSE())</f>
        <v>Electronics</v>
      </c>
      <c r="M430" t="str">
        <f>VLOOKUP(C430,Customers!A:F,5,FALSE())</f>
        <v>Corporate</v>
      </c>
      <c r="O430" t="str">
        <f>IFERROR(VLOOKUP(E430,Sales_Reps!$A:$C,3,FALSE()),"")</f>
        <v/>
      </c>
      <c r="P430">
        <f>IFERROR(VLOOKUP(C430,Customers!$A:$C,3,FALSE()),"")</f>
        <v>41</v>
      </c>
      <c r="Q430" t="str">
        <f t="shared" si="6"/>
        <v>Nov-24</v>
      </c>
      <c r="R430">
        <f>IFERROR((VLOOKUP(D430,Products!$A:$E,5,FALSE())-VLOOKUP(D430,Products!$A:$E,4,FALSE()))/VLOOKUP(D430,Products!$A:$E,5,FALSE()),"")</f>
        <v>0.39790209790209791</v>
      </c>
    </row>
    <row r="431" spans="1:18" x14ac:dyDescent="0.3">
      <c r="A431" s="22" t="s">
        <v>1261</v>
      </c>
      <c r="B431" s="23">
        <v>45480</v>
      </c>
      <c r="C431" s="22" t="s">
        <v>873</v>
      </c>
      <c r="D431" s="22" t="s">
        <v>436</v>
      </c>
      <c r="E431" s="22" t="s">
        <v>1262</v>
      </c>
      <c r="F431" s="24">
        <v>4</v>
      </c>
      <c r="G431" s="24">
        <v>4060</v>
      </c>
      <c r="H431" s="24">
        <v>1.6</v>
      </c>
      <c r="I431" s="24">
        <v>15980.16</v>
      </c>
      <c r="J431" s="22" t="s">
        <v>104</v>
      </c>
      <c r="K431" s="22" t="s">
        <v>105</v>
      </c>
      <c r="L431" t="str">
        <f>VLOOKUP(D431,Products!A:F,3,FALSE())</f>
        <v>Grocery</v>
      </c>
      <c r="M431" t="str">
        <f>VLOOKUP(C431,Customers!A:F,5,FALSE())</f>
        <v>Corporate</v>
      </c>
      <c r="O431" t="str">
        <f>IFERROR(VLOOKUP(E431,Sales_Reps!$A:$C,3,FALSE()),"")</f>
        <v/>
      </c>
      <c r="P431">
        <f>IFERROR(VLOOKUP(C431,Customers!$A:$C,3,FALSE()),"")</f>
        <v>31</v>
      </c>
      <c r="Q431" t="str">
        <f t="shared" si="6"/>
        <v>Jul-24</v>
      </c>
      <c r="R431">
        <f>IFERROR((VLOOKUP(D431,Products!$A:$E,5,FALSE())-VLOOKUP(D431,Products!$A:$E,4,FALSE()))/VLOOKUP(D431,Products!$A:$E,5,FALSE()),"")</f>
        <v>0.28300492610837441</v>
      </c>
    </row>
    <row r="432" spans="1:18" x14ac:dyDescent="0.3">
      <c r="A432" s="22" t="s">
        <v>1263</v>
      </c>
      <c r="B432" s="23">
        <v>45420</v>
      </c>
      <c r="C432" s="22" t="s">
        <v>844</v>
      </c>
      <c r="D432" s="22" t="s">
        <v>127</v>
      </c>
      <c r="E432" s="22" t="s">
        <v>1264</v>
      </c>
      <c r="F432" s="24">
        <v>9</v>
      </c>
      <c r="G432" s="24">
        <v>370</v>
      </c>
      <c r="H432" s="24">
        <v>17</v>
      </c>
      <c r="I432" s="24">
        <v>2763.9</v>
      </c>
      <c r="J432" s="22" t="s">
        <v>104</v>
      </c>
      <c r="K432" s="22" t="s">
        <v>129</v>
      </c>
      <c r="L432" t="str">
        <f>VLOOKUP(D432,Products!A:F,3,FALSE())</f>
        <v>Home</v>
      </c>
      <c r="M432" t="str">
        <f>VLOOKUP(C432,Customers!A:F,5,FALSE())</f>
        <v>Retail</v>
      </c>
      <c r="O432" t="str">
        <f>IFERROR(VLOOKUP(E432,Sales_Reps!$A:$C,3,FALSE()),"")</f>
        <v/>
      </c>
      <c r="P432">
        <f>IFERROR(VLOOKUP(C432,Customers!$A:$C,3,FALSE()),"")</f>
        <v>52</v>
      </c>
      <c r="Q432" t="str">
        <f t="shared" si="6"/>
        <v>May-24</v>
      </c>
      <c r="R432">
        <f>IFERROR((VLOOKUP(D432,Products!$A:$E,5,FALSE())-VLOOKUP(D432,Products!$A:$E,4,FALSE()))/VLOOKUP(D432,Products!$A:$E,5,FALSE()),"")</f>
        <v>0.22162162162162163</v>
      </c>
    </row>
    <row r="433" spans="1:18" x14ac:dyDescent="0.3">
      <c r="A433" s="22" t="s">
        <v>1265</v>
      </c>
      <c r="B433" s="23">
        <v>45322</v>
      </c>
      <c r="C433" s="22" t="s">
        <v>1012</v>
      </c>
      <c r="D433" s="22" t="s">
        <v>308</v>
      </c>
      <c r="E433" s="22" t="s">
        <v>1266</v>
      </c>
      <c r="F433" s="24">
        <v>1</v>
      </c>
      <c r="G433" s="24">
        <v>1540</v>
      </c>
      <c r="H433" s="24">
        <v>24</v>
      </c>
      <c r="I433" s="24">
        <v>1170.4000000000001</v>
      </c>
      <c r="J433" s="22" t="s">
        <v>159</v>
      </c>
      <c r="K433" s="22" t="s">
        <v>105</v>
      </c>
      <c r="L433" t="str">
        <f>VLOOKUP(D433,Products!A:F,3,FALSE())</f>
        <v>Beauty</v>
      </c>
      <c r="M433" t="str">
        <f>VLOOKUP(C433,Customers!A:F,5,FALSE())</f>
        <v>Corporate</v>
      </c>
      <c r="O433" t="str">
        <f>IFERROR(VLOOKUP(E433,Sales_Reps!$A:$C,3,FALSE()),"")</f>
        <v/>
      </c>
      <c r="P433">
        <f>IFERROR(VLOOKUP(C433,Customers!$A:$C,3,FALSE()),"")</f>
        <v>52</v>
      </c>
      <c r="Q433" t="str">
        <f t="shared" si="6"/>
        <v>Jan-24</v>
      </c>
      <c r="R433">
        <f>IFERROR((VLOOKUP(D433,Products!$A:$E,5,FALSE())-VLOOKUP(D433,Products!$A:$E,4,FALSE()))/VLOOKUP(D433,Products!$A:$E,5,FALSE()),"")</f>
        <v>0.57987012987012987</v>
      </c>
    </row>
    <row r="434" spans="1:18" x14ac:dyDescent="0.3">
      <c r="A434" s="22" t="s">
        <v>1267</v>
      </c>
      <c r="B434" s="23">
        <v>45382</v>
      </c>
      <c r="C434" s="22" t="s">
        <v>772</v>
      </c>
      <c r="D434" s="22" t="s">
        <v>157</v>
      </c>
      <c r="E434" s="22" t="s">
        <v>1268</v>
      </c>
      <c r="F434" s="24">
        <v>9</v>
      </c>
      <c r="G434" s="24">
        <v>2600</v>
      </c>
      <c r="H434" s="24">
        <v>7.7</v>
      </c>
      <c r="I434" s="24">
        <v>21598.2</v>
      </c>
      <c r="J434" s="22" t="s">
        <v>104</v>
      </c>
      <c r="K434" s="22" t="s">
        <v>105</v>
      </c>
      <c r="L434" t="str">
        <f>VLOOKUP(D434,Products!A:F,3,FALSE())</f>
        <v>Electronics</v>
      </c>
      <c r="M434" t="str">
        <f>VLOOKUP(C434,Customers!A:F,5,FALSE())</f>
        <v>SMB</v>
      </c>
      <c r="O434" t="str">
        <f>IFERROR(VLOOKUP(E434,Sales_Reps!$A:$C,3,FALSE()),"")</f>
        <v/>
      </c>
      <c r="P434">
        <f>IFERROR(VLOOKUP(C434,Customers!$A:$C,3,FALSE()),"")</f>
        <v>24</v>
      </c>
      <c r="Q434" t="str">
        <f t="shared" si="6"/>
        <v>Mar-24</v>
      </c>
      <c r="R434">
        <f>IFERROR((VLOOKUP(D434,Products!$A:$E,5,FALSE())-VLOOKUP(D434,Products!$A:$E,4,FALSE()))/VLOOKUP(D434,Products!$A:$E,5,FALSE()),"")</f>
        <v>0.5953846153846154</v>
      </c>
    </row>
    <row r="435" spans="1:18" x14ac:dyDescent="0.3">
      <c r="A435" s="22" t="s">
        <v>1269</v>
      </c>
      <c r="B435" s="23">
        <v>45497</v>
      </c>
      <c r="C435" s="22" t="s">
        <v>1270</v>
      </c>
      <c r="D435" s="22" t="s">
        <v>442</v>
      </c>
      <c r="E435" s="22" t="s">
        <v>1271</v>
      </c>
      <c r="F435" s="24">
        <v>8</v>
      </c>
      <c r="G435" s="24">
        <v>2510</v>
      </c>
      <c r="H435" s="24">
        <v>3.7</v>
      </c>
      <c r="I435" s="24">
        <v>19337.04</v>
      </c>
      <c r="J435" s="22" t="s">
        <v>104</v>
      </c>
      <c r="K435" s="22" t="s">
        <v>111</v>
      </c>
      <c r="L435" t="str">
        <f>VLOOKUP(D435,Products!A:F,3,FALSE())</f>
        <v>Apparel</v>
      </c>
      <c r="M435" t="str">
        <f>VLOOKUP(C435,Customers!A:F,5,FALSE())</f>
        <v>SMB</v>
      </c>
      <c r="O435" t="str">
        <f>IFERROR(VLOOKUP(E435,Sales_Reps!$A:$C,3,FALSE()),"")</f>
        <v/>
      </c>
      <c r="P435">
        <f>IFERROR(VLOOKUP(C435,Customers!$A:$C,3,FALSE()),"")</f>
        <v>26</v>
      </c>
      <c r="Q435" t="str">
        <f t="shared" si="6"/>
        <v>Jul-24</v>
      </c>
      <c r="R435">
        <f>IFERROR((VLOOKUP(D435,Products!$A:$E,5,FALSE())-VLOOKUP(D435,Products!$A:$E,4,FALSE()))/VLOOKUP(D435,Products!$A:$E,5,FALSE()),"")</f>
        <v>0.57171314741035861</v>
      </c>
    </row>
    <row r="436" spans="1:18" x14ac:dyDescent="0.3">
      <c r="A436" s="22" t="s">
        <v>1272</v>
      </c>
      <c r="B436" s="23">
        <v>45510</v>
      </c>
      <c r="C436" s="22" t="s">
        <v>873</v>
      </c>
      <c r="D436" s="22" t="s">
        <v>455</v>
      </c>
      <c r="E436" s="22" t="s">
        <v>1273</v>
      </c>
      <c r="F436" s="24">
        <v>6</v>
      </c>
      <c r="G436" s="24">
        <v>5330</v>
      </c>
      <c r="H436" s="24">
        <v>8.4</v>
      </c>
      <c r="I436" s="24">
        <v>29293.68</v>
      </c>
      <c r="J436" s="22" t="s">
        <v>104</v>
      </c>
      <c r="K436" s="22" t="s">
        <v>105</v>
      </c>
      <c r="L436" t="str">
        <f>VLOOKUP(D436,Products!A:F,3,FALSE())</f>
        <v>Electronics</v>
      </c>
      <c r="M436" t="str">
        <f>VLOOKUP(C436,Customers!A:F,5,FALSE())</f>
        <v>Corporate</v>
      </c>
      <c r="O436" t="str">
        <f>IFERROR(VLOOKUP(E436,Sales_Reps!$A:$C,3,FALSE()),"")</f>
        <v/>
      </c>
      <c r="P436">
        <f>IFERROR(VLOOKUP(C436,Customers!$A:$C,3,FALSE()),"")</f>
        <v>31</v>
      </c>
      <c r="Q436" t="str">
        <f t="shared" si="6"/>
        <v>Aug-24</v>
      </c>
      <c r="R436">
        <f>IFERROR((VLOOKUP(D436,Products!$A:$E,5,FALSE())-VLOOKUP(D436,Products!$A:$E,4,FALSE()))/VLOOKUP(D436,Products!$A:$E,5,FALSE()),"")</f>
        <v>0.54878048780487809</v>
      </c>
    </row>
    <row r="437" spans="1:18" x14ac:dyDescent="0.3">
      <c r="A437" s="22" t="s">
        <v>1274</v>
      </c>
      <c r="B437" s="23">
        <v>45522</v>
      </c>
      <c r="C437" s="22" t="s">
        <v>554</v>
      </c>
      <c r="D437" s="22" t="s">
        <v>577</v>
      </c>
      <c r="E437" s="22" t="s">
        <v>1275</v>
      </c>
      <c r="F437" s="24">
        <v>5</v>
      </c>
      <c r="G437" s="24">
        <v>5080</v>
      </c>
      <c r="H437" s="24">
        <v>10.3</v>
      </c>
      <c r="I437" s="24">
        <v>22783.8</v>
      </c>
      <c r="J437" s="22" t="s">
        <v>104</v>
      </c>
      <c r="K437" s="22" t="s">
        <v>134</v>
      </c>
      <c r="L437" t="str">
        <f>VLOOKUP(D437,Products!A:F,3,FALSE())</f>
        <v>Home</v>
      </c>
      <c r="M437" t="str">
        <f>VLOOKUP(C437,Customers!A:F,5,FALSE())</f>
        <v>Retail</v>
      </c>
      <c r="O437" t="str">
        <f>IFERROR(VLOOKUP(E437,Sales_Reps!$A:$C,3,FALSE()),"")</f>
        <v/>
      </c>
      <c r="P437">
        <f>IFERROR(VLOOKUP(C437,Customers!$A:$C,3,FALSE()),"")</f>
        <v>55</v>
      </c>
      <c r="Q437" t="str">
        <f t="shared" si="6"/>
        <v>Aug-24</v>
      </c>
      <c r="R437">
        <f>IFERROR((VLOOKUP(D437,Products!$A:$E,5,FALSE())-VLOOKUP(D437,Products!$A:$E,4,FALSE()))/VLOOKUP(D437,Products!$A:$E,5,FALSE()),"")</f>
        <v>0.51594488188976373</v>
      </c>
    </row>
    <row r="438" spans="1:18" x14ac:dyDescent="0.3">
      <c r="A438" s="22" t="s">
        <v>1276</v>
      </c>
      <c r="B438" s="23">
        <v>45381</v>
      </c>
      <c r="C438" s="22" t="s">
        <v>850</v>
      </c>
      <c r="D438" s="22" t="s">
        <v>315</v>
      </c>
      <c r="E438" s="22" t="s">
        <v>1277</v>
      </c>
      <c r="F438" s="24">
        <v>3</v>
      </c>
      <c r="G438" s="24">
        <v>4070</v>
      </c>
      <c r="H438" s="24">
        <v>23.7</v>
      </c>
      <c r="I438" s="24">
        <v>9316.23</v>
      </c>
      <c r="J438" s="22" t="s">
        <v>104</v>
      </c>
      <c r="K438" s="22" t="s">
        <v>134</v>
      </c>
      <c r="L438" t="str">
        <f>VLOOKUP(D438,Products!A:F,3,FALSE())</f>
        <v>Grocery</v>
      </c>
      <c r="M438" t="str">
        <f>VLOOKUP(C438,Customers!A:F,5,FALSE())</f>
        <v>SMB</v>
      </c>
      <c r="O438" t="str">
        <f>IFERROR(VLOOKUP(E438,Sales_Reps!$A:$C,3,FALSE()),"")</f>
        <v/>
      </c>
      <c r="P438">
        <f>IFERROR(VLOOKUP(C438,Customers!$A:$C,3,FALSE()),"")</f>
        <v>42</v>
      </c>
      <c r="Q438" t="str">
        <f t="shared" si="6"/>
        <v>Mar-24</v>
      </c>
      <c r="R438">
        <f>IFERROR((VLOOKUP(D438,Products!$A:$E,5,FALSE())-VLOOKUP(D438,Products!$A:$E,4,FALSE()))/VLOOKUP(D438,Products!$A:$E,5,FALSE()),"")</f>
        <v>0.50196560196560192</v>
      </c>
    </row>
    <row r="439" spans="1:18" x14ac:dyDescent="0.3">
      <c r="A439" s="22" t="s">
        <v>1278</v>
      </c>
      <c r="B439" s="23">
        <v>45511</v>
      </c>
      <c r="C439" s="22" t="s">
        <v>219</v>
      </c>
      <c r="D439" s="22" t="s">
        <v>352</v>
      </c>
      <c r="E439" s="22" t="s">
        <v>1279</v>
      </c>
      <c r="F439" s="24">
        <v>4</v>
      </c>
      <c r="G439" s="24">
        <v>620</v>
      </c>
      <c r="H439" s="24">
        <v>18.8</v>
      </c>
      <c r="I439" s="24">
        <v>2013.76</v>
      </c>
      <c r="J439" s="22" t="s">
        <v>104</v>
      </c>
      <c r="K439" s="22" t="s">
        <v>151</v>
      </c>
      <c r="L439" t="str">
        <f>VLOOKUP(D439,Products!A:F,3,FALSE())</f>
        <v>Apparel</v>
      </c>
      <c r="M439" t="str">
        <f>VLOOKUP(C439,Customers!A:F,5,FALSE())</f>
        <v>Corporate</v>
      </c>
      <c r="O439" t="str">
        <f>IFERROR(VLOOKUP(E439,Sales_Reps!$A:$C,3,FALSE()),"")</f>
        <v/>
      </c>
      <c r="P439">
        <f>IFERROR(VLOOKUP(C439,Customers!$A:$C,3,FALSE()),"")</f>
        <v>56</v>
      </c>
      <c r="Q439" t="str">
        <f t="shared" si="6"/>
        <v>Aug-24</v>
      </c>
      <c r="R439">
        <f>IFERROR((VLOOKUP(D439,Products!$A:$E,5,FALSE())-VLOOKUP(D439,Products!$A:$E,4,FALSE()))/VLOOKUP(D439,Products!$A:$E,5,FALSE()),"")</f>
        <v>0.36129032258064514</v>
      </c>
    </row>
    <row r="440" spans="1:18" x14ac:dyDescent="0.3">
      <c r="A440" s="22" t="s">
        <v>1280</v>
      </c>
      <c r="B440" s="23">
        <v>45628</v>
      </c>
      <c r="C440" s="22" t="s">
        <v>1281</v>
      </c>
      <c r="D440" s="22" t="s">
        <v>153</v>
      </c>
      <c r="E440" s="22" t="s">
        <v>1282</v>
      </c>
      <c r="F440" s="24">
        <v>10</v>
      </c>
      <c r="G440" s="24">
        <v>2640</v>
      </c>
      <c r="H440" s="24">
        <v>12.7</v>
      </c>
      <c r="I440" s="24">
        <v>23047.200000000001</v>
      </c>
      <c r="J440" s="22" t="s">
        <v>104</v>
      </c>
      <c r="K440" s="22" t="s">
        <v>105</v>
      </c>
      <c r="L440" t="str">
        <f>VLOOKUP(D440,Products!A:F,3,FALSE())</f>
        <v>Electronics</v>
      </c>
      <c r="M440" t="str">
        <f>VLOOKUP(C440,Customers!A:F,5,FALSE())</f>
        <v>SMB</v>
      </c>
      <c r="O440" t="str">
        <f>IFERROR(VLOOKUP(E440,Sales_Reps!$A:$C,3,FALSE()),"")</f>
        <v/>
      </c>
      <c r="P440">
        <f>IFERROR(VLOOKUP(C440,Customers!$A:$C,3,FALSE()),"")</f>
        <v>59</v>
      </c>
      <c r="Q440" t="str">
        <f t="shared" si="6"/>
        <v>Dec-24</v>
      </c>
      <c r="R440">
        <f>IFERROR((VLOOKUP(D440,Products!$A:$E,5,FALSE())-VLOOKUP(D440,Products!$A:$E,4,FALSE()))/VLOOKUP(D440,Products!$A:$E,5,FALSE()),"")</f>
        <v>0.56477272727272732</v>
      </c>
    </row>
    <row r="441" spans="1:18" x14ac:dyDescent="0.3">
      <c r="A441" s="22" t="s">
        <v>1283</v>
      </c>
      <c r="B441" s="23">
        <v>45326</v>
      </c>
      <c r="C441" s="22" t="s">
        <v>618</v>
      </c>
      <c r="D441" s="22" t="s">
        <v>315</v>
      </c>
      <c r="E441" s="22" t="s">
        <v>1284</v>
      </c>
      <c r="F441" s="24">
        <v>2</v>
      </c>
      <c r="G441" s="24">
        <v>4070</v>
      </c>
      <c r="H441" s="24">
        <v>29</v>
      </c>
      <c r="I441" s="24">
        <v>5779.4</v>
      </c>
      <c r="J441" s="22" t="s">
        <v>104</v>
      </c>
      <c r="K441" s="22" t="s">
        <v>134</v>
      </c>
      <c r="L441" t="str">
        <f>VLOOKUP(D441,Products!A:F,3,FALSE())</f>
        <v>Grocery</v>
      </c>
      <c r="M441" t="str">
        <f>VLOOKUP(C441,Customers!A:F,5,FALSE())</f>
        <v>SMB</v>
      </c>
      <c r="O441" t="str">
        <f>IFERROR(VLOOKUP(E441,Sales_Reps!$A:$C,3,FALSE()),"")</f>
        <v/>
      </c>
      <c r="P441">
        <f>IFERROR(VLOOKUP(C441,Customers!$A:$C,3,FALSE()),"")</f>
        <v>43</v>
      </c>
      <c r="Q441" t="str">
        <f t="shared" si="6"/>
        <v>Feb-24</v>
      </c>
      <c r="R441">
        <f>IFERROR((VLOOKUP(D441,Products!$A:$E,5,FALSE())-VLOOKUP(D441,Products!$A:$E,4,FALSE()))/VLOOKUP(D441,Products!$A:$E,5,FALSE()),"")</f>
        <v>0.50196560196560192</v>
      </c>
    </row>
    <row r="442" spans="1:18" x14ac:dyDescent="0.3">
      <c r="A442" s="22" t="s">
        <v>1285</v>
      </c>
      <c r="B442" s="23">
        <v>45561</v>
      </c>
      <c r="C442" s="22" t="s">
        <v>940</v>
      </c>
      <c r="D442" s="22" t="s">
        <v>209</v>
      </c>
      <c r="E442" s="22" t="s">
        <v>1286</v>
      </c>
      <c r="F442" s="24">
        <v>8</v>
      </c>
      <c r="G442" s="24">
        <v>1010</v>
      </c>
      <c r="H442" s="24">
        <v>25.4</v>
      </c>
      <c r="I442" s="24">
        <v>6027.68</v>
      </c>
      <c r="J442" s="22" t="s">
        <v>104</v>
      </c>
      <c r="K442" s="22" t="s">
        <v>111</v>
      </c>
      <c r="L442" t="str">
        <f>VLOOKUP(D442,Products!A:F,3,FALSE())</f>
        <v>Sports</v>
      </c>
      <c r="M442" t="str">
        <f>VLOOKUP(C442,Customers!A:F,5,FALSE())</f>
        <v>Corporate</v>
      </c>
      <c r="O442" t="str">
        <f>IFERROR(VLOOKUP(E442,Sales_Reps!$A:$C,3,FALSE()),"")</f>
        <v/>
      </c>
      <c r="P442">
        <f>IFERROR(VLOOKUP(C442,Customers!$A:$C,3,FALSE()),"")</f>
        <v>41</v>
      </c>
      <c r="Q442" t="str">
        <f t="shared" si="6"/>
        <v>Sep-24</v>
      </c>
      <c r="R442">
        <f>IFERROR((VLOOKUP(D442,Products!$A:$E,5,FALSE())-VLOOKUP(D442,Products!$A:$E,4,FALSE()))/VLOOKUP(D442,Products!$A:$E,5,FALSE()),"")</f>
        <v>0.4891089108910891</v>
      </c>
    </row>
    <row r="443" spans="1:18" x14ac:dyDescent="0.3">
      <c r="A443" s="22" t="s">
        <v>1287</v>
      </c>
      <c r="B443" s="23">
        <v>45629</v>
      </c>
      <c r="C443" s="22" t="s">
        <v>648</v>
      </c>
      <c r="D443" s="22" t="s">
        <v>162</v>
      </c>
      <c r="E443" s="22" t="s">
        <v>1288</v>
      </c>
      <c r="F443" s="24">
        <v>8</v>
      </c>
      <c r="G443" s="24">
        <v>3250</v>
      </c>
      <c r="H443" s="24">
        <v>5.4</v>
      </c>
      <c r="I443" s="24">
        <v>24596</v>
      </c>
      <c r="J443" s="22" t="s">
        <v>104</v>
      </c>
      <c r="K443" s="22" t="s">
        <v>105</v>
      </c>
      <c r="L443" t="str">
        <f>VLOOKUP(D443,Products!A:F,3,FALSE())</f>
        <v>Home</v>
      </c>
      <c r="M443" t="str">
        <f>VLOOKUP(C443,Customers!A:F,5,FALSE())</f>
        <v>Corporate</v>
      </c>
      <c r="O443" t="str">
        <f>IFERROR(VLOOKUP(E443,Sales_Reps!$A:$C,3,FALSE()),"")</f>
        <v/>
      </c>
      <c r="P443">
        <f>IFERROR(VLOOKUP(C443,Customers!$A:$C,3,FALSE()),"")</f>
        <v>29</v>
      </c>
      <c r="Q443" t="str">
        <f t="shared" si="6"/>
        <v>Dec-24</v>
      </c>
      <c r="R443">
        <f>IFERROR((VLOOKUP(D443,Products!$A:$E,5,FALSE())-VLOOKUP(D443,Products!$A:$E,4,FALSE()))/VLOOKUP(D443,Products!$A:$E,5,FALSE()),"")</f>
        <v>0.52123076923076928</v>
      </c>
    </row>
    <row r="444" spans="1:18" x14ac:dyDescent="0.3">
      <c r="A444" s="22" t="s">
        <v>1289</v>
      </c>
      <c r="B444" s="23">
        <v>45460</v>
      </c>
      <c r="C444" s="22" t="s">
        <v>551</v>
      </c>
      <c r="D444" s="22" t="s">
        <v>137</v>
      </c>
      <c r="E444" s="22" t="s">
        <v>1290</v>
      </c>
      <c r="F444" s="24">
        <v>7</v>
      </c>
      <c r="G444" s="24">
        <v>1430</v>
      </c>
      <c r="H444" s="24">
        <v>19.3</v>
      </c>
      <c r="I444" s="24">
        <v>8078.07</v>
      </c>
      <c r="J444" s="22" t="s">
        <v>104</v>
      </c>
      <c r="K444" s="22" t="s">
        <v>105</v>
      </c>
      <c r="L444" t="str">
        <f>VLOOKUP(D444,Products!A:F,3,FALSE())</f>
        <v>Electronics</v>
      </c>
      <c r="M444" t="str">
        <f>VLOOKUP(C444,Customers!A:F,5,FALSE())</f>
        <v>Corporate</v>
      </c>
      <c r="O444" t="str">
        <f>IFERROR(VLOOKUP(E444,Sales_Reps!$A:$C,3,FALSE()),"")</f>
        <v/>
      </c>
      <c r="P444">
        <f>IFERROR(VLOOKUP(C444,Customers!$A:$C,3,FALSE()),"")</f>
        <v>48</v>
      </c>
      <c r="Q444" t="str">
        <f t="shared" si="6"/>
        <v>Jun-24</v>
      </c>
      <c r="R444">
        <f>IFERROR((VLOOKUP(D444,Products!$A:$E,5,FALSE())-VLOOKUP(D444,Products!$A:$E,4,FALSE()))/VLOOKUP(D444,Products!$A:$E,5,FALSE()),"")</f>
        <v>0.39790209790209791</v>
      </c>
    </row>
    <row r="445" spans="1:18" x14ac:dyDescent="0.3">
      <c r="A445" s="22" t="s">
        <v>1291</v>
      </c>
      <c r="B445" s="23">
        <v>45597</v>
      </c>
      <c r="C445" s="22" t="s">
        <v>473</v>
      </c>
      <c r="D445" s="22" t="s">
        <v>330</v>
      </c>
      <c r="E445" s="22" t="s">
        <v>1292</v>
      </c>
      <c r="F445" s="24">
        <v>9</v>
      </c>
      <c r="G445" s="24">
        <v>3020</v>
      </c>
      <c r="H445" s="24">
        <v>15</v>
      </c>
      <c r="I445" s="24">
        <v>23103</v>
      </c>
      <c r="J445" s="22" t="s">
        <v>104</v>
      </c>
      <c r="K445" s="22" t="s">
        <v>134</v>
      </c>
      <c r="L445" t="str">
        <f>VLOOKUP(D445,Products!A:F,3,FALSE())</f>
        <v>Beauty</v>
      </c>
      <c r="M445" t="str">
        <f>VLOOKUP(C445,Customers!A:F,5,FALSE())</f>
        <v>SMB</v>
      </c>
      <c r="O445" t="str">
        <f>IFERROR(VLOOKUP(E445,Sales_Reps!$A:$C,3,FALSE()),"")</f>
        <v/>
      </c>
      <c r="P445">
        <f>IFERROR(VLOOKUP(C445,Customers!$A:$C,3,FALSE()),"")</f>
        <v>44</v>
      </c>
      <c r="Q445" t="str">
        <f t="shared" si="6"/>
        <v>Nov-24</v>
      </c>
      <c r="R445">
        <f>IFERROR((VLOOKUP(D445,Products!$A:$E,5,FALSE())-VLOOKUP(D445,Products!$A:$E,4,FALSE()))/VLOOKUP(D445,Products!$A:$E,5,FALSE()),"")</f>
        <v>0.46158940397350995</v>
      </c>
    </row>
    <row r="446" spans="1:18" x14ac:dyDescent="0.3">
      <c r="A446" s="22" t="s">
        <v>1293</v>
      </c>
      <c r="B446" s="23">
        <v>45324</v>
      </c>
      <c r="C446" s="22" t="s">
        <v>1294</v>
      </c>
      <c r="D446" s="22" t="s">
        <v>334</v>
      </c>
      <c r="E446" s="22" t="s">
        <v>1295</v>
      </c>
      <c r="F446" s="24">
        <v>2</v>
      </c>
      <c r="G446" s="24">
        <v>2660</v>
      </c>
      <c r="H446" s="24">
        <v>21.4</v>
      </c>
      <c r="I446" s="24">
        <v>4181.5200000000004</v>
      </c>
      <c r="J446" s="22" t="s">
        <v>104</v>
      </c>
      <c r="K446" s="22" t="s">
        <v>111</v>
      </c>
      <c r="L446" t="str">
        <f>VLOOKUP(D446,Products!A:F,3,FALSE())</f>
        <v>Electronics</v>
      </c>
      <c r="M446" t="e">
        <f>VLOOKUP(C446,Customers!A:F,5,FALSE())</f>
        <v>#N/A</v>
      </c>
      <c r="O446" t="str">
        <f>IFERROR(VLOOKUP(E446,Sales_Reps!$A:$C,3,FALSE()),"")</f>
        <v/>
      </c>
      <c r="P446" t="str">
        <f>IFERROR(VLOOKUP(C446,Customers!$A:$C,3,FALSE()),"")</f>
        <v/>
      </c>
      <c r="Q446" t="str">
        <f t="shared" si="6"/>
        <v>Feb-24</v>
      </c>
      <c r="R446">
        <f>IFERROR((VLOOKUP(D446,Products!$A:$E,5,FALSE())-VLOOKUP(D446,Products!$A:$E,4,FALSE()))/VLOOKUP(D446,Products!$A:$E,5,FALSE()),"")</f>
        <v>0.52669172932330832</v>
      </c>
    </row>
    <row r="447" spans="1:18" x14ac:dyDescent="0.3">
      <c r="A447" s="22" t="s">
        <v>1296</v>
      </c>
      <c r="B447" s="23">
        <v>45490</v>
      </c>
      <c r="C447" s="22" t="s">
        <v>208</v>
      </c>
      <c r="D447" s="22" t="s">
        <v>216</v>
      </c>
      <c r="E447" s="22" t="s">
        <v>1297</v>
      </c>
      <c r="F447" s="24">
        <v>10</v>
      </c>
      <c r="G447" s="24">
        <v>3570</v>
      </c>
      <c r="H447" s="24">
        <v>20.3</v>
      </c>
      <c r="I447" s="24">
        <v>28452.9</v>
      </c>
      <c r="J447" s="22" t="s">
        <v>104</v>
      </c>
      <c r="K447" s="22" t="s">
        <v>116</v>
      </c>
      <c r="L447" t="str">
        <f>VLOOKUP(D447,Products!A:F,3,FALSE())</f>
        <v>Electronics</v>
      </c>
      <c r="M447" t="str">
        <f>VLOOKUP(C447,Customers!A:F,5,FALSE())</f>
        <v>Retail</v>
      </c>
      <c r="O447" t="str">
        <f>IFERROR(VLOOKUP(E447,Sales_Reps!$A:$C,3,FALSE()),"")</f>
        <v/>
      </c>
      <c r="P447">
        <f>IFERROR(VLOOKUP(C447,Customers!$A:$C,3,FALSE()),"")</f>
        <v>31</v>
      </c>
      <c r="Q447" t="str">
        <f t="shared" si="6"/>
        <v>Jul-24</v>
      </c>
      <c r="R447">
        <f>IFERROR((VLOOKUP(D447,Products!$A:$E,5,FALSE())-VLOOKUP(D447,Products!$A:$E,4,FALSE()))/VLOOKUP(D447,Products!$A:$E,5,FALSE()),"")</f>
        <v>0.53361344537815125</v>
      </c>
    </row>
    <row r="448" spans="1:18" x14ac:dyDescent="0.3">
      <c r="A448" s="22" t="s">
        <v>1298</v>
      </c>
      <c r="B448" s="23">
        <v>45330</v>
      </c>
      <c r="C448" s="22" t="s">
        <v>227</v>
      </c>
      <c r="D448" s="22" t="s">
        <v>205</v>
      </c>
      <c r="E448" s="22" t="s">
        <v>1299</v>
      </c>
      <c r="F448" s="24">
        <v>4</v>
      </c>
      <c r="G448" s="24">
        <v>3350</v>
      </c>
      <c r="H448" s="24">
        <v>28.1</v>
      </c>
      <c r="I448" s="24">
        <v>9634.6</v>
      </c>
      <c r="J448" s="22" t="s">
        <v>104</v>
      </c>
      <c r="K448" s="22" t="s">
        <v>105</v>
      </c>
      <c r="L448" t="str">
        <f>VLOOKUP(D448,Products!A:F,3,FALSE())</f>
        <v>Beauty</v>
      </c>
      <c r="M448" t="str">
        <f>VLOOKUP(C448,Customers!A:F,5,FALSE())</f>
        <v>Corporate</v>
      </c>
      <c r="O448" t="str">
        <f>IFERROR(VLOOKUP(E448,Sales_Reps!$A:$C,3,FALSE()),"")</f>
        <v/>
      </c>
      <c r="P448">
        <f>IFERROR(VLOOKUP(C448,Customers!$A:$C,3,FALSE()),"")</f>
        <v>47</v>
      </c>
      <c r="Q448" t="str">
        <f t="shared" si="6"/>
        <v>Feb-24</v>
      </c>
      <c r="R448">
        <f>IFERROR((VLOOKUP(D448,Products!$A:$E,5,FALSE())-VLOOKUP(D448,Products!$A:$E,4,FALSE()))/VLOOKUP(D448,Products!$A:$E,5,FALSE()),"")</f>
        <v>0.48417910447761192</v>
      </c>
    </row>
    <row r="449" spans="1:18" x14ac:dyDescent="0.3">
      <c r="A449" s="22" t="s">
        <v>1300</v>
      </c>
      <c r="B449" s="23">
        <v>45336</v>
      </c>
      <c r="C449" s="22" t="s">
        <v>118</v>
      </c>
      <c r="D449" s="22" t="s">
        <v>190</v>
      </c>
      <c r="E449" s="22" t="s">
        <v>1301</v>
      </c>
      <c r="F449" s="24">
        <v>1</v>
      </c>
      <c r="G449" s="24">
        <v>2480</v>
      </c>
      <c r="H449" s="24">
        <v>13.5</v>
      </c>
      <c r="I449" s="24">
        <v>2145.1999999999998</v>
      </c>
      <c r="J449" s="22" t="s">
        <v>104</v>
      </c>
      <c r="K449" s="22" t="s">
        <v>116</v>
      </c>
      <c r="L449" t="str">
        <f>VLOOKUP(D449,Products!A:F,3,FALSE())</f>
        <v>Apparel</v>
      </c>
      <c r="M449" t="str">
        <f>VLOOKUP(C449,Customers!A:F,5,FALSE())</f>
        <v>Corporate</v>
      </c>
      <c r="O449" t="str">
        <f>IFERROR(VLOOKUP(E449,Sales_Reps!$A:$C,3,FALSE()),"")</f>
        <v/>
      </c>
      <c r="P449">
        <f>IFERROR(VLOOKUP(C449,Customers!$A:$C,3,FALSE()),"")</f>
        <v>46</v>
      </c>
      <c r="Q449" t="str">
        <f t="shared" si="6"/>
        <v>Feb-24</v>
      </c>
      <c r="R449">
        <f>IFERROR((VLOOKUP(D449,Products!$A:$E,5,FALSE())-VLOOKUP(D449,Products!$A:$E,4,FALSE()))/VLOOKUP(D449,Products!$A:$E,5,FALSE()),"")</f>
        <v>0.52701612903225803</v>
      </c>
    </row>
    <row r="450" spans="1:18" x14ac:dyDescent="0.3">
      <c r="A450" s="22" t="s">
        <v>1302</v>
      </c>
      <c r="B450" s="23">
        <v>45649</v>
      </c>
      <c r="C450" s="22" t="s">
        <v>1303</v>
      </c>
      <c r="D450" s="22" t="s">
        <v>449</v>
      </c>
      <c r="E450" s="22" t="s">
        <v>1304</v>
      </c>
      <c r="F450" s="24">
        <v>10</v>
      </c>
      <c r="G450" s="24">
        <v>5410</v>
      </c>
      <c r="H450" s="24">
        <v>26.1</v>
      </c>
      <c r="I450" s="24">
        <v>39979.9</v>
      </c>
      <c r="J450" s="22" t="s">
        <v>104</v>
      </c>
      <c r="K450" s="22" t="s">
        <v>116</v>
      </c>
      <c r="L450" t="str">
        <f>VLOOKUP(D450,Products!A:F,3,FALSE())</f>
        <v>Sports</v>
      </c>
      <c r="M450" t="str">
        <f>VLOOKUP(C450,Customers!A:F,5,FALSE())</f>
        <v>SMB</v>
      </c>
      <c r="O450" t="str">
        <f>IFERROR(VLOOKUP(E450,Sales_Reps!$A:$C,3,FALSE()),"")</f>
        <v/>
      </c>
      <c r="P450">
        <f>IFERROR(VLOOKUP(C450,Customers!$A:$C,3,FALSE()),"")</f>
        <v>38</v>
      </c>
      <c r="Q450" t="str">
        <f t="shared" ref="Q450:Q513" si="7">TEXT(B450,"mmm-yy")</f>
        <v>Dec-24</v>
      </c>
      <c r="R450">
        <f>IFERROR((VLOOKUP(D450,Products!$A:$E,5,FALSE())-VLOOKUP(D450,Products!$A:$E,4,FALSE()))/VLOOKUP(D450,Products!$A:$E,5,FALSE()),"")</f>
        <v>0.58133086876155271</v>
      </c>
    </row>
    <row r="451" spans="1:18" x14ac:dyDescent="0.3">
      <c r="A451" s="22" t="s">
        <v>1305</v>
      </c>
      <c r="B451" s="23">
        <v>45586</v>
      </c>
      <c r="C451" s="22" t="s">
        <v>1306</v>
      </c>
      <c r="D451" s="22" t="s">
        <v>234</v>
      </c>
      <c r="E451" s="22" t="s">
        <v>1307</v>
      </c>
      <c r="F451" s="24">
        <v>2</v>
      </c>
      <c r="G451" s="24">
        <v>660</v>
      </c>
      <c r="H451" s="24">
        <v>5</v>
      </c>
      <c r="I451" s="24">
        <v>1254</v>
      </c>
      <c r="J451" s="22" t="s">
        <v>104</v>
      </c>
      <c r="K451" s="22" t="s">
        <v>134</v>
      </c>
      <c r="L451" t="str">
        <f>VLOOKUP(D451,Products!A:F,3,FALSE())</f>
        <v>Home</v>
      </c>
      <c r="M451" t="str">
        <f>VLOOKUP(C451,Customers!A:F,5,FALSE())</f>
        <v>Retail</v>
      </c>
      <c r="O451" t="str">
        <f>IFERROR(VLOOKUP(E451,Sales_Reps!$A:$C,3,FALSE()),"")</f>
        <v/>
      </c>
      <c r="P451">
        <f>IFERROR(VLOOKUP(C451,Customers!$A:$C,3,FALSE()),"")</f>
        <v>47</v>
      </c>
      <c r="Q451" t="str">
        <f t="shared" si="7"/>
        <v>Oct-24</v>
      </c>
      <c r="R451">
        <f>IFERROR((VLOOKUP(D451,Products!$A:$E,5,FALSE())-VLOOKUP(D451,Products!$A:$E,4,FALSE()))/VLOOKUP(D451,Products!$A:$E,5,FALSE()),"")</f>
        <v>0.50151515151515147</v>
      </c>
    </row>
    <row r="452" spans="1:18" x14ac:dyDescent="0.3">
      <c r="A452" s="22" t="s">
        <v>1308</v>
      </c>
      <c r="B452" s="23">
        <v>45647</v>
      </c>
      <c r="C452" s="22" t="s">
        <v>1309</v>
      </c>
      <c r="D452" s="22" t="s">
        <v>209</v>
      </c>
      <c r="E452" s="22" t="s">
        <v>1310</v>
      </c>
      <c r="F452" s="24">
        <v>10</v>
      </c>
      <c r="G452" s="24">
        <v>1010</v>
      </c>
      <c r="H452" s="24">
        <v>10</v>
      </c>
      <c r="I452" s="24">
        <v>9090</v>
      </c>
      <c r="J452" s="22" t="s">
        <v>104</v>
      </c>
      <c r="K452" s="22" t="s">
        <v>129</v>
      </c>
      <c r="L452" t="str">
        <f>VLOOKUP(D452,Products!A:F,3,FALSE())</f>
        <v>Sports</v>
      </c>
      <c r="M452" t="str">
        <f>VLOOKUP(C452,Customers!A:F,5,FALSE())</f>
        <v>Corporate</v>
      </c>
      <c r="O452" t="str">
        <f>IFERROR(VLOOKUP(E452,Sales_Reps!$A:$C,3,FALSE()),"")</f>
        <v/>
      </c>
      <c r="P452">
        <f>IFERROR(VLOOKUP(C452,Customers!$A:$C,3,FALSE()),"")</f>
        <v>62</v>
      </c>
      <c r="Q452" t="str">
        <f t="shared" si="7"/>
        <v>Dec-24</v>
      </c>
      <c r="R452">
        <f>IFERROR((VLOOKUP(D452,Products!$A:$E,5,FALSE())-VLOOKUP(D452,Products!$A:$E,4,FALSE()))/VLOOKUP(D452,Products!$A:$E,5,FALSE()),"")</f>
        <v>0.4891089108910891</v>
      </c>
    </row>
    <row r="453" spans="1:18" x14ac:dyDescent="0.3">
      <c r="A453" s="22" t="s">
        <v>1311</v>
      </c>
      <c r="B453" s="23">
        <v>45496</v>
      </c>
      <c r="C453" s="22" t="s">
        <v>1312</v>
      </c>
      <c r="D453" s="22" t="s">
        <v>488</v>
      </c>
      <c r="E453" s="22" t="s">
        <v>1313</v>
      </c>
      <c r="F453" s="24">
        <v>3</v>
      </c>
      <c r="G453" s="24">
        <v>2290</v>
      </c>
      <c r="H453" s="24">
        <v>8.9</v>
      </c>
      <c r="I453" s="24">
        <v>6258.57</v>
      </c>
      <c r="J453" s="22" t="s">
        <v>104</v>
      </c>
      <c r="K453" s="22" t="s">
        <v>129</v>
      </c>
      <c r="L453" t="str">
        <f>VLOOKUP(D453,Products!A:F,3,FALSE())</f>
        <v>Beauty</v>
      </c>
      <c r="M453" t="str">
        <f>VLOOKUP(C453,Customers!A:F,5,FALSE())</f>
        <v>Retail</v>
      </c>
      <c r="O453" t="str">
        <f>IFERROR(VLOOKUP(E453,Sales_Reps!$A:$C,3,FALSE()),"")</f>
        <v/>
      </c>
      <c r="P453">
        <f>IFERROR(VLOOKUP(C453,Customers!$A:$C,3,FALSE()),"")</f>
        <v>57</v>
      </c>
      <c r="Q453" t="str">
        <f t="shared" si="7"/>
        <v>Jul-24</v>
      </c>
      <c r="R453">
        <f>IFERROR((VLOOKUP(D453,Products!$A:$E,5,FALSE())-VLOOKUP(D453,Products!$A:$E,4,FALSE()))/VLOOKUP(D453,Products!$A:$E,5,FALSE()),"")</f>
        <v>0.46768558951965067</v>
      </c>
    </row>
    <row r="454" spans="1:18" x14ac:dyDescent="0.3">
      <c r="A454" s="22" t="s">
        <v>1314</v>
      </c>
      <c r="B454" s="23">
        <v>45369</v>
      </c>
      <c r="C454" s="22" t="s">
        <v>1030</v>
      </c>
      <c r="D454" s="22" t="s">
        <v>178</v>
      </c>
      <c r="E454" s="22" t="s">
        <v>1315</v>
      </c>
      <c r="F454" s="24">
        <v>9</v>
      </c>
      <c r="G454" s="24">
        <v>3450</v>
      </c>
      <c r="H454" s="24">
        <v>24.3</v>
      </c>
      <c r="I454" s="24">
        <v>23504.85</v>
      </c>
      <c r="J454" s="22" t="s">
        <v>104</v>
      </c>
      <c r="K454" s="22" t="s">
        <v>116</v>
      </c>
      <c r="L454" t="str">
        <f>VLOOKUP(D454,Products!A:F,3,FALSE())</f>
        <v>Beauty</v>
      </c>
      <c r="M454" t="str">
        <f>VLOOKUP(C454,Customers!A:F,5,FALSE())</f>
        <v>Retail</v>
      </c>
      <c r="O454" t="str">
        <f>IFERROR(VLOOKUP(E454,Sales_Reps!$A:$C,3,FALSE()),"")</f>
        <v/>
      </c>
      <c r="P454">
        <f>IFERROR(VLOOKUP(C454,Customers!$A:$C,3,FALSE()),"")</f>
        <v>24</v>
      </c>
      <c r="Q454" t="str">
        <f t="shared" si="7"/>
        <v>Mar-24</v>
      </c>
      <c r="R454">
        <f>IFERROR((VLOOKUP(D454,Products!$A:$E,5,FALSE())-VLOOKUP(D454,Products!$A:$E,4,FALSE()))/VLOOKUP(D454,Products!$A:$E,5,FALSE()),"")</f>
        <v>0.29855072463768118</v>
      </c>
    </row>
    <row r="455" spans="1:18" x14ac:dyDescent="0.3">
      <c r="A455" s="22" t="s">
        <v>1316</v>
      </c>
      <c r="B455" s="23">
        <v>45389</v>
      </c>
      <c r="C455" s="22" t="s">
        <v>348</v>
      </c>
      <c r="D455" s="22" t="s">
        <v>279</v>
      </c>
      <c r="E455" s="22" t="s">
        <v>1317</v>
      </c>
      <c r="F455" s="24">
        <v>10</v>
      </c>
      <c r="G455" s="24">
        <v>3640</v>
      </c>
      <c r="H455" s="24">
        <v>21.4</v>
      </c>
      <c r="I455" s="24">
        <v>28610.400000000001</v>
      </c>
      <c r="J455" s="22" t="s">
        <v>159</v>
      </c>
      <c r="K455" s="22" t="s">
        <v>111</v>
      </c>
      <c r="L455" t="str">
        <f>VLOOKUP(D455,Products!A:F,3,FALSE())</f>
        <v>Apparel</v>
      </c>
      <c r="M455" t="str">
        <f>VLOOKUP(C455,Customers!A:F,5,FALSE())</f>
        <v>Retail</v>
      </c>
      <c r="O455" t="str">
        <f>IFERROR(VLOOKUP(E455,Sales_Reps!$A:$C,3,FALSE()),"")</f>
        <v/>
      </c>
      <c r="P455">
        <f>IFERROR(VLOOKUP(C455,Customers!$A:$C,3,FALSE()),"")</f>
        <v>38</v>
      </c>
      <c r="Q455" t="str">
        <f t="shared" si="7"/>
        <v>Apr-24</v>
      </c>
      <c r="R455">
        <f>IFERROR((VLOOKUP(D455,Products!$A:$E,5,FALSE())-VLOOKUP(D455,Products!$A:$E,4,FALSE()))/VLOOKUP(D455,Products!$A:$E,5,FALSE()),"")</f>
        <v>0.28269230769230769</v>
      </c>
    </row>
    <row r="456" spans="1:18" x14ac:dyDescent="0.3">
      <c r="A456" s="22" t="s">
        <v>1318</v>
      </c>
      <c r="B456" s="23">
        <v>45336</v>
      </c>
      <c r="C456" s="22" t="s">
        <v>1319</v>
      </c>
      <c r="D456" s="22" t="s">
        <v>459</v>
      </c>
      <c r="E456" s="22" t="s">
        <v>1320</v>
      </c>
      <c r="F456" s="24">
        <v>5</v>
      </c>
      <c r="G456" s="24">
        <v>2380</v>
      </c>
      <c r="H456" s="24">
        <v>12.2</v>
      </c>
      <c r="I456" s="24">
        <v>10448.200000000001</v>
      </c>
      <c r="J456" s="22" t="s">
        <v>104</v>
      </c>
      <c r="K456" s="22" t="s">
        <v>129</v>
      </c>
      <c r="L456" t="str">
        <f>VLOOKUP(D456,Products!A:F,3,FALSE())</f>
        <v>Grocery</v>
      </c>
      <c r="M456" t="str">
        <f>VLOOKUP(C456,Customers!A:F,5,FALSE())</f>
        <v>Corporate</v>
      </c>
      <c r="O456" t="str">
        <f>IFERROR(VLOOKUP(E456,Sales_Reps!$A:$C,3,FALSE()),"")</f>
        <v/>
      </c>
      <c r="P456">
        <f>IFERROR(VLOOKUP(C456,Customers!$A:$C,3,FALSE()),"")</f>
        <v>62</v>
      </c>
      <c r="Q456" t="str">
        <f t="shared" si="7"/>
        <v>Feb-24</v>
      </c>
      <c r="R456">
        <f>IFERROR((VLOOKUP(D456,Products!$A:$E,5,FALSE())-VLOOKUP(D456,Products!$A:$E,4,FALSE()))/VLOOKUP(D456,Products!$A:$E,5,FALSE()),"")</f>
        <v>0.50336134453781511</v>
      </c>
    </row>
    <row r="457" spans="1:18" x14ac:dyDescent="0.3">
      <c r="A457" s="22" t="s">
        <v>1321</v>
      </c>
      <c r="B457" s="23">
        <v>45505</v>
      </c>
      <c r="C457" s="22" t="s">
        <v>734</v>
      </c>
      <c r="D457" s="22" t="s">
        <v>449</v>
      </c>
      <c r="E457" s="22" t="s">
        <v>1322</v>
      </c>
      <c r="F457" s="24">
        <v>10</v>
      </c>
      <c r="G457" s="24">
        <v>5410</v>
      </c>
      <c r="H457" s="24">
        <v>29.8</v>
      </c>
      <c r="I457" s="24">
        <v>37978.199999999997</v>
      </c>
      <c r="J457" s="22" t="s">
        <v>104</v>
      </c>
      <c r="K457" s="22" t="s">
        <v>151</v>
      </c>
      <c r="L457" t="str">
        <f>VLOOKUP(D457,Products!A:F,3,FALSE())</f>
        <v>Sports</v>
      </c>
      <c r="M457" t="str">
        <f>VLOOKUP(C457,Customers!A:F,5,FALSE())</f>
        <v>Retail</v>
      </c>
      <c r="O457" t="str">
        <f>IFERROR(VLOOKUP(E457,Sales_Reps!$A:$C,3,FALSE()),"")</f>
        <v/>
      </c>
      <c r="P457">
        <f>IFERROR(VLOOKUP(C457,Customers!$A:$C,3,FALSE()),"")</f>
        <v>38</v>
      </c>
      <c r="Q457" t="str">
        <f t="shared" si="7"/>
        <v>Aug-24</v>
      </c>
      <c r="R457">
        <f>IFERROR((VLOOKUP(D457,Products!$A:$E,5,FALSE())-VLOOKUP(D457,Products!$A:$E,4,FALSE()))/VLOOKUP(D457,Products!$A:$E,5,FALSE()),"")</f>
        <v>0.58133086876155271</v>
      </c>
    </row>
    <row r="458" spans="1:18" x14ac:dyDescent="0.3">
      <c r="A458" s="22" t="s">
        <v>1323</v>
      </c>
      <c r="B458" s="23">
        <v>45375</v>
      </c>
      <c r="C458" s="22" t="s">
        <v>1309</v>
      </c>
      <c r="D458" s="22" t="s">
        <v>201</v>
      </c>
      <c r="E458" s="22" t="s">
        <v>1324</v>
      </c>
      <c r="F458" s="24">
        <v>3</v>
      </c>
      <c r="G458" s="24">
        <v>1650</v>
      </c>
      <c r="H458" s="24">
        <v>9.4</v>
      </c>
      <c r="I458" s="24">
        <v>4484.7</v>
      </c>
      <c r="J458" s="22" t="s">
        <v>159</v>
      </c>
      <c r="K458" s="22" t="s">
        <v>129</v>
      </c>
      <c r="L458" t="str">
        <f>VLOOKUP(D458,Products!A:F,3,FALSE())</f>
        <v>Beauty</v>
      </c>
      <c r="M458" t="str">
        <f>VLOOKUP(C458,Customers!A:F,5,FALSE())</f>
        <v>Corporate</v>
      </c>
      <c r="O458" t="str">
        <f>IFERROR(VLOOKUP(E458,Sales_Reps!$A:$C,3,FALSE()),"")</f>
        <v/>
      </c>
      <c r="P458">
        <f>IFERROR(VLOOKUP(C458,Customers!$A:$C,3,FALSE()),"")</f>
        <v>62</v>
      </c>
      <c r="Q458" t="str">
        <f t="shared" si="7"/>
        <v>Mar-24</v>
      </c>
      <c r="R458">
        <f>IFERROR((VLOOKUP(D458,Products!$A:$E,5,FALSE())-VLOOKUP(D458,Products!$A:$E,4,FALSE()))/VLOOKUP(D458,Products!$A:$E,5,FALSE()),"")</f>
        <v>0.2593939393939394</v>
      </c>
    </row>
    <row r="459" spans="1:18" x14ac:dyDescent="0.3">
      <c r="A459" s="22" t="s">
        <v>1325</v>
      </c>
      <c r="B459" s="23">
        <v>45383</v>
      </c>
      <c r="C459" s="22" t="s">
        <v>1326</v>
      </c>
      <c r="D459" s="22" t="s">
        <v>157</v>
      </c>
      <c r="E459" s="22" t="s">
        <v>1327</v>
      </c>
      <c r="F459" s="24">
        <v>7</v>
      </c>
      <c r="G459" s="24">
        <v>2600</v>
      </c>
      <c r="H459" s="24">
        <v>19.899999999999999</v>
      </c>
      <c r="I459" s="24">
        <v>14578.2</v>
      </c>
      <c r="J459" s="22" t="s">
        <v>110</v>
      </c>
      <c r="K459" s="22" t="s">
        <v>129</v>
      </c>
      <c r="L459" t="str">
        <f>VLOOKUP(D459,Products!A:F,3,FALSE())</f>
        <v>Electronics</v>
      </c>
      <c r="M459" t="str">
        <f>VLOOKUP(C459,Customers!A:F,5,FALSE())</f>
        <v>Retail</v>
      </c>
      <c r="O459" t="str">
        <f>IFERROR(VLOOKUP(E459,Sales_Reps!$A:$C,3,FALSE()),"")</f>
        <v/>
      </c>
      <c r="P459">
        <f>IFERROR(VLOOKUP(C459,Customers!$A:$C,3,FALSE()),"")</f>
        <v>22</v>
      </c>
      <c r="Q459" t="str">
        <f t="shared" si="7"/>
        <v>Apr-24</v>
      </c>
      <c r="R459">
        <f>IFERROR((VLOOKUP(D459,Products!$A:$E,5,FALSE())-VLOOKUP(D459,Products!$A:$E,4,FALSE()))/VLOOKUP(D459,Products!$A:$E,5,FALSE()),"")</f>
        <v>0.5953846153846154</v>
      </c>
    </row>
    <row r="460" spans="1:18" x14ac:dyDescent="0.3">
      <c r="A460" s="22" t="s">
        <v>542</v>
      </c>
      <c r="B460" s="23">
        <v>45474</v>
      </c>
      <c r="C460" s="22" t="s">
        <v>1328</v>
      </c>
      <c r="D460" s="22" t="s">
        <v>323</v>
      </c>
      <c r="E460" s="22" t="s">
        <v>1329</v>
      </c>
      <c r="F460" s="24">
        <v>4</v>
      </c>
      <c r="G460" s="24">
        <v>4610</v>
      </c>
      <c r="H460" s="24">
        <v>13.2</v>
      </c>
      <c r="I460" s="24">
        <v>16005.92</v>
      </c>
      <c r="J460" s="22" t="s">
        <v>104</v>
      </c>
      <c r="K460" s="22" t="s">
        <v>151</v>
      </c>
      <c r="L460" t="str">
        <f>VLOOKUP(D460,Products!A:F,3,FALSE())</f>
        <v>Home</v>
      </c>
      <c r="M460" t="str">
        <f>VLOOKUP(C460,Customers!A:F,5,FALSE())</f>
        <v>SMB</v>
      </c>
      <c r="O460" t="str">
        <f>IFERROR(VLOOKUP(E460,Sales_Reps!$A:$C,3,FALSE()),"")</f>
        <v/>
      </c>
      <c r="P460">
        <f>IFERROR(VLOOKUP(C460,Customers!$A:$C,3,FALSE()),"")</f>
        <v>28</v>
      </c>
      <c r="Q460" t="str">
        <f t="shared" si="7"/>
        <v>Jul-24</v>
      </c>
      <c r="R460">
        <f>IFERROR((VLOOKUP(D460,Products!$A:$E,5,FALSE())-VLOOKUP(D460,Products!$A:$E,4,FALSE()))/VLOOKUP(D460,Products!$A:$E,5,FALSE()),"")</f>
        <v>0.59869848156182215</v>
      </c>
    </row>
    <row r="461" spans="1:18" x14ac:dyDescent="0.3">
      <c r="A461" s="22" t="s">
        <v>1330</v>
      </c>
      <c r="B461" s="23">
        <v>45361</v>
      </c>
      <c r="C461" s="22" t="s">
        <v>314</v>
      </c>
      <c r="D461" s="22" t="s">
        <v>323</v>
      </c>
      <c r="E461" s="22" t="s">
        <v>1331</v>
      </c>
      <c r="F461" s="24">
        <v>9</v>
      </c>
      <c r="G461" s="24">
        <v>4610</v>
      </c>
      <c r="H461" s="24">
        <v>25.8</v>
      </c>
      <c r="I461" s="24">
        <v>30785.58</v>
      </c>
      <c r="J461" s="22" t="s">
        <v>104</v>
      </c>
      <c r="K461" s="22" t="s">
        <v>151</v>
      </c>
      <c r="L461" t="str">
        <f>VLOOKUP(D461,Products!A:F,3,FALSE())</f>
        <v>Home</v>
      </c>
      <c r="M461" t="str">
        <f>VLOOKUP(C461,Customers!A:F,5,FALSE())</f>
        <v>Retail</v>
      </c>
      <c r="O461" t="str">
        <f>IFERROR(VLOOKUP(E461,Sales_Reps!$A:$C,3,FALSE()),"")</f>
        <v/>
      </c>
      <c r="P461">
        <f>IFERROR(VLOOKUP(C461,Customers!$A:$C,3,FALSE()),"")</f>
        <v>53</v>
      </c>
      <c r="Q461" t="str">
        <f t="shared" si="7"/>
        <v>Mar-24</v>
      </c>
      <c r="R461">
        <f>IFERROR((VLOOKUP(D461,Products!$A:$E,5,FALSE())-VLOOKUP(D461,Products!$A:$E,4,FALSE()))/VLOOKUP(D461,Products!$A:$E,5,FALSE()),"")</f>
        <v>0.59869848156182215</v>
      </c>
    </row>
    <row r="462" spans="1:18" x14ac:dyDescent="0.3">
      <c r="A462" s="22" t="s">
        <v>1332</v>
      </c>
      <c r="B462" s="23">
        <v>45550</v>
      </c>
      <c r="C462" s="22" t="s">
        <v>1333</v>
      </c>
      <c r="D462" s="22" t="s">
        <v>338</v>
      </c>
      <c r="E462" s="22" t="s">
        <v>1334</v>
      </c>
      <c r="F462" s="24">
        <v>5</v>
      </c>
      <c r="G462" s="24">
        <v>300</v>
      </c>
      <c r="H462" s="24">
        <v>11.8</v>
      </c>
      <c r="I462" s="24">
        <v>1323</v>
      </c>
      <c r="J462" s="22" t="s">
        <v>104</v>
      </c>
      <c r="K462" s="22" t="s">
        <v>111</v>
      </c>
      <c r="L462" t="str">
        <f>VLOOKUP(D462,Products!A:F,3,FALSE())</f>
        <v>Electronics</v>
      </c>
      <c r="M462" t="str">
        <f>VLOOKUP(C462,Customers!A:F,5,FALSE())</f>
        <v>Corporate</v>
      </c>
      <c r="O462" t="str">
        <f>IFERROR(VLOOKUP(E462,Sales_Reps!$A:$C,3,FALSE()),"")</f>
        <v/>
      </c>
      <c r="P462">
        <f>IFERROR(VLOOKUP(C462,Customers!$A:$C,3,FALSE()),"")</f>
        <v>44</v>
      </c>
      <c r="Q462" t="str">
        <f t="shared" si="7"/>
        <v>Sep-24</v>
      </c>
      <c r="R462">
        <f>IFERROR((VLOOKUP(D462,Products!$A:$E,5,FALSE())-VLOOKUP(D462,Products!$A:$E,4,FALSE()))/VLOOKUP(D462,Products!$A:$E,5,FALSE()),"")</f>
        <v>0.57333333333333336</v>
      </c>
    </row>
    <row r="463" spans="1:18" x14ac:dyDescent="0.3">
      <c r="A463" s="22" t="s">
        <v>1335</v>
      </c>
      <c r="B463" s="23">
        <v>45485</v>
      </c>
      <c r="C463" s="22" t="s">
        <v>1172</v>
      </c>
      <c r="D463" s="22" t="s">
        <v>591</v>
      </c>
      <c r="E463" s="22" t="s">
        <v>1336</v>
      </c>
      <c r="F463" s="24">
        <v>3</v>
      </c>
      <c r="G463" s="24">
        <v>3450</v>
      </c>
      <c r="H463" s="24">
        <v>14.2</v>
      </c>
      <c r="I463" s="24">
        <v>8880.2999999999993</v>
      </c>
      <c r="J463" s="22" t="s">
        <v>104</v>
      </c>
      <c r="K463" s="22" t="s">
        <v>111</v>
      </c>
      <c r="L463" t="str">
        <f>VLOOKUP(D463,Products!A:F,3,FALSE())</f>
        <v>Apparel</v>
      </c>
      <c r="M463" t="str">
        <f>VLOOKUP(C463,Customers!A:F,5,FALSE())</f>
        <v>Retail</v>
      </c>
      <c r="O463" t="str">
        <f>IFERROR(VLOOKUP(E463,Sales_Reps!$A:$C,3,FALSE()),"")</f>
        <v/>
      </c>
      <c r="P463">
        <f>IFERROR(VLOOKUP(C463,Customers!$A:$C,3,FALSE()),"")</f>
        <v>22</v>
      </c>
      <c r="Q463" t="str">
        <f t="shared" si="7"/>
        <v>Jul-24</v>
      </c>
      <c r="R463">
        <f>IFERROR((VLOOKUP(D463,Products!$A:$E,5,FALSE())-VLOOKUP(D463,Products!$A:$E,4,FALSE()))/VLOOKUP(D463,Products!$A:$E,5,FALSE()),"")</f>
        <v>0.49333333333333335</v>
      </c>
    </row>
    <row r="464" spans="1:18" x14ac:dyDescent="0.3">
      <c r="A464" s="22" t="s">
        <v>1337</v>
      </c>
      <c r="B464" s="23">
        <v>45523</v>
      </c>
      <c r="C464" s="22" t="s">
        <v>817</v>
      </c>
      <c r="D464" s="22" t="s">
        <v>197</v>
      </c>
      <c r="E464" s="22" t="s">
        <v>1338</v>
      </c>
      <c r="F464" s="24">
        <v>2</v>
      </c>
      <c r="G464" s="24">
        <v>2720</v>
      </c>
      <c r="H464" s="24">
        <v>14.6</v>
      </c>
      <c r="I464" s="24">
        <v>4645.76</v>
      </c>
      <c r="J464" s="22" t="s">
        <v>159</v>
      </c>
      <c r="K464" s="22" t="s">
        <v>111</v>
      </c>
      <c r="L464" t="str">
        <f>VLOOKUP(D464,Products!A:F,3,FALSE())</f>
        <v>Apparel</v>
      </c>
      <c r="M464" t="str">
        <f>VLOOKUP(C464,Customers!A:F,5,FALSE())</f>
        <v>Corporate</v>
      </c>
      <c r="O464" t="str">
        <f>IFERROR(VLOOKUP(E464,Sales_Reps!$A:$C,3,FALSE()),"")</f>
        <v/>
      </c>
      <c r="P464">
        <f>IFERROR(VLOOKUP(C464,Customers!$A:$C,3,FALSE()),"")</f>
        <v>30</v>
      </c>
      <c r="Q464" t="str">
        <f t="shared" si="7"/>
        <v>Aug-24</v>
      </c>
      <c r="R464">
        <f>IFERROR((VLOOKUP(D464,Products!$A:$E,5,FALSE())-VLOOKUP(D464,Products!$A:$E,4,FALSE()))/VLOOKUP(D464,Products!$A:$E,5,FALSE()),"")</f>
        <v>0.2786764705882353</v>
      </c>
    </row>
    <row r="465" spans="1:18" x14ac:dyDescent="0.3">
      <c r="A465" s="22" t="s">
        <v>1339</v>
      </c>
      <c r="B465" s="23">
        <v>45626</v>
      </c>
      <c r="C465" s="22" t="s">
        <v>953</v>
      </c>
      <c r="D465" s="22" t="s">
        <v>334</v>
      </c>
      <c r="E465" s="22" t="s">
        <v>1340</v>
      </c>
      <c r="F465" s="24">
        <v>7</v>
      </c>
      <c r="G465" s="24">
        <v>2660</v>
      </c>
      <c r="H465" s="24">
        <v>27.4</v>
      </c>
      <c r="I465" s="24">
        <v>13518.12</v>
      </c>
      <c r="J465" s="22" t="s">
        <v>159</v>
      </c>
      <c r="K465" s="22" t="s">
        <v>151</v>
      </c>
      <c r="L465" t="str">
        <f>VLOOKUP(D465,Products!A:F,3,FALSE())</f>
        <v>Electronics</v>
      </c>
      <c r="M465" t="str">
        <f>VLOOKUP(C465,Customers!A:F,5,FALSE())</f>
        <v>Retail</v>
      </c>
      <c r="O465" t="str">
        <f>IFERROR(VLOOKUP(E465,Sales_Reps!$A:$C,3,FALSE()),"")</f>
        <v/>
      </c>
      <c r="P465">
        <f>IFERROR(VLOOKUP(C465,Customers!$A:$C,3,FALSE()),"")</f>
        <v>31</v>
      </c>
      <c r="Q465" t="str">
        <f t="shared" si="7"/>
        <v>Nov-24</v>
      </c>
      <c r="R465">
        <f>IFERROR((VLOOKUP(D465,Products!$A:$E,5,FALSE())-VLOOKUP(D465,Products!$A:$E,4,FALSE()))/VLOOKUP(D465,Products!$A:$E,5,FALSE()),"")</f>
        <v>0.52669172932330832</v>
      </c>
    </row>
    <row r="466" spans="1:18" x14ac:dyDescent="0.3">
      <c r="A466" s="22" t="s">
        <v>1341</v>
      </c>
      <c r="B466" s="23">
        <v>45302</v>
      </c>
      <c r="C466" s="22" t="s">
        <v>858</v>
      </c>
      <c r="D466" s="22" t="s">
        <v>182</v>
      </c>
      <c r="E466" s="22" t="s">
        <v>1342</v>
      </c>
      <c r="F466" s="24">
        <v>8</v>
      </c>
      <c r="G466" s="24">
        <v>3450</v>
      </c>
      <c r="H466" s="24">
        <v>20.399999999999999</v>
      </c>
      <c r="I466" s="24">
        <v>21969.599999999999</v>
      </c>
      <c r="J466" s="22" t="s">
        <v>104</v>
      </c>
      <c r="K466" s="22" t="s">
        <v>129</v>
      </c>
      <c r="L466" t="str">
        <f>VLOOKUP(D466,Products!A:F,3,FALSE())</f>
        <v>Sports</v>
      </c>
      <c r="M466" t="str">
        <f>VLOOKUP(C466,Customers!A:F,5,FALSE())</f>
        <v>Retail</v>
      </c>
      <c r="O466" t="str">
        <f>IFERROR(VLOOKUP(E466,Sales_Reps!$A:$C,3,FALSE()),"")</f>
        <v/>
      </c>
      <c r="P466">
        <f>IFERROR(VLOOKUP(C466,Customers!$A:$C,3,FALSE()),"")</f>
        <v>53</v>
      </c>
      <c r="Q466" t="str">
        <f t="shared" si="7"/>
        <v>Jan-24</v>
      </c>
      <c r="R466">
        <f>IFERROR((VLOOKUP(D466,Products!$A:$E,5,FALSE())-VLOOKUP(D466,Products!$A:$E,4,FALSE()))/VLOOKUP(D466,Products!$A:$E,5,FALSE()),"")</f>
        <v>0.28492753623188405</v>
      </c>
    </row>
    <row r="467" spans="1:18" x14ac:dyDescent="0.3">
      <c r="A467" s="22" t="s">
        <v>1343</v>
      </c>
      <c r="B467" s="23">
        <v>45427</v>
      </c>
      <c r="C467" s="22" t="s">
        <v>640</v>
      </c>
      <c r="D467" s="22" t="s">
        <v>449</v>
      </c>
      <c r="E467" s="22" t="s">
        <v>1344</v>
      </c>
      <c r="F467" s="24">
        <v>2</v>
      </c>
      <c r="G467" s="24">
        <v>5410</v>
      </c>
      <c r="H467" s="24">
        <v>7.2</v>
      </c>
      <c r="I467" s="24">
        <v>10040.959999999999</v>
      </c>
      <c r="J467" s="22" t="s">
        <v>104</v>
      </c>
      <c r="K467" s="22" t="s">
        <v>151</v>
      </c>
      <c r="L467" t="str">
        <f>VLOOKUP(D467,Products!A:F,3,FALSE())</f>
        <v>Sports</v>
      </c>
      <c r="M467" t="str">
        <f>VLOOKUP(C467,Customers!A:F,5,FALSE())</f>
        <v>Corporate</v>
      </c>
      <c r="O467" t="str">
        <f>IFERROR(VLOOKUP(E467,Sales_Reps!$A:$C,3,FALSE()),"")</f>
        <v/>
      </c>
      <c r="P467">
        <f>IFERROR(VLOOKUP(C467,Customers!$A:$C,3,FALSE()),"")</f>
        <v>52</v>
      </c>
      <c r="Q467" t="str">
        <f t="shared" si="7"/>
        <v>May-24</v>
      </c>
      <c r="R467">
        <f>IFERROR((VLOOKUP(D467,Products!$A:$E,5,FALSE())-VLOOKUP(D467,Products!$A:$E,4,FALSE()))/VLOOKUP(D467,Products!$A:$E,5,FALSE()),"")</f>
        <v>0.58133086876155271</v>
      </c>
    </row>
    <row r="468" spans="1:18" x14ac:dyDescent="0.3">
      <c r="A468" s="22" t="s">
        <v>1345</v>
      </c>
      <c r="B468" s="23">
        <v>45315</v>
      </c>
      <c r="C468" s="22" t="s">
        <v>817</v>
      </c>
      <c r="D468" s="22" t="s">
        <v>293</v>
      </c>
      <c r="E468" s="22" t="s">
        <v>1346</v>
      </c>
      <c r="F468" s="24">
        <v>3</v>
      </c>
      <c r="G468" s="24">
        <v>3870</v>
      </c>
      <c r="H468" s="24">
        <v>4.2</v>
      </c>
      <c r="I468" s="24">
        <v>11122.38</v>
      </c>
      <c r="J468" s="22" t="s">
        <v>104</v>
      </c>
      <c r="K468" s="22" t="s">
        <v>111</v>
      </c>
      <c r="L468" t="str">
        <f>VLOOKUP(D468,Products!A:F,3,FALSE())</f>
        <v>Electronics</v>
      </c>
      <c r="M468" t="str">
        <f>VLOOKUP(C468,Customers!A:F,5,FALSE())</f>
        <v>Corporate</v>
      </c>
      <c r="O468" t="str">
        <f>IFERROR(VLOOKUP(E468,Sales_Reps!$A:$C,3,FALSE()),"")</f>
        <v/>
      </c>
      <c r="P468">
        <f>IFERROR(VLOOKUP(C468,Customers!$A:$C,3,FALSE()),"")</f>
        <v>30</v>
      </c>
      <c r="Q468" t="str">
        <f t="shared" si="7"/>
        <v>Jan-24</v>
      </c>
      <c r="R468">
        <f>IFERROR((VLOOKUP(D468,Products!$A:$E,5,FALSE())-VLOOKUP(D468,Products!$A:$E,4,FALSE()))/VLOOKUP(D468,Products!$A:$E,5,FALSE()),"")</f>
        <v>0.59715762273901807</v>
      </c>
    </row>
    <row r="469" spans="1:18" x14ac:dyDescent="0.3">
      <c r="A469" s="22" t="s">
        <v>1347</v>
      </c>
      <c r="B469" s="23">
        <v>45328</v>
      </c>
      <c r="C469" s="22" t="s">
        <v>386</v>
      </c>
      <c r="D469" s="22" t="s">
        <v>149</v>
      </c>
      <c r="E469" s="22" t="s">
        <v>1348</v>
      </c>
      <c r="F469" s="24">
        <v>10</v>
      </c>
      <c r="G469" s="24">
        <v>2270</v>
      </c>
      <c r="H469" s="24">
        <v>17.3</v>
      </c>
      <c r="I469" s="24">
        <v>18772.900000000001</v>
      </c>
      <c r="J469" s="22" t="s">
        <v>104</v>
      </c>
      <c r="K469" s="22" t="s">
        <v>105</v>
      </c>
      <c r="L469" t="str">
        <f>VLOOKUP(D469,Products!A:F,3,FALSE())</f>
        <v>Grocery</v>
      </c>
      <c r="M469" t="str">
        <f>VLOOKUP(C469,Customers!A:F,5,FALSE())</f>
        <v>SMB</v>
      </c>
      <c r="O469" t="str">
        <f>IFERROR(VLOOKUP(E469,Sales_Reps!$A:$C,3,FALSE()),"")</f>
        <v/>
      </c>
      <c r="P469">
        <f>IFERROR(VLOOKUP(C469,Customers!$A:$C,3,FALSE()),"")</f>
        <v>60</v>
      </c>
      <c r="Q469" t="str">
        <f t="shared" si="7"/>
        <v>Feb-24</v>
      </c>
      <c r="R469">
        <f>IFERROR((VLOOKUP(D469,Products!$A:$E,5,FALSE())-VLOOKUP(D469,Products!$A:$E,4,FALSE()))/VLOOKUP(D469,Products!$A:$E,5,FALSE()),"")</f>
        <v>0.47004405286343615</v>
      </c>
    </row>
    <row r="470" spans="1:18" x14ac:dyDescent="0.3">
      <c r="A470" s="22" t="s">
        <v>1349</v>
      </c>
      <c r="B470" s="23">
        <v>45394</v>
      </c>
      <c r="C470" s="22" t="s">
        <v>1350</v>
      </c>
      <c r="D470" s="22" t="s">
        <v>455</v>
      </c>
      <c r="E470" s="22" t="s">
        <v>1351</v>
      </c>
      <c r="F470" s="24">
        <v>1</v>
      </c>
      <c r="G470" s="24">
        <v>5330</v>
      </c>
      <c r="H470" s="24">
        <v>24.2</v>
      </c>
      <c r="I470" s="24">
        <v>4040.14</v>
      </c>
      <c r="J470" s="22" t="s">
        <v>104</v>
      </c>
      <c r="K470" s="22" t="s">
        <v>134</v>
      </c>
      <c r="L470" t="str">
        <f>VLOOKUP(D470,Products!A:F,3,FALSE())</f>
        <v>Electronics</v>
      </c>
      <c r="M470" t="str">
        <f>VLOOKUP(C470,Customers!A:F,5,FALSE())</f>
        <v>Retail</v>
      </c>
      <c r="O470" t="str">
        <f>IFERROR(VLOOKUP(E470,Sales_Reps!$A:$C,3,FALSE()),"")</f>
        <v/>
      </c>
      <c r="P470">
        <f>IFERROR(VLOOKUP(C470,Customers!$A:$C,3,FALSE()),"")</f>
        <v>46</v>
      </c>
      <c r="Q470" t="str">
        <f t="shared" si="7"/>
        <v>Apr-24</v>
      </c>
      <c r="R470">
        <f>IFERROR((VLOOKUP(D470,Products!$A:$E,5,FALSE())-VLOOKUP(D470,Products!$A:$E,4,FALSE()))/VLOOKUP(D470,Products!$A:$E,5,FALSE()),"")</f>
        <v>0.54878048780487809</v>
      </c>
    </row>
    <row r="471" spans="1:18" x14ac:dyDescent="0.3">
      <c r="A471" s="22" t="s">
        <v>1352</v>
      </c>
      <c r="B471" s="23">
        <v>45414</v>
      </c>
      <c r="C471" s="22" t="s">
        <v>136</v>
      </c>
      <c r="D471" s="22" t="s">
        <v>205</v>
      </c>
      <c r="E471" s="22" t="s">
        <v>1353</v>
      </c>
      <c r="F471" s="24">
        <v>2</v>
      </c>
      <c r="G471" s="24">
        <v>3350</v>
      </c>
      <c r="H471" s="24">
        <v>23.4</v>
      </c>
      <c r="I471" s="24">
        <v>5132.2</v>
      </c>
      <c r="J471" s="22" t="s">
        <v>104</v>
      </c>
      <c r="K471" s="22" t="s">
        <v>134</v>
      </c>
      <c r="L471" t="str">
        <f>VLOOKUP(D471,Products!A:F,3,FALSE())</f>
        <v>Beauty</v>
      </c>
      <c r="M471" t="str">
        <f>VLOOKUP(C471,Customers!A:F,5,FALSE())</f>
        <v>Corporate</v>
      </c>
      <c r="O471" t="str">
        <f>IFERROR(VLOOKUP(E471,Sales_Reps!$A:$C,3,FALSE()),"")</f>
        <v/>
      </c>
      <c r="P471">
        <f>IFERROR(VLOOKUP(C471,Customers!$A:$C,3,FALSE()),"")</f>
        <v>57</v>
      </c>
      <c r="Q471" t="str">
        <f t="shared" si="7"/>
        <v>May-24</v>
      </c>
      <c r="R471">
        <f>IFERROR((VLOOKUP(D471,Products!$A:$E,5,FALSE())-VLOOKUP(D471,Products!$A:$E,4,FALSE()))/VLOOKUP(D471,Products!$A:$E,5,FALSE()),"")</f>
        <v>0.48417910447761192</v>
      </c>
    </row>
    <row r="472" spans="1:18" x14ac:dyDescent="0.3">
      <c r="A472" s="22" t="s">
        <v>1354</v>
      </c>
      <c r="B472" s="23">
        <v>45393</v>
      </c>
      <c r="C472" s="22" t="s">
        <v>1221</v>
      </c>
      <c r="D472" s="22" t="s">
        <v>330</v>
      </c>
      <c r="E472" s="22" t="s">
        <v>1355</v>
      </c>
      <c r="F472" s="24">
        <v>7</v>
      </c>
      <c r="G472" s="24">
        <v>3020</v>
      </c>
      <c r="H472" s="24">
        <v>23.7</v>
      </c>
      <c r="I472" s="24">
        <v>16129.82</v>
      </c>
      <c r="J472" s="22" t="s">
        <v>104</v>
      </c>
      <c r="K472" s="22" t="s">
        <v>111</v>
      </c>
      <c r="L472" t="str">
        <f>VLOOKUP(D472,Products!A:F,3,FALSE())</f>
        <v>Beauty</v>
      </c>
      <c r="M472" t="str">
        <f>VLOOKUP(C472,Customers!A:F,5,FALSE())</f>
        <v>Retail</v>
      </c>
      <c r="O472" t="str">
        <f>IFERROR(VLOOKUP(E472,Sales_Reps!$A:$C,3,FALSE()),"")</f>
        <v/>
      </c>
      <c r="P472">
        <f>IFERROR(VLOOKUP(C472,Customers!$A:$C,3,FALSE()),"")</f>
        <v>32</v>
      </c>
      <c r="Q472" t="str">
        <f t="shared" si="7"/>
        <v>Apr-24</v>
      </c>
      <c r="R472">
        <f>IFERROR((VLOOKUP(D472,Products!$A:$E,5,FALSE())-VLOOKUP(D472,Products!$A:$E,4,FALSE()))/VLOOKUP(D472,Products!$A:$E,5,FALSE()),"")</f>
        <v>0.46158940397350995</v>
      </c>
    </row>
    <row r="473" spans="1:18" x14ac:dyDescent="0.3">
      <c r="A473" s="22" t="s">
        <v>1356</v>
      </c>
      <c r="B473" s="23">
        <v>45535</v>
      </c>
      <c r="C473" s="22" t="s">
        <v>775</v>
      </c>
      <c r="D473" s="22" t="s">
        <v>123</v>
      </c>
      <c r="E473" s="22" t="s">
        <v>1357</v>
      </c>
      <c r="F473" s="24">
        <v>7</v>
      </c>
      <c r="G473" s="24">
        <v>3160</v>
      </c>
      <c r="H473" s="24">
        <v>22.8</v>
      </c>
      <c r="I473" s="24">
        <v>17076.64</v>
      </c>
      <c r="J473" s="22" t="s">
        <v>104</v>
      </c>
      <c r="K473" s="22" t="s">
        <v>129</v>
      </c>
      <c r="L473" t="str">
        <f>VLOOKUP(D473,Products!A:F,3,FALSE())</f>
        <v>Apparel</v>
      </c>
      <c r="M473" t="str">
        <f>VLOOKUP(C473,Customers!A:F,5,FALSE())</f>
        <v>SMB</v>
      </c>
      <c r="O473" t="str">
        <f>IFERROR(VLOOKUP(E473,Sales_Reps!$A:$C,3,FALSE()),"")</f>
        <v/>
      </c>
      <c r="P473">
        <f>IFERROR(VLOOKUP(C473,Customers!$A:$C,3,FALSE()),"")</f>
        <v>61</v>
      </c>
      <c r="Q473" t="str">
        <f t="shared" si="7"/>
        <v>Aug-24</v>
      </c>
      <c r="R473">
        <f>IFERROR((VLOOKUP(D473,Products!$A:$E,5,FALSE())-VLOOKUP(D473,Products!$A:$E,4,FALSE()))/VLOOKUP(D473,Products!$A:$E,5,FALSE()),"")</f>
        <v>0.4031645569620253</v>
      </c>
    </row>
    <row r="474" spans="1:18" x14ac:dyDescent="0.3">
      <c r="A474" s="22" t="s">
        <v>1358</v>
      </c>
      <c r="B474" s="23">
        <v>45541</v>
      </c>
      <c r="C474" s="22" t="s">
        <v>1359</v>
      </c>
      <c r="D474" s="22" t="s">
        <v>114</v>
      </c>
      <c r="E474" s="22" t="s">
        <v>1360</v>
      </c>
      <c r="F474" s="24">
        <v>2</v>
      </c>
      <c r="G474" s="24">
        <v>470</v>
      </c>
      <c r="H474" s="24">
        <v>28.8</v>
      </c>
      <c r="I474" s="24">
        <v>669.28</v>
      </c>
      <c r="J474" s="22" t="s">
        <v>159</v>
      </c>
      <c r="K474" s="22" t="s">
        <v>134</v>
      </c>
      <c r="L474" t="str">
        <f>VLOOKUP(D474,Products!A:F,3,FALSE())</f>
        <v>Sports</v>
      </c>
      <c r="M474" t="str">
        <f>VLOOKUP(C474,Customers!A:F,5,FALSE())</f>
        <v>Retail</v>
      </c>
      <c r="O474" t="str">
        <f>IFERROR(VLOOKUP(E474,Sales_Reps!$A:$C,3,FALSE()),"")</f>
        <v/>
      </c>
      <c r="P474">
        <f>IFERROR(VLOOKUP(C474,Customers!$A:$C,3,FALSE()),"")</f>
        <v>35</v>
      </c>
      <c r="Q474" t="str">
        <f t="shared" si="7"/>
        <v>Sep-24</v>
      </c>
      <c r="R474">
        <f>IFERROR((VLOOKUP(D474,Products!$A:$E,5,FALSE())-VLOOKUP(D474,Products!$A:$E,4,FALSE()))/VLOOKUP(D474,Products!$A:$E,5,FALSE()),"")</f>
        <v>0.35744680851063831</v>
      </c>
    </row>
    <row r="475" spans="1:18" x14ac:dyDescent="0.3">
      <c r="A475" s="22" t="s">
        <v>1361</v>
      </c>
      <c r="B475" s="23">
        <v>45454</v>
      </c>
      <c r="C475" s="22" t="s">
        <v>1362</v>
      </c>
      <c r="D475" s="22" t="s">
        <v>162</v>
      </c>
      <c r="E475" s="22" t="s">
        <v>1363</v>
      </c>
      <c r="F475" s="24">
        <v>2</v>
      </c>
      <c r="G475" s="24">
        <v>3250</v>
      </c>
      <c r="H475" s="24">
        <v>24.7</v>
      </c>
      <c r="I475" s="24">
        <v>4894.5</v>
      </c>
      <c r="J475" s="22" t="s">
        <v>104</v>
      </c>
      <c r="K475" s="22" t="s">
        <v>129</v>
      </c>
      <c r="L475" t="str">
        <f>VLOOKUP(D475,Products!A:F,3,FALSE())</f>
        <v>Home</v>
      </c>
      <c r="M475" t="str">
        <f>VLOOKUP(C475,Customers!A:F,5,FALSE())</f>
        <v>Retail</v>
      </c>
      <c r="O475" t="str">
        <f>IFERROR(VLOOKUP(E475,Sales_Reps!$A:$C,3,FALSE()),"")</f>
        <v/>
      </c>
      <c r="P475">
        <f>IFERROR(VLOOKUP(C475,Customers!$A:$C,3,FALSE()),"")</f>
        <v>37</v>
      </c>
      <c r="Q475" t="str">
        <f t="shared" si="7"/>
        <v>Jun-24</v>
      </c>
      <c r="R475">
        <f>IFERROR((VLOOKUP(D475,Products!$A:$E,5,FALSE())-VLOOKUP(D475,Products!$A:$E,4,FALSE()))/VLOOKUP(D475,Products!$A:$E,5,FALSE()),"")</f>
        <v>0.52123076923076928</v>
      </c>
    </row>
    <row r="476" spans="1:18" x14ac:dyDescent="0.3">
      <c r="A476" s="22" t="s">
        <v>1364</v>
      </c>
      <c r="B476" s="23">
        <v>45631</v>
      </c>
      <c r="C476" s="22" t="s">
        <v>494</v>
      </c>
      <c r="D476" s="22" t="s">
        <v>209</v>
      </c>
      <c r="E476" s="22" t="s">
        <v>1365</v>
      </c>
      <c r="F476" s="24">
        <v>2</v>
      </c>
      <c r="G476" s="24">
        <v>1010</v>
      </c>
      <c r="H476" s="24">
        <v>5.2</v>
      </c>
      <c r="I476" s="24">
        <v>1914.96</v>
      </c>
      <c r="J476" s="22" t="s">
        <v>159</v>
      </c>
      <c r="K476" s="22" t="s">
        <v>105</v>
      </c>
      <c r="L476" t="str">
        <f>VLOOKUP(D476,Products!A:F,3,FALSE())</f>
        <v>Sports</v>
      </c>
      <c r="M476" t="str">
        <f>VLOOKUP(C476,Customers!A:F,5,FALSE())</f>
        <v>SMB</v>
      </c>
      <c r="O476" t="str">
        <f>IFERROR(VLOOKUP(E476,Sales_Reps!$A:$C,3,FALSE()),"")</f>
        <v/>
      </c>
      <c r="P476">
        <f>IFERROR(VLOOKUP(C476,Customers!$A:$C,3,FALSE()),"")</f>
        <v>54</v>
      </c>
      <c r="Q476" t="str">
        <f t="shared" si="7"/>
        <v>Dec-24</v>
      </c>
      <c r="R476">
        <f>IFERROR((VLOOKUP(D476,Products!$A:$E,5,FALSE())-VLOOKUP(D476,Products!$A:$E,4,FALSE()))/VLOOKUP(D476,Products!$A:$E,5,FALSE()),"")</f>
        <v>0.4891089108910891</v>
      </c>
    </row>
    <row r="477" spans="1:18" x14ac:dyDescent="0.3">
      <c r="A477" s="22" t="s">
        <v>1366</v>
      </c>
      <c r="B477" s="23">
        <v>45588</v>
      </c>
      <c r="C477" s="22" t="s">
        <v>1367</v>
      </c>
      <c r="D477" s="22" t="s">
        <v>338</v>
      </c>
      <c r="E477" s="22" t="s">
        <v>1368</v>
      </c>
      <c r="F477" s="24">
        <v>9</v>
      </c>
      <c r="G477" s="24">
        <v>300</v>
      </c>
      <c r="H477" s="24">
        <v>7.9</v>
      </c>
      <c r="I477" s="24">
        <v>2486.6999999999998</v>
      </c>
      <c r="J477" s="22" t="s">
        <v>104</v>
      </c>
      <c r="K477" s="22" t="s">
        <v>129</v>
      </c>
      <c r="L477" t="str">
        <f>VLOOKUP(D477,Products!A:F,3,FALSE())</f>
        <v>Electronics</v>
      </c>
      <c r="M477" t="str">
        <f>VLOOKUP(C477,Customers!A:F,5,FALSE())</f>
        <v>SMB</v>
      </c>
      <c r="O477" t="str">
        <f>IFERROR(VLOOKUP(E477,Sales_Reps!$A:$C,3,FALSE()),"")</f>
        <v/>
      </c>
      <c r="P477">
        <f>IFERROR(VLOOKUP(C477,Customers!$A:$C,3,FALSE()),"")</f>
        <v>43</v>
      </c>
      <c r="Q477" t="str">
        <f t="shared" si="7"/>
        <v>Oct-24</v>
      </c>
      <c r="R477">
        <f>IFERROR((VLOOKUP(D477,Products!$A:$E,5,FALSE())-VLOOKUP(D477,Products!$A:$E,4,FALSE()))/VLOOKUP(D477,Products!$A:$E,5,FALSE()),"")</f>
        <v>0.57333333333333336</v>
      </c>
    </row>
    <row r="478" spans="1:18" x14ac:dyDescent="0.3">
      <c r="A478" s="22" t="s">
        <v>1369</v>
      </c>
      <c r="B478" s="23">
        <v>45469</v>
      </c>
      <c r="C478" s="22" t="s">
        <v>1012</v>
      </c>
      <c r="D478" s="22" t="s">
        <v>220</v>
      </c>
      <c r="E478" s="22" t="s">
        <v>1370</v>
      </c>
      <c r="F478" s="24">
        <v>10</v>
      </c>
      <c r="G478" s="24">
        <v>5100</v>
      </c>
      <c r="H478" s="24">
        <v>26.3</v>
      </c>
      <c r="I478" s="24">
        <v>37587</v>
      </c>
      <c r="J478" s="22" t="s">
        <v>110</v>
      </c>
      <c r="K478" s="22" t="s">
        <v>105</v>
      </c>
      <c r="L478" t="str">
        <f>VLOOKUP(D478,Products!A:F,3,FALSE())</f>
        <v>Beauty</v>
      </c>
      <c r="M478" t="str">
        <f>VLOOKUP(C478,Customers!A:F,5,FALSE())</f>
        <v>Corporate</v>
      </c>
      <c r="O478" t="str">
        <f>IFERROR(VLOOKUP(E478,Sales_Reps!$A:$C,3,FALSE()),"")</f>
        <v/>
      </c>
      <c r="P478">
        <f>IFERROR(VLOOKUP(C478,Customers!$A:$C,3,FALSE()),"")</f>
        <v>52</v>
      </c>
      <c r="Q478" t="str">
        <f t="shared" si="7"/>
        <v>Jun-24</v>
      </c>
      <c r="R478">
        <f>IFERROR((VLOOKUP(D478,Products!$A:$E,5,FALSE())-VLOOKUP(D478,Products!$A:$E,4,FALSE()))/VLOOKUP(D478,Products!$A:$E,5,FALSE()),"")</f>
        <v>0.56137254901960787</v>
      </c>
    </row>
    <row r="479" spans="1:18" x14ac:dyDescent="0.3">
      <c r="A479" s="22" t="s">
        <v>1371</v>
      </c>
      <c r="B479" s="23">
        <v>45552</v>
      </c>
      <c r="C479" s="22" t="s">
        <v>1372</v>
      </c>
      <c r="D479" s="22" t="s">
        <v>205</v>
      </c>
      <c r="E479" s="22" t="s">
        <v>1373</v>
      </c>
      <c r="F479" s="24">
        <v>1</v>
      </c>
      <c r="G479" s="24">
        <v>3350</v>
      </c>
      <c r="H479" s="24">
        <v>8.5</v>
      </c>
      <c r="I479" s="24">
        <v>3065.25</v>
      </c>
      <c r="J479" s="22" t="s">
        <v>159</v>
      </c>
      <c r="K479" s="22" t="s">
        <v>151</v>
      </c>
      <c r="L479" t="str">
        <f>VLOOKUP(D479,Products!A:F,3,FALSE())</f>
        <v>Beauty</v>
      </c>
      <c r="M479" t="str">
        <f>VLOOKUP(C479,Customers!A:F,5,FALSE())</f>
        <v>Retail</v>
      </c>
      <c r="O479" t="str">
        <f>IFERROR(VLOOKUP(E479,Sales_Reps!$A:$C,3,FALSE()),"")</f>
        <v/>
      </c>
      <c r="P479">
        <f>IFERROR(VLOOKUP(C479,Customers!$A:$C,3,FALSE()),"")</f>
        <v>31</v>
      </c>
      <c r="Q479" t="str">
        <f t="shared" si="7"/>
        <v>Sep-24</v>
      </c>
      <c r="R479">
        <f>IFERROR((VLOOKUP(D479,Products!$A:$E,5,FALSE())-VLOOKUP(D479,Products!$A:$E,4,FALSE()))/VLOOKUP(D479,Products!$A:$E,5,FALSE()),"")</f>
        <v>0.48417910447761192</v>
      </c>
    </row>
    <row r="480" spans="1:18" x14ac:dyDescent="0.3">
      <c r="A480" s="22" t="s">
        <v>1374</v>
      </c>
      <c r="B480" s="23">
        <v>45554</v>
      </c>
      <c r="C480" s="22" t="s">
        <v>1375</v>
      </c>
      <c r="D480" s="22" t="s">
        <v>162</v>
      </c>
      <c r="E480" s="22" t="s">
        <v>1376</v>
      </c>
      <c r="F480" s="24">
        <v>2</v>
      </c>
      <c r="G480" s="24">
        <v>3250</v>
      </c>
      <c r="H480" s="24">
        <v>25.7</v>
      </c>
      <c r="I480" s="24">
        <v>4829.5</v>
      </c>
      <c r="J480" s="22" t="s">
        <v>164</v>
      </c>
      <c r="K480" s="22" t="s">
        <v>116</v>
      </c>
      <c r="L480" t="str">
        <f>VLOOKUP(D480,Products!A:F,3,FALSE())</f>
        <v>Home</v>
      </c>
      <c r="M480" t="str">
        <f>VLOOKUP(C480,Customers!A:F,5,FALSE())</f>
        <v>Retail</v>
      </c>
      <c r="O480" t="str">
        <f>IFERROR(VLOOKUP(E480,Sales_Reps!$A:$C,3,FALSE()),"")</f>
        <v/>
      </c>
      <c r="P480">
        <f>IFERROR(VLOOKUP(C480,Customers!$A:$C,3,FALSE()),"")</f>
        <v>55</v>
      </c>
      <c r="Q480" t="str">
        <f t="shared" si="7"/>
        <v>Sep-24</v>
      </c>
      <c r="R480">
        <f>IFERROR((VLOOKUP(D480,Products!$A:$E,5,FALSE())-VLOOKUP(D480,Products!$A:$E,4,FALSE()))/VLOOKUP(D480,Products!$A:$E,5,FALSE()),"")</f>
        <v>0.52123076923076928</v>
      </c>
    </row>
    <row r="481" spans="1:18" x14ac:dyDescent="0.3">
      <c r="A481" s="22" t="s">
        <v>1377</v>
      </c>
      <c r="B481" s="23">
        <v>45352</v>
      </c>
      <c r="C481" s="22" t="s">
        <v>166</v>
      </c>
      <c r="D481" s="22" t="s">
        <v>119</v>
      </c>
      <c r="E481" s="22" t="s">
        <v>1378</v>
      </c>
      <c r="F481" s="24">
        <v>10</v>
      </c>
      <c r="G481" s="24">
        <v>3660</v>
      </c>
      <c r="H481" s="24">
        <v>12</v>
      </c>
      <c r="I481" s="24">
        <v>32208</v>
      </c>
      <c r="J481" s="22" t="s">
        <v>104</v>
      </c>
      <c r="K481" s="22" t="s">
        <v>105</v>
      </c>
      <c r="L481" t="str">
        <f>VLOOKUP(D481,Products!A:F,3,FALSE())</f>
        <v>Grocery</v>
      </c>
      <c r="M481" t="str">
        <f>VLOOKUP(C481,Customers!A:F,5,FALSE())</f>
        <v>Retail</v>
      </c>
      <c r="O481" t="str">
        <f>IFERROR(VLOOKUP(E481,Sales_Reps!$A:$C,3,FALSE()),"")</f>
        <v/>
      </c>
      <c r="P481">
        <f>IFERROR(VLOOKUP(C481,Customers!$A:$C,3,FALSE()),"")</f>
        <v>38</v>
      </c>
      <c r="Q481" t="str">
        <f t="shared" si="7"/>
        <v>Mar-24</v>
      </c>
      <c r="R481">
        <f>IFERROR((VLOOKUP(D481,Products!$A:$E,5,FALSE())-VLOOKUP(D481,Products!$A:$E,4,FALSE()))/VLOOKUP(D481,Products!$A:$E,5,FALSE()),"")</f>
        <v>0.39508196721311473</v>
      </c>
    </row>
    <row r="482" spans="1:18" x14ac:dyDescent="0.3">
      <c r="A482" s="22" t="s">
        <v>1379</v>
      </c>
      <c r="B482" s="23">
        <v>45521</v>
      </c>
      <c r="C482" s="22" t="s">
        <v>252</v>
      </c>
      <c r="D482" s="22" t="s">
        <v>171</v>
      </c>
      <c r="E482" s="22" t="s">
        <v>1380</v>
      </c>
      <c r="F482" s="24">
        <v>1</v>
      </c>
      <c r="G482" s="24">
        <v>2400</v>
      </c>
      <c r="H482" s="24">
        <v>24.5</v>
      </c>
      <c r="I482" s="24">
        <v>1812</v>
      </c>
      <c r="J482" s="22" t="s">
        <v>104</v>
      </c>
      <c r="K482" s="22" t="s">
        <v>111</v>
      </c>
      <c r="L482" t="str">
        <f>VLOOKUP(D482,Products!A:F,3,FALSE())</f>
        <v>Sports</v>
      </c>
      <c r="M482" t="str">
        <f>VLOOKUP(C482,Customers!A:F,5,FALSE())</f>
        <v>Retail</v>
      </c>
      <c r="O482" t="str">
        <f>IFERROR(VLOOKUP(E482,Sales_Reps!$A:$C,3,FALSE()),"")</f>
        <v/>
      </c>
      <c r="P482">
        <f>IFERROR(VLOOKUP(C482,Customers!$A:$C,3,FALSE()),"")</f>
        <v>51</v>
      </c>
      <c r="Q482" t="str">
        <f t="shared" si="7"/>
        <v>Aug-24</v>
      </c>
      <c r="R482">
        <f>IFERROR((VLOOKUP(D482,Products!$A:$E,5,FALSE())-VLOOKUP(D482,Products!$A:$E,4,FALSE()))/VLOOKUP(D482,Products!$A:$E,5,FALSE()),"")</f>
        <v>0.59416666666666662</v>
      </c>
    </row>
    <row r="483" spans="1:18" x14ac:dyDescent="0.3">
      <c r="A483" s="22" t="s">
        <v>1381</v>
      </c>
      <c r="B483" s="23">
        <v>45496</v>
      </c>
      <c r="C483" s="22" t="s">
        <v>563</v>
      </c>
      <c r="D483" s="22" t="s">
        <v>674</v>
      </c>
      <c r="E483" s="22" t="s">
        <v>1382</v>
      </c>
      <c r="F483" s="24">
        <v>1</v>
      </c>
      <c r="G483" s="24">
        <v>1090</v>
      </c>
      <c r="H483" s="24">
        <v>18.399999999999999</v>
      </c>
      <c r="I483" s="24">
        <v>889.44</v>
      </c>
      <c r="J483" s="22" t="s">
        <v>104</v>
      </c>
      <c r="K483" s="22" t="s">
        <v>116</v>
      </c>
      <c r="L483" t="str">
        <f>VLOOKUP(D483,Products!A:F,3,FALSE())</f>
        <v>Home</v>
      </c>
      <c r="M483" t="str">
        <f>VLOOKUP(C483,Customers!A:F,5,FALSE())</f>
        <v>Corporate</v>
      </c>
      <c r="O483" t="str">
        <f>IFERROR(VLOOKUP(E483,Sales_Reps!$A:$C,3,FALSE()),"")</f>
        <v/>
      </c>
      <c r="P483">
        <f>IFERROR(VLOOKUP(C483,Customers!$A:$C,3,FALSE()),"")</f>
        <v>31</v>
      </c>
      <c r="Q483" t="str">
        <f t="shared" si="7"/>
        <v>Jul-24</v>
      </c>
      <c r="R483">
        <f>IFERROR((VLOOKUP(D483,Products!$A:$E,5,FALSE())-VLOOKUP(D483,Products!$A:$E,4,FALSE()))/VLOOKUP(D483,Products!$A:$E,5,FALSE()),"")</f>
        <v>0.57431192660550456</v>
      </c>
    </row>
    <row r="484" spans="1:18" x14ac:dyDescent="0.3">
      <c r="A484" s="22" t="s">
        <v>1383</v>
      </c>
      <c r="B484" s="23">
        <v>45404</v>
      </c>
      <c r="C484" s="22" t="s">
        <v>1172</v>
      </c>
      <c r="D484" s="22" t="s">
        <v>605</v>
      </c>
      <c r="E484" s="22" t="s">
        <v>1384</v>
      </c>
      <c r="F484" s="24">
        <v>6</v>
      </c>
      <c r="G484" s="24">
        <v>3780</v>
      </c>
      <c r="H484" s="24">
        <v>15.9</v>
      </c>
      <c r="I484" s="24">
        <v>19073.88</v>
      </c>
      <c r="J484" s="22" t="s">
        <v>104</v>
      </c>
      <c r="K484" s="22" t="s">
        <v>111</v>
      </c>
      <c r="L484" t="str">
        <f>VLOOKUP(D484,Products!A:F,3,FALSE())</f>
        <v>Sports</v>
      </c>
      <c r="M484" t="str">
        <f>VLOOKUP(C484,Customers!A:F,5,FALSE())</f>
        <v>Retail</v>
      </c>
      <c r="O484" t="str">
        <f>IFERROR(VLOOKUP(E484,Sales_Reps!$A:$C,3,FALSE()),"")</f>
        <v/>
      </c>
      <c r="P484">
        <f>IFERROR(VLOOKUP(C484,Customers!$A:$C,3,FALSE()),"")</f>
        <v>22</v>
      </c>
      <c r="Q484" t="str">
        <f t="shared" si="7"/>
        <v>Apr-24</v>
      </c>
      <c r="R484">
        <f>IFERROR((VLOOKUP(D484,Products!$A:$E,5,FALSE())-VLOOKUP(D484,Products!$A:$E,4,FALSE()))/VLOOKUP(D484,Products!$A:$E,5,FALSE()),"")</f>
        <v>0.50793650793650791</v>
      </c>
    </row>
    <row r="485" spans="1:18" x14ac:dyDescent="0.3">
      <c r="A485" s="22" t="s">
        <v>1385</v>
      </c>
      <c r="B485" s="23">
        <v>45330</v>
      </c>
      <c r="C485" s="22" t="s">
        <v>635</v>
      </c>
      <c r="D485" s="22" t="s">
        <v>205</v>
      </c>
      <c r="E485" s="22" t="s">
        <v>1386</v>
      </c>
      <c r="F485" s="24">
        <v>3</v>
      </c>
      <c r="G485" s="24">
        <v>3350</v>
      </c>
      <c r="H485" s="24">
        <v>18.8</v>
      </c>
      <c r="I485" s="24">
        <v>8160.6</v>
      </c>
      <c r="J485" s="22" t="s">
        <v>164</v>
      </c>
      <c r="K485" s="22" t="s">
        <v>105</v>
      </c>
      <c r="L485" t="str">
        <f>VLOOKUP(D485,Products!A:F,3,FALSE())</f>
        <v>Beauty</v>
      </c>
      <c r="M485" t="str">
        <f>VLOOKUP(C485,Customers!A:F,5,FALSE())</f>
        <v>SMB</v>
      </c>
      <c r="O485" t="str">
        <f>IFERROR(VLOOKUP(E485,Sales_Reps!$A:$C,3,FALSE()),"")</f>
        <v/>
      </c>
      <c r="P485">
        <f>IFERROR(VLOOKUP(C485,Customers!$A:$C,3,FALSE()),"")</f>
        <v>49</v>
      </c>
      <c r="Q485" t="str">
        <f t="shared" si="7"/>
        <v>Feb-24</v>
      </c>
      <c r="R485">
        <f>IFERROR((VLOOKUP(D485,Products!$A:$E,5,FALSE())-VLOOKUP(D485,Products!$A:$E,4,FALSE()))/VLOOKUP(D485,Products!$A:$E,5,FALSE()),"")</f>
        <v>0.48417910447761192</v>
      </c>
    </row>
    <row r="486" spans="1:18" x14ac:dyDescent="0.3">
      <c r="A486" s="22" t="s">
        <v>1387</v>
      </c>
      <c r="B486" s="23">
        <v>45323</v>
      </c>
      <c r="C486" s="22" t="s">
        <v>136</v>
      </c>
      <c r="D486" s="22" t="s">
        <v>186</v>
      </c>
      <c r="E486" s="22" t="s">
        <v>1388</v>
      </c>
      <c r="F486" s="24">
        <v>3</v>
      </c>
      <c r="G486" s="24">
        <v>1080</v>
      </c>
      <c r="H486" s="24">
        <v>3.4</v>
      </c>
      <c r="I486" s="24">
        <v>3129.84</v>
      </c>
      <c r="J486" s="22" t="s">
        <v>104</v>
      </c>
      <c r="K486" s="22" t="s">
        <v>134</v>
      </c>
      <c r="L486" t="str">
        <f>VLOOKUP(D486,Products!A:F,3,FALSE())</f>
        <v>Home</v>
      </c>
      <c r="M486" t="str">
        <f>VLOOKUP(C486,Customers!A:F,5,FALSE())</f>
        <v>Corporate</v>
      </c>
      <c r="O486" t="str">
        <f>IFERROR(VLOOKUP(E486,Sales_Reps!$A:$C,3,FALSE()),"")</f>
        <v/>
      </c>
      <c r="P486">
        <f>IFERROR(VLOOKUP(C486,Customers!$A:$C,3,FALSE()),"")</f>
        <v>57</v>
      </c>
      <c r="Q486" t="str">
        <f t="shared" si="7"/>
        <v>Feb-24</v>
      </c>
      <c r="R486">
        <f>IFERROR((VLOOKUP(D486,Products!$A:$E,5,FALSE())-VLOOKUP(D486,Products!$A:$E,4,FALSE()))/VLOOKUP(D486,Products!$A:$E,5,FALSE()),"")</f>
        <v>0.51944444444444449</v>
      </c>
    </row>
    <row r="487" spans="1:18" x14ac:dyDescent="0.3">
      <c r="A487" s="22" t="s">
        <v>1389</v>
      </c>
      <c r="B487" s="23">
        <v>45519</v>
      </c>
      <c r="C487" s="22" t="s">
        <v>389</v>
      </c>
      <c r="D487" s="22" t="s">
        <v>315</v>
      </c>
      <c r="E487" s="22" t="s">
        <v>1390</v>
      </c>
      <c r="F487" s="24">
        <v>6</v>
      </c>
      <c r="G487" s="24">
        <v>4070</v>
      </c>
      <c r="H487" s="24">
        <v>27.7</v>
      </c>
      <c r="I487" s="24">
        <v>17655.66</v>
      </c>
      <c r="J487" s="22" t="s">
        <v>110</v>
      </c>
      <c r="K487" s="22" t="s">
        <v>111</v>
      </c>
      <c r="L487" t="str">
        <f>VLOOKUP(D487,Products!A:F,3,FALSE())</f>
        <v>Grocery</v>
      </c>
      <c r="M487" t="str">
        <f>VLOOKUP(C487,Customers!A:F,5,FALSE())</f>
        <v>SMB</v>
      </c>
      <c r="O487" t="str">
        <f>IFERROR(VLOOKUP(E487,Sales_Reps!$A:$C,3,FALSE()),"")</f>
        <v/>
      </c>
      <c r="P487">
        <f>IFERROR(VLOOKUP(C487,Customers!$A:$C,3,FALSE()),"")</f>
        <v>57</v>
      </c>
      <c r="Q487" t="str">
        <f t="shared" si="7"/>
        <v>Aug-24</v>
      </c>
      <c r="R487">
        <f>IFERROR((VLOOKUP(D487,Products!$A:$E,5,FALSE())-VLOOKUP(D487,Products!$A:$E,4,FALSE()))/VLOOKUP(D487,Products!$A:$E,5,FALSE()),"")</f>
        <v>0.50196560196560192</v>
      </c>
    </row>
    <row r="488" spans="1:18" x14ac:dyDescent="0.3">
      <c r="A488" s="22" t="s">
        <v>1391</v>
      </c>
      <c r="B488" s="23">
        <v>45514</v>
      </c>
      <c r="C488" s="22" t="s">
        <v>1172</v>
      </c>
      <c r="D488" s="22" t="s">
        <v>308</v>
      </c>
      <c r="E488" s="22" t="s">
        <v>1392</v>
      </c>
      <c r="F488" s="24">
        <v>5</v>
      </c>
      <c r="G488" s="24">
        <v>1540</v>
      </c>
      <c r="H488" s="24">
        <v>24.9</v>
      </c>
      <c r="I488" s="24">
        <v>5782.7</v>
      </c>
      <c r="J488" s="22" t="s">
        <v>104</v>
      </c>
      <c r="K488" s="22" t="s">
        <v>111</v>
      </c>
      <c r="L488" t="str">
        <f>VLOOKUP(D488,Products!A:F,3,FALSE())</f>
        <v>Beauty</v>
      </c>
      <c r="M488" t="str">
        <f>VLOOKUP(C488,Customers!A:F,5,FALSE())</f>
        <v>Retail</v>
      </c>
      <c r="O488" t="str">
        <f>IFERROR(VLOOKUP(E488,Sales_Reps!$A:$C,3,FALSE()),"")</f>
        <v/>
      </c>
      <c r="P488">
        <f>IFERROR(VLOOKUP(C488,Customers!$A:$C,3,FALSE()),"")</f>
        <v>22</v>
      </c>
      <c r="Q488" t="str">
        <f t="shared" si="7"/>
        <v>Aug-24</v>
      </c>
      <c r="R488">
        <f>IFERROR((VLOOKUP(D488,Products!$A:$E,5,FALSE())-VLOOKUP(D488,Products!$A:$E,4,FALSE()))/VLOOKUP(D488,Products!$A:$E,5,FALSE()),"")</f>
        <v>0.57987012987012987</v>
      </c>
    </row>
    <row r="489" spans="1:18" x14ac:dyDescent="0.3">
      <c r="A489" s="22" t="s">
        <v>1393</v>
      </c>
      <c r="B489" s="23">
        <v>45497</v>
      </c>
      <c r="C489" s="22" t="s">
        <v>500</v>
      </c>
      <c r="D489" s="22" t="s">
        <v>231</v>
      </c>
      <c r="E489" s="22" t="s">
        <v>1394</v>
      </c>
      <c r="F489" s="24">
        <v>6</v>
      </c>
      <c r="G489" s="24">
        <v>2760</v>
      </c>
      <c r="H489" s="24">
        <v>29.9</v>
      </c>
      <c r="I489" s="24">
        <v>11608.56</v>
      </c>
      <c r="J489" s="22" t="s">
        <v>104</v>
      </c>
      <c r="K489" s="22" t="s">
        <v>134</v>
      </c>
      <c r="L489" t="str">
        <f>VLOOKUP(D489,Products!A:F,3,FALSE())</f>
        <v>Grocery</v>
      </c>
      <c r="M489" t="str">
        <f>VLOOKUP(C489,Customers!A:F,5,FALSE())</f>
        <v>SMB</v>
      </c>
      <c r="O489" t="str">
        <f>IFERROR(VLOOKUP(E489,Sales_Reps!$A:$C,3,FALSE()),"")</f>
        <v/>
      </c>
      <c r="P489">
        <f>IFERROR(VLOOKUP(C489,Customers!$A:$C,3,FALSE()),"")</f>
        <v>28</v>
      </c>
      <c r="Q489" t="str">
        <f t="shared" si="7"/>
        <v>Jul-24</v>
      </c>
      <c r="R489">
        <f>IFERROR((VLOOKUP(D489,Products!$A:$E,5,FALSE())-VLOOKUP(D489,Products!$A:$E,4,FALSE()))/VLOOKUP(D489,Products!$A:$E,5,FALSE()),"")</f>
        <v>0.48007246376811596</v>
      </c>
    </row>
    <row r="490" spans="1:18" x14ac:dyDescent="0.3">
      <c r="A490" s="22" t="s">
        <v>1395</v>
      </c>
      <c r="B490" s="23">
        <v>45639</v>
      </c>
      <c r="C490" s="22" t="s">
        <v>1396</v>
      </c>
      <c r="D490" s="22" t="s">
        <v>521</v>
      </c>
      <c r="E490" s="22" t="s">
        <v>1397</v>
      </c>
      <c r="F490" s="24">
        <v>8</v>
      </c>
      <c r="G490" s="24">
        <v>3970</v>
      </c>
      <c r="H490" s="24">
        <v>23.7</v>
      </c>
      <c r="I490" s="24">
        <v>24232.880000000001</v>
      </c>
      <c r="J490" s="22" t="s">
        <v>104</v>
      </c>
      <c r="K490" s="22" t="s">
        <v>134</v>
      </c>
      <c r="L490" t="str">
        <f>VLOOKUP(D490,Products!A:F,3,FALSE())</f>
        <v>Electronics</v>
      </c>
      <c r="M490" t="str">
        <f>VLOOKUP(C490,Customers!A:F,5,FALSE())</f>
        <v>Retail</v>
      </c>
      <c r="O490" t="str">
        <f>IFERROR(VLOOKUP(E490,Sales_Reps!$A:$C,3,FALSE()),"")</f>
        <v/>
      </c>
      <c r="P490">
        <f>IFERROR(VLOOKUP(C490,Customers!$A:$C,3,FALSE()),"")</f>
        <v>28</v>
      </c>
      <c r="Q490" t="str">
        <f t="shared" si="7"/>
        <v>Dec-24</v>
      </c>
      <c r="R490">
        <f>IFERROR((VLOOKUP(D490,Products!$A:$E,5,FALSE())-VLOOKUP(D490,Products!$A:$E,4,FALSE()))/VLOOKUP(D490,Products!$A:$E,5,FALSE()),"")</f>
        <v>0.27833753148614609</v>
      </c>
    </row>
    <row r="491" spans="1:18" x14ac:dyDescent="0.3">
      <c r="A491" s="22" t="s">
        <v>1398</v>
      </c>
      <c r="B491" s="23">
        <v>45562</v>
      </c>
      <c r="C491" s="22" t="s">
        <v>1362</v>
      </c>
      <c r="D491" s="22" t="s">
        <v>591</v>
      </c>
      <c r="E491" s="22" t="s">
        <v>1399</v>
      </c>
      <c r="F491" s="24">
        <v>1</v>
      </c>
      <c r="G491" s="24">
        <v>3450</v>
      </c>
      <c r="H491" s="24">
        <v>7.4</v>
      </c>
      <c r="I491" s="24">
        <v>3194.7</v>
      </c>
      <c r="J491" s="22" t="s">
        <v>104</v>
      </c>
      <c r="K491" s="22" t="s">
        <v>129</v>
      </c>
      <c r="L491" t="str">
        <f>VLOOKUP(D491,Products!A:F,3,FALSE())</f>
        <v>Apparel</v>
      </c>
      <c r="M491" t="str">
        <f>VLOOKUP(C491,Customers!A:F,5,FALSE())</f>
        <v>Retail</v>
      </c>
      <c r="O491" t="str">
        <f>IFERROR(VLOOKUP(E491,Sales_Reps!$A:$C,3,FALSE()),"")</f>
        <v/>
      </c>
      <c r="P491">
        <f>IFERROR(VLOOKUP(C491,Customers!$A:$C,3,FALSE()),"")</f>
        <v>37</v>
      </c>
      <c r="Q491" t="str">
        <f t="shared" si="7"/>
        <v>Sep-24</v>
      </c>
      <c r="R491">
        <f>IFERROR((VLOOKUP(D491,Products!$A:$E,5,FALSE())-VLOOKUP(D491,Products!$A:$E,4,FALSE()))/VLOOKUP(D491,Products!$A:$E,5,FALSE()),"")</f>
        <v>0.49333333333333335</v>
      </c>
    </row>
    <row r="492" spans="1:18" x14ac:dyDescent="0.3">
      <c r="A492" s="22" t="s">
        <v>1400</v>
      </c>
      <c r="B492" s="23">
        <v>45308</v>
      </c>
      <c r="C492" s="22" t="s">
        <v>677</v>
      </c>
      <c r="D492" s="22" t="s">
        <v>935</v>
      </c>
      <c r="E492" s="22" t="s">
        <v>1401</v>
      </c>
      <c r="F492" s="24">
        <v>3</v>
      </c>
      <c r="G492" s="24">
        <v>3560</v>
      </c>
      <c r="H492" s="24">
        <v>15.2</v>
      </c>
      <c r="I492" s="24">
        <v>9056.64</v>
      </c>
      <c r="J492" s="22" t="s">
        <v>104</v>
      </c>
      <c r="K492" s="22" t="s">
        <v>134</v>
      </c>
      <c r="L492" t="str">
        <f>VLOOKUP(D492,Products!A:F,3,FALSE())</f>
        <v>Apparel</v>
      </c>
      <c r="M492" t="str">
        <f>VLOOKUP(C492,Customers!A:F,5,FALSE())</f>
        <v>Corporate</v>
      </c>
      <c r="O492" t="str">
        <f>IFERROR(VLOOKUP(E492,Sales_Reps!$A:$C,3,FALSE()),"")</f>
        <v/>
      </c>
      <c r="P492">
        <f>IFERROR(VLOOKUP(C492,Customers!$A:$C,3,FALSE()),"")</f>
        <v>36</v>
      </c>
      <c r="Q492" t="str">
        <f t="shared" si="7"/>
        <v>Jan-24</v>
      </c>
      <c r="R492">
        <f>IFERROR((VLOOKUP(D492,Products!$A:$E,5,FALSE())-VLOOKUP(D492,Products!$A:$E,4,FALSE()))/VLOOKUP(D492,Products!$A:$E,5,FALSE()),"")</f>
        <v>0.26151685393258428</v>
      </c>
    </row>
    <row r="493" spans="1:18" x14ac:dyDescent="0.3">
      <c r="A493" s="22" t="s">
        <v>1402</v>
      </c>
      <c r="B493" s="23">
        <v>45428</v>
      </c>
      <c r="C493" s="22" t="s">
        <v>648</v>
      </c>
      <c r="D493" s="22" t="s">
        <v>216</v>
      </c>
      <c r="E493" s="22" t="s">
        <v>1403</v>
      </c>
      <c r="F493" s="24">
        <v>4</v>
      </c>
      <c r="G493" s="24">
        <v>3570</v>
      </c>
      <c r="H493" s="24">
        <v>18.899999999999999</v>
      </c>
      <c r="I493" s="24">
        <v>11581.08</v>
      </c>
      <c r="J493" s="22" t="s">
        <v>104</v>
      </c>
      <c r="K493" s="22" t="s">
        <v>105</v>
      </c>
      <c r="L493" t="str">
        <f>VLOOKUP(D493,Products!A:F,3,FALSE())</f>
        <v>Electronics</v>
      </c>
      <c r="M493" t="str">
        <f>VLOOKUP(C493,Customers!A:F,5,FALSE())</f>
        <v>Corporate</v>
      </c>
      <c r="O493" t="str">
        <f>IFERROR(VLOOKUP(E493,Sales_Reps!$A:$C,3,FALSE()),"")</f>
        <v/>
      </c>
      <c r="P493">
        <f>IFERROR(VLOOKUP(C493,Customers!$A:$C,3,FALSE()),"")</f>
        <v>29</v>
      </c>
      <c r="Q493" t="str">
        <f t="shared" si="7"/>
        <v>May-24</v>
      </c>
      <c r="R493">
        <f>IFERROR((VLOOKUP(D493,Products!$A:$E,5,FALSE())-VLOOKUP(D493,Products!$A:$E,4,FALSE()))/VLOOKUP(D493,Products!$A:$E,5,FALSE()),"")</f>
        <v>0.53361344537815125</v>
      </c>
    </row>
    <row r="494" spans="1:18" x14ac:dyDescent="0.3">
      <c r="A494" s="22" t="s">
        <v>1404</v>
      </c>
      <c r="B494" s="23">
        <v>45472</v>
      </c>
      <c r="C494" s="22" t="s">
        <v>682</v>
      </c>
      <c r="D494" s="22" t="s">
        <v>132</v>
      </c>
      <c r="E494" s="22" t="s">
        <v>1405</v>
      </c>
      <c r="F494" s="24">
        <v>9</v>
      </c>
      <c r="G494" s="24">
        <v>960</v>
      </c>
      <c r="H494" s="24">
        <v>14</v>
      </c>
      <c r="I494" s="24">
        <v>7430.4</v>
      </c>
      <c r="J494" s="22" t="s">
        <v>164</v>
      </c>
      <c r="K494" s="22" t="s">
        <v>105</v>
      </c>
      <c r="L494" t="str">
        <f>VLOOKUP(D494,Products!A:F,3,FALSE())</f>
        <v>Sports</v>
      </c>
      <c r="M494" t="str">
        <f>VLOOKUP(C494,Customers!A:F,5,FALSE())</f>
        <v>Retail</v>
      </c>
      <c r="O494" t="str">
        <f>IFERROR(VLOOKUP(E494,Sales_Reps!$A:$C,3,FALSE()),"")</f>
        <v/>
      </c>
      <c r="P494">
        <f>IFERROR(VLOOKUP(C494,Customers!$A:$C,3,FALSE()),"")</f>
        <v>59</v>
      </c>
      <c r="Q494" t="str">
        <f t="shared" si="7"/>
        <v>Jun-24</v>
      </c>
      <c r="R494">
        <f>IFERROR((VLOOKUP(D494,Products!$A:$E,5,FALSE())-VLOOKUP(D494,Products!$A:$E,4,FALSE()))/VLOOKUP(D494,Products!$A:$E,5,FALSE()),"")</f>
        <v>0.265625</v>
      </c>
    </row>
    <row r="495" spans="1:18" x14ac:dyDescent="0.3">
      <c r="A495" s="22" t="s">
        <v>1406</v>
      </c>
      <c r="B495" s="23">
        <v>45406</v>
      </c>
      <c r="C495" s="22" t="s">
        <v>1012</v>
      </c>
      <c r="D495" s="22" t="s">
        <v>178</v>
      </c>
      <c r="E495" s="22" t="s">
        <v>1407</v>
      </c>
      <c r="F495" s="24">
        <v>9</v>
      </c>
      <c r="G495" s="24">
        <v>3450</v>
      </c>
      <c r="H495" s="24">
        <v>6</v>
      </c>
      <c r="I495" s="24">
        <v>29187</v>
      </c>
      <c r="J495" s="22" t="s">
        <v>159</v>
      </c>
      <c r="K495" s="22" t="s">
        <v>105</v>
      </c>
      <c r="L495" t="str">
        <f>VLOOKUP(D495,Products!A:F,3,FALSE())</f>
        <v>Beauty</v>
      </c>
      <c r="M495" t="str">
        <f>VLOOKUP(C495,Customers!A:F,5,FALSE())</f>
        <v>Corporate</v>
      </c>
      <c r="O495" t="str">
        <f>IFERROR(VLOOKUP(E495,Sales_Reps!$A:$C,3,FALSE()),"")</f>
        <v/>
      </c>
      <c r="P495">
        <f>IFERROR(VLOOKUP(C495,Customers!$A:$C,3,FALSE()),"")</f>
        <v>52</v>
      </c>
      <c r="Q495" t="str">
        <f t="shared" si="7"/>
        <v>Apr-24</v>
      </c>
      <c r="R495">
        <f>IFERROR((VLOOKUP(D495,Products!$A:$E,5,FALSE())-VLOOKUP(D495,Products!$A:$E,4,FALSE()))/VLOOKUP(D495,Products!$A:$E,5,FALSE()),"")</f>
        <v>0.29855072463768118</v>
      </c>
    </row>
    <row r="496" spans="1:18" x14ac:dyDescent="0.3">
      <c r="A496" s="22" t="s">
        <v>1408</v>
      </c>
      <c r="B496" s="23">
        <v>45457</v>
      </c>
      <c r="C496" s="22" t="s">
        <v>514</v>
      </c>
      <c r="D496" s="22" t="s">
        <v>205</v>
      </c>
      <c r="E496" s="22" t="s">
        <v>1409</v>
      </c>
      <c r="F496" s="24">
        <v>7</v>
      </c>
      <c r="G496" s="24">
        <v>3350</v>
      </c>
      <c r="H496" s="24">
        <v>14</v>
      </c>
      <c r="I496" s="24">
        <v>20167</v>
      </c>
      <c r="J496" s="22" t="s">
        <v>159</v>
      </c>
      <c r="K496" s="22" t="s">
        <v>134</v>
      </c>
      <c r="L496" t="str">
        <f>VLOOKUP(D496,Products!A:F,3,FALSE())</f>
        <v>Beauty</v>
      </c>
      <c r="M496" t="str">
        <f>VLOOKUP(C496,Customers!A:F,5,FALSE())</f>
        <v>Retail</v>
      </c>
      <c r="O496" t="str">
        <f>IFERROR(VLOOKUP(E496,Sales_Reps!$A:$C,3,FALSE()),"")</f>
        <v/>
      </c>
      <c r="P496">
        <f>IFERROR(VLOOKUP(C496,Customers!$A:$C,3,FALSE()),"")</f>
        <v>59</v>
      </c>
      <c r="Q496" t="str">
        <f t="shared" si="7"/>
        <v>Jun-24</v>
      </c>
      <c r="R496">
        <f>IFERROR((VLOOKUP(D496,Products!$A:$E,5,FALSE())-VLOOKUP(D496,Products!$A:$E,4,FALSE()))/VLOOKUP(D496,Products!$A:$E,5,FALSE()),"")</f>
        <v>0.48417910447761192</v>
      </c>
    </row>
    <row r="497" spans="1:18" x14ac:dyDescent="0.3">
      <c r="A497" s="22" t="s">
        <v>1410</v>
      </c>
      <c r="B497" s="23">
        <v>45298</v>
      </c>
      <c r="C497" s="22" t="s">
        <v>351</v>
      </c>
      <c r="D497" s="22" t="s">
        <v>479</v>
      </c>
      <c r="E497" s="22" t="s">
        <v>1411</v>
      </c>
      <c r="F497" s="24">
        <v>6</v>
      </c>
      <c r="G497" s="24">
        <v>960</v>
      </c>
      <c r="H497" s="24">
        <v>10.1</v>
      </c>
      <c r="I497" s="24">
        <v>5178.24</v>
      </c>
      <c r="J497" s="22" t="s">
        <v>104</v>
      </c>
      <c r="K497" s="22" t="s">
        <v>116</v>
      </c>
      <c r="L497" t="str">
        <f>VLOOKUP(D497,Products!A:F,3,FALSE())</f>
        <v>Beauty</v>
      </c>
      <c r="M497" t="str">
        <f>VLOOKUP(C497,Customers!A:F,5,FALSE())</f>
        <v>Retail</v>
      </c>
      <c r="O497" t="str">
        <f>IFERROR(VLOOKUP(E497,Sales_Reps!$A:$C,3,FALSE()),"")</f>
        <v/>
      </c>
      <c r="P497">
        <f>IFERROR(VLOOKUP(C497,Customers!$A:$C,3,FALSE()),"")</f>
        <v>35</v>
      </c>
      <c r="Q497" t="str">
        <f t="shared" si="7"/>
        <v>Jan-24</v>
      </c>
      <c r="R497">
        <f>IFERROR((VLOOKUP(D497,Products!$A:$E,5,FALSE())-VLOOKUP(D497,Products!$A:$E,4,FALSE()))/VLOOKUP(D497,Products!$A:$E,5,FALSE()),"")</f>
        <v>0.296875</v>
      </c>
    </row>
    <row r="498" spans="1:18" x14ac:dyDescent="0.3">
      <c r="A498" s="22" t="s">
        <v>1412</v>
      </c>
      <c r="B498" s="23">
        <v>45337</v>
      </c>
      <c r="C498" s="22" t="s">
        <v>156</v>
      </c>
      <c r="D498" s="22" t="s">
        <v>338</v>
      </c>
      <c r="E498" s="22" t="s">
        <v>1413</v>
      </c>
      <c r="F498" s="24">
        <v>7</v>
      </c>
      <c r="G498" s="24">
        <v>300</v>
      </c>
      <c r="H498" s="24">
        <v>21.9</v>
      </c>
      <c r="I498" s="24">
        <v>1640.1</v>
      </c>
      <c r="J498" s="22" t="s">
        <v>104</v>
      </c>
      <c r="K498" s="22" t="s">
        <v>116</v>
      </c>
      <c r="L498" t="str">
        <f>VLOOKUP(D498,Products!A:F,3,FALSE())</f>
        <v>Electronics</v>
      </c>
      <c r="M498" t="str">
        <f>VLOOKUP(C498,Customers!A:F,5,FALSE())</f>
        <v>SMB</v>
      </c>
      <c r="O498" t="str">
        <f>IFERROR(VLOOKUP(E498,Sales_Reps!$A:$C,3,FALSE()),"")</f>
        <v/>
      </c>
      <c r="P498">
        <f>IFERROR(VLOOKUP(C498,Customers!$A:$C,3,FALSE()),"")</f>
        <v>27</v>
      </c>
      <c r="Q498" t="str">
        <f t="shared" si="7"/>
        <v>Feb-24</v>
      </c>
      <c r="R498">
        <f>IFERROR((VLOOKUP(D498,Products!$A:$E,5,FALSE())-VLOOKUP(D498,Products!$A:$E,4,FALSE()))/VLOOKUP(D498,Products!$A:$E,5,FALSE()),"")</f>
        <v>0.57333333333333336</v>
      </c>
    </row>
    <row r="499" spans="1:18" x14ac:dyDescent="0.3">
      <c r="A499" s="22" t="s">
        <v>1414</v>
      </c>
      <c r="B499" s="23">
        <v>45389</v>
      </c>
      <c r="C499" s="22" t="s">
        <v>734</v>
      </c>
      <c r="D499" s="22" t="s">
        <v>459</v>
      </c>
      <c r="E499" s="22" t="s">
        <v>1415</v>
      </c>
      <c r="F499" s="24">
        <v>2</v>
      </c>
      <c r="G499" s="24">
        <v>2380</v>
      </c>
      <c r="H499" s="24">
        <v>6.8</v>
      </c>
      <c r="I499" s="24">
        <v>4436.32</v>
      </c>
      <c r="J499" s="22" t="s">
        <v>104</v>
      </c>
      <c r="K499" s="22" t="s">
        <v>151</v>
      </c>
      <c r="L499" t="str">
        <f>VLOOKUP(D499,Products!A:F,3,FALSE())</f>
        <v>Grocery</v>
      </c>
      <c r="M499" t="str">
        <f>VLOOKUP(C499,Customers!A:F,5,FALSE())</f>
        <v>Retail</v>
      </c>
      <c r="O499" t="str">
        <f>IFERROR(VLOOKUP(E499,Sales_Reps!$A:$C,3,FALSE()),"")</f>
        <v/>
      </c>
      <c r="P499">
        <f>IFERROR(VLOOKUP(C499,Customers!$A:$C,3,FALSE()),"")</f>
        <v>38</v>
      </c>
      <c r="Q499" t="str">
        <f t="shared" si="7"/>
        <v>Apr-24</v>
      </c>
      <c r="R499">
        <f>IFERROR((VLOOKUP(D499,Products!$A:$E,5,FALSE())-VLOOKUP(D499,Products!$A:$E,4,FALSE()))/VLOOKUP(D499,Products!$A:$E,5,FALSE()),"")</f>
        <v>0.50336134453781511</v>
      </c>
    </row>
    <row r="500" spans="1:18" x14ac:dyDescent="0.3">
      <c r="A500" s="22" t="s">
        <v>1416</v>
      </c>
      <c r="B500" s="23">
        <v>45298</v>
      </c>
      <c r="C500" s="22" t="s">
        <v>1109</v>
      </c>
      <c r="D500" s="22" t="s">
        <v>132</v>
      </c>
      <c r="E500" s="22" t="s">
        <v>1417</v>
      </c>
      <c r="F500" s="24">
        <v>5</v>
      </c>
      <c r="G500" s="24">
        <v>960</v>
      </c>
      <c r="H500" s="24">
        <v>15</v>
      </c>
      <c r="I500" s="24">
        <v>4080</v>
      </c>
      <c r="J500" s="22" t="s">
        <v>159</v>
      </c>
      <c r="K500" s="22" t="s">
        <v>134</v>
      </c>
      <c r="L500" t="str">
        <f>VLOOKUP(D500,Products!A:F,3,FALSE())</f>
        <v>Sports</v>
      </c>
      <c r="M500" t="str">
        <f>VLOOKUP(C500,Customers!A:F,5,FALSE())</f>
        <v>Retail</v>
      </c>
      <c r="O500" t="str">
        <f>IFERROR(VLOOKUP(E500,Sales_Reps!$A:$C,3,FALSE()),"")</f>
        <v/>
      </c>
      <c r="P500">
        <f>IFERROR(VLOOKUP(C500,Customers!$A:$C,3,FALSE()),"")</f>
        <v>29</v>
      </c>
      <c r="Q500" t="str">
        <f t="shared" si="7"/>
        <v>Jan-24</v>
      </c>
      <c r="R500">
        <f>IFERROR((VLOOKUP(D500,Products!$A:$E,5,FALSE())-VLOOKUP(D500,Products!$A:$E,4,FALSE()))/VLOOKUP(D500,Products!$A:$E,5,FALSE()),"")</f>
        <v>0.265625</v>
      </c>
    </row>
    <row r="501" spans="1:18" x14ac:dyDescent="0.3">
      <c r="A501" s="22" t="s">
        <v>1418</v>
      </c>
      <c r="B501" s="23">
        <v>45577</v>
      </c>
      <c r="C501" s="22" t="s">
        <v>326</v>
      </c>
      <c r="D501" s="22" t="s">
        <v>605</v>
      </c>
      <c r="E501" s="22" t="s">
        <v>1419</v>
      </c>
      <c r="F501" s="24">
        <v>10</v>
      </c>
      <c r="G501" s="24">
        <v>3780</v>
      </c>
      <c r="H501" s="24">
        <v>24.1</v>
      </c>
      <c r="I501" s="24">
        <v>28690.2</v>
      </c>
      <c r="J501" s="22" t="s">
        <v>164</v>
      </c>
      <c r="K501" s="22" t="s">
        <v>111</v>
      </c>
      <c r="L501" t="str">
        <f>VLOOKUP(D501,Products!A:F,3,FALSE())</f>
        <v>Sports</v>
      </c>
      <c r="M501" t="str">
        <f>VLOOKUP(C501,Customers!A:F,5,FALSE())</f>
        <v>SMB</v>
      </c>
      <c r="O501" t="str">
        <f>IFERROR(VLOOKUP(E501,Sales_Reps!$A:$C,3,FALSE()),"")</f>
        <v/>
      </c>
      <c r="P501">
        <f>IFERROR(VLOOKUP(C501,Customers!$A:$C,3,FALSE()),"")</f>
        <v>55</v>
      </c>
      <c r="Q501" t="str">
        <f t="shared" si="7"/>
        <v>Oct-24</v>
      </c>
      <c r="R501">
        <f>IFERROR((VLOOKUP(D501,Products!$A:$E,5,FALSE())-VLOOKUP(D501,Products!$A:$E,4,FALSE()))/VLOOKUP(D501,Products!$A:$E,5,FALSE()),"")</f>
        <v>0.50793650793650791</v>
      </c>
    </row>
    <row r="502" spans="1:18" x14ac:dyDescent="0.3">
      <c r="A502" s="22" t="s">
        <v>1420</v>
      </c>
      <c r="B502" s="23">
        <v>45355</v>
      </c>
      <c r="C502" s="22" t="s">
        <v>252</v>
      </c>
      <c r="D502" s="22" t="s">
        <v>308</v>
      </c>
      <c r="E502" s="22" t="s">
        <v>1421</v>
      </c>
      <c r="F502" s="24">
        <v>4</v>
      </c>
      <c r="G502" s="24">
        <v>1540</v>
      </c>
      <c r="H502" s="24">
        <v>14.2</v>
      </c>
      <c r="I502" s="24">
        <v>5285.28</v>
      </c>
      <c r="J502" s="22" t="s">
        <v>159</v>
      </c>
      <c r="K502" s="22" t="s">
        <v>111</v>
      </c>
      <c r="L502" t="str">
        <f>VLOOKUP(D502,Products!A:F,3,FALSE())</f>
        <v>Beauty</v>
      </c>
      <c r="M502" t="str">
        <f>VLOOKUP(C502,Customers!A:F,5,FALSE())</f>
        <v>Retail</v>
      </c>
      <c r="O502" t="str">
        <f>IFERROR(VLOOKUP(E502,Sales_Reps!$A:$C,3,FALSE()),"")</f>
        <v/>
      </c>
      <c r="P502">
        <f>IFERROR(VLOOKUP(C502,Customers!$A:$C,3,FALSE()),"")</f>
        <v>51</v>
      </c>
      <c r="Q502" t="str">
        <f t="shared" si="7"/>
        <v>Mar-24</v>
      </c>
      <c r="R502">
        <f>IFERROR((VLOOKUP(D502,Products!$A:$E,5,FALSE())-VLOOKUP(D502,Products!$A:$E,4,FALSE()))/VLOOKUP(D502,Products!$A:$E,5,FALSE()),"")</f>
        <v>0.57987012987012987</v>
      </c>
    </row>
    <row r="503" spans="1:18" x14ac:dyDescent="0.3">
      <c r="A503" s="22" t="s">
        <v>1422</v>
      </c>
      <c r="B503" s="23">
        <v>45463</v>
      </c>
      <c r="C503" s="22" t="s">
        <v>1243</v>
      </c>
      <c r="D503" s="22" t="s">
        <v>442</v>
      </c>
      <c r="E503" s="22" t="s">
        <v>1423</v>
      </c>
      <c r="F503" s="24">
        <v>10</v>
      </c>
      <c r="G503" s="24">
        <v>2510</v>
      </c>
      <c r="H503" s="24">
        <v>20.8</v>
      </c>
      <c r="I503" s="24">
        <v>19879.2</v>
      </c>
      <c r="J503" s="22" t="s">
        <v>104</v>
      </c>
      <c r="K503" s="22" t="s">
        <v>134</v>
      </c>
      <c r="L503" t="str">
        <f>VLOOKUP(D503,Products!A:F,3,FALSE())</f>
        <v>Apparel</v>
      </c>
      <c r="M503" t="str">
        <f>VLOOKUP(C503,Customers!A:F,5,FALSE())</f>
        <v>Retail</v>
      </c>
      <c r="O503" t="str">
        <f>IFERROR(VLOOKUP(E503,Sales_Reps!$A:$C,3,FALSE()),"")</f>
        <v/>
      </c>
      <c r="P503">
        <f>IFERROR(VLOOKUP(C503,Customers!$A:$C,3,FALSE()),"")</f>
        <v>52</v>
      </c>
      <c r="Q503" t="str">
        <f t="shared" si="7"/>
        <v>Jun-24</v>
      </c>
      <c r="R503">
        <f>IFERROR((VLOOKUP(D503,Products!$A:$E,5,FALSE())-VLOOKUP(D503,Products!$A:$E,4,FALSE()))/VLOOKUP(D503,Products!$A:$E,5,FALSE()),"")</f>
        <v>0.57171314741035861</v>
      </c>
    </row>
    <row r="504" spans="1:18" x14ac:dyDescent="0.3">
      <c r="A504" s="22" t="s">
        <v>1424</v>
      </c>
      <c r="B504" s="23">
        <v>45374</v>
      </c>
      <c r="C504" s="22" t="s">
        <v>491</v>
      </c>
      <c r="D504" s="22" t="s">
        <v>436</v>
      </c>
      <c r="E504" s="22" t="s">
        <v>1425</v>
      </c>
      <c r="F504" s="24">
        <v>9</v>
      </c>
      <c r="G504" s="24">
        <v>4060</v>
      </c>
      <c r="H504" s="24">
        <v>27.1</v>
      </c>
      <c r="I504" s="24">
        <v>26637.66</v>
      </c>
      <c r="J504" s="22" t="s">
        <v>104</v>
      </c>
      <c r="K504" s="22" t="s">
        <v>151</v>
      </c>
      <c r="L504" t="str">
        <f>VLOOKUP(D504,Products!A:F,3,FALSE())</f>
        <v>Grocery</v>
      </c>
      <c r="M504" t="str">
        <f>VLOOKUP(C504,Customers!A:F,5,FALSE())</f>
        <v>Retail</v>
      </c>
      <c r="O504" t="str">
        <f>IFERROR(VLOOKUP(E504,Sales_Reps!$A:$C,3,FALSE()),"")</f>
        <v/>
      </c>
      <c r="P504">
        <f>IFERROR(VLOOKUP(C504,Customers!$A:$C,3,FALSE()),"")</f>
        <v>44</v>
      </c>
      <c r="Q504" t="str">
        <f t="shared" si="7"/>
        <v>Mar-24</v>
      </c>
      <c r="R504">
        <f>IFERROR((VLOOKUP(D504,Products!$A:$E,5,FALSE())-VLOOKUP(D504,Products!$A:$E,4,FALSE()))/VLOOKUP(D504,Products!$A:$E,5,FALSE()),"")</f>
        <v>0.28300492610837441</v>
      </c>
    </row>
    <row r="505" spans="1:18" x14ac:dyDescent="0.3">
      <c r="A505" s="22" t="s">
        <v>1426</v>
      </c>
      <c r="B505" s="23">
        <v>45638</v>
      </c>
      <c r="C505" s="22" t="s">
        <v>448</v>
      </c>
      <c r="D505" s="22" t="s">
        <v>171</v>
      </c>
      <c r="E505" s="22" t="s">
        <v>1427</v>
      </c>
      <c r="F505" s="24">
        <v>4</v>
      </c>
      <c r="G505" s="24">
        <v>2400</v>
      </c>
      <c r="H505" s="24">
        <v>19.100000000000001</v>
      </c>
      <c r="I505" s="24">
        <v>7766.4</v>
      </c>
      <c r="J505" s="22" t="s">
        <v>104</v>
      </c>
      <c r="K505" s="22" t="s">
        <v>116</v>
      </c>
      <c r="L505" t="str">
        <f>VLOOKUP(D505,Products!A:F,3,FALSE())</f>
        <v>Sports</v>
      </c>
      <c r="M505" t="str">
        <f>VLOOKUP(C505,Customers!A:F,5,FALSE())</f>
        <v>SMB</v>
      </c>
      <c r="O505" t="str">
        <f>IFERROR(VLOOKUP(E505,Sales_Reps!$A:$C,3,FALSE()),"")</f>
        <v/>
      </c>
      <c r="P505">
        <f>IFERROR(VLOOKUP(C505,Customers!$A:$C,3,FALSE()),"")</f>
        <v>28</v>
      </c>
      <c r="Q505" t="str">
        <f t="shared" si="7"/>
        <v>Dec-24</v>
      </c>
      <c r="R505">
        <f>IFERROR((VLOOKUP(D505,Products!$A:$E,5,FALSE())-VLOOKUP(D505,Products!$A:$E,4,FALSE()))/VLOOKUP(D505,Products!$A:$E,5,FALSE()),"")</f>
        <v>0.59416666666666662</v>
      </c>
    </row>
    <row r="506" spans="1:18" x14ac:dyDescent="0.3">
      <c r="A506" s="22" t="s">
        <v>1428</v>
      </c>
      <c r="B506" s="23">
        <v>45525</v>
      </c>
      <c r="C506" s="22" t="s">
        <v>118</v>
      </c>
      <c r="D506" s="22" t="s">
        <v>212</v>
      </c>
      <c r="E506" s="22" t="s">
        <v>1429</v>
      </c>
      <c r="F506" s="24">
        <v>8</v>
      </c>
      <c r="G506" s="24">
        <v>4880</v>
      </c>
      <c r="H506" s="24">
        <v>9.1999999999999993</v>
      </c>
      <c r="I506" s="24">
        <v>35448.32</v>
      </c>
      <c r="J506" s="22" t="s">
        <v>159</v>
      </c>
      <c r="K506" s="22" t="s">
        <v>116</v>
      </c>
      <c r="L506" t="str">
        <f>VLOOKUP(D506,Products!A:F,3,FALSE())</f>
        <v>Beauty</v>
      </c>
      <c r="M506" t="str">
        <f>VLOOKUP(C506,Customers!A:F,5,FALSE())</f>
        <v>Corporate</v>
      </c>
      <c r="O506" t="str">
        <f>IFERROR(VLOOKUP(E506,Sales_Reps!$A:$C,3,FALSE()),"")</f>
        <v/>
      </c>
      <c r="P506">
        <f>IFERROR(VLOOKUP(C506,Customers!$A:$C,3,FALSE()),"")</f>
        <v>46</v>
      </c>
      <c r="Q506" t="str">
        <f t="shared" si="7"/>
        <v>Aug-24</v>
      </c>
      <c r="R506">
        <f>IFERROR((VLOOKUP(D506,Products!$A:$E,5,FALSE())-VLOOKUP(D506,Products!$A:$E,4,FALSE()))/VLOOKUP(D506,Products!$A:$E,5,FALSE()),"")</f>
        <v>0.43278688524590164</v>
      </c>
    </row>
    <row r="507" spans="1:18" x14ac:dyDescent="0.3">
      <c r="A507" s="22" t="s">
        <v>1430</v>
      </c>
      <c r="B507" s="23">
        <v>45586</v>
      </c>
      <c r="C507" s="22" t="s">
        <v>855</v>
      </c>
      <c r="D507" s="22" t="s">
        <v>220</v>
      </c>
      <c r="E507" s="22" t="s">
        <v>1431</v>
      </c>
      <c r="F507" s="24">
        <v>9</v>
      </c>
      <c r="G507" s="24">
        <v>5100</v>
      </c>
      <c r="H507" s="24">
        <v>11.1</v>
      </c>
      <c r="I507" s="24">
        <v>40805.1</v>
      </c>
      <c r="J507" s="22" t="s">
        <v>159</v>
      </c>
      <c r="K507" s="22" t="s">
        <v>129</v>
      </c>
      <c r="L507" t="str">
        <f>VLOOKUP(D507,Products!A:F,3,FALSE())</f>
        <v>Beauty</v>
      </c>
      <c r="M507" t="str">
        <f>VLOOKUP(C507,Customers!A:F,5,FALSE())</f>
        <v>Retail</v>
      </c>
      <c r="O507" t="str">
        <f>IFERROR(VLOOKUP(E507,Sales_Reps!$A:$C,3,FALSE()),"")</f>
        <v/>
      </c>
      <c r="P507">
        <f>IFERROR(VLOOKUP(C507,Customers!$A:$C,3,FALSE()),"")</f>
        <v>44</v>
      </c>
      <c r="Q507" t="str">
        <f t="shared" si="7"/>
        <v>Oct-24</v>
      </c>
      <c r="R507">
        <f>IFERROR((VLOOKUP(D507,Products!$A:$E,5,FALSE())-VLOOKUP(D507,Products!$A:$E,4,FALSE()))/VLOOKUP(D507,Products!$A:$E,5,FALSE()),"")</f>
        <v>0.56137254901960787</v>
      </c>
    </row>
    <row r="508" spans="1:18" x14ac:dyDescent="0.3">
      <c r="A508" s="22" t="s">
        <v>1432</v>
      </c>
      <c r="B508" s="23">
        <v>45637</v>
      </c>
      <c r="C508" s="22" t="s">
        <v>445</v>
      </c>
      <c r="D508" s="22" t="s">
        <v>338</v>
      </c>
      <c r="E508" s="22" t="s">
        <v>1433</v>
      </c>
      <c r="F508" s="24">
        <v>4</v>
      </c>
      <c r="G508" s="24">
        <v>300</v>
      </c>
      <c r="H508" s="24">
        <v>16.7</v>
      </c>
      <c r="I508" s="24">
        <v>999.6</v>
      </c>
      <c r="J508" s="22" t="s">
        <v>104</v>
      </c>
      <c r="K508" s="22" t="s">
        <v>116</v>
      </c>
      <c r="L508" t="str">
        <f>VLOOKUP(D508,Products!A:F,3,FALSE())</f>
        <v>Electronics</v>
      </c>
      <c r="M508" t="str">
        <f>VLOOKUP(C508,Customers!A:F,5,FALSE())</f>
        <v>SMB</v>
      </c>
      <c r="O508" t="str">
        <f>IFERROR(VLOOKUP(E508,Sales_Reps!$A:$C,3,FALSE()),"")</f>
        <v/>
      </c>
      <c r="P508">
        <f>IFERROR(VLOOKUP(C508,Customers!$A:$C,3,FALSE()),"")</f>
        <v>38</v>
      </c>
      <c r="Q508" t="str">
        <f t="shared" si="7"/>
        <v>Dec-24</v>
      </c>
      <c r="R508">
        <f>IFERROR((VLOOKUP(D508,Products!$A:$E,5,FALSE())-VLOOKUP(D508,Products!$A:$E,4,FALSE()))/VLOOKUP(D508,Products!$A:$E,5,FALSE()),"")</f>
        <v>0.57333333333333336</v>
      </c>
    </row>
    <row r="509" spans="1:18" x14ac:dyDescent="0.3">
      <c r="A509" s="22" t="s">
        <v>1434</v>
      </c>
      <c r="B509" s="23">
        <v>45443</v>
      </c>
      <c r="C509" s="22" t="s">
        <v>810</v>
      </c>
      <c r="D509" s="22" t="s">
        <v>190</v>
      </c>
      <c r="E509" s="22" t="s">
        <v>1435</v>
      </c>
      <c r="F509" s="24">
        <v>6</v>
      </c>
      <c r="G509" s="24">
        <v>2480</v>
      </c>
      <c r="H509" s="24">
        <v>3.3</v>
      </c>
      <c r="I509" s="24">
        <v>14388.96</v>
      </c>
      <c r="J509" s="22" t="s">
        <v>104</v>
      </c>
      <c r="K509" s="22" t="s">
        <v>111</v>
      </c>
      <c r="L509" t="str">
        <f>VLOOKUP(D509,Products!A:F,3,FALSE())</f>
        <v>Apparel</v>
      </c>
      <c r="M509" t="str">
        <f>VLOOKUP(C509,Customers!A:F,5,FALSE())</f>
        <v>Retail</v>
      </c>
      <c r="O509" t="str">
        <f>IFERROR(VLOOKUP(E509,Sales_Reps!$A:$C,3,FALSE()),"")</f>
        <v/>
      </c>
      <c r="P509">
        <f>IFERROR(VLOOKUP(C509,Customers!$A:$C,3,FALSE()),"")</f>
        <v>26</v>
      </c>
      <c r="Q509" t="str">
        <f t="shared" si="7"/>
        <v>May-24</v>
      </c>
      <c r="R509">
        <f>IFERROR((VLOOKUP(D509,Products!$A:$E,5,FALSE())-VLOOKUP(D509,Products!$A:$E,4,FALSE()))/VLOOKUP(D509,Products!$A:$E,5,FALSE()),"")</f>
        <v>0.52701612903225803</v>
      </c>
    </row>
    <row r="510" spans="1:18" x14ac:dyDescent="0.3">
      <c r="A510" s="22" t="s">
        <v>1436</v>
      </c>
      <c r="B510" s="23">
        <v>45569</v>
      </c>
      <c r="C510" s="22" t="s">
        <v>122</v>
      </c>
      <c r="D510" s="22" t="s">
        <v>201</v>
      </c>
      <c r="E510" s="22" t="s">
        <v>1437</v>
      </c>
      <c r="F510" s="24">
        <v>10</v>
      </c>
      <c r="G510" s="24">
        <v>1650</v>
      </c>
      <c r="H510" s="24">
        <v>22.9</v>
      </c>
      <c r="I510" s="24">
        <v>12721.5</v>
      </c>
      <c r="J510" s="22" t="s">
        <v>164</v>
      </c>
      <c r="K510" s="22" t="s">
        <v>111</v>
      </c>
      <c r="L510" t="str">
        <f>VLOOKUP(D510,Products!A:F,3,FALSE())</f>
        <v>Beauty</v>
      </c>
      <c r="M510" t="str">
        <f>VLOOKUP(C510,Customers!A:F,5,FALSE())</f>
        <v>Retail</v>
      </c>
      <c r="O510" t="str">
        <f>IFERROR(VLOOKUP(E510,Sales_Reps!$A:$C,3,FALSE()),"")</f>
        <v/>
      </c>
      <c r="P510">
        <f>IFERROR(VLOOKUP(C510,Customers!$A:$C,3,FALSE()),"")</f>
        <v>36</v>
      </c>
      <c r="Q510" t="str">
        <f t="shared" si="7"/>
        <v>Oct-24</v>
      </c>
      <c r="R510">
        <f>IFERROR((VLOOKUP(D510,Products!$A:$E,5,FALSE())-VLOOKUP(D510,Products!$A:$E,4,FALSE()))/VLOOKUP(D510,Products!$A:$E,5,FALSE()),"")</f>
        <v>0.2593939393939394</v>
      </c>
    </row>
    <row r="511" spans="1:18" x14ac:dyDescent="0.3">
      <c r="A511" s="22" t="s">
        <v>1438</v>
      </c>
      <c r="B511" s="23">
        <v>45319</v>
      </c>
      <c r="C511" s="22" t="s">
        <v>1439</v>
      </c>
      <c r="D511" s="22" t="s">
        <v>419</v>
      </c>
      <c r="E511" s="22" t="s">
        <v>1440</v>
      </c>
      <c r="F511" s="24">
        <v>3</v>
      </c>
      <c r="G511" s="24">
        <v>2210</v>
      </c>
      <c r="H511" s="24">
        <v>11.1</v>
      </c>
      <c r="I511" s="24">
        <v>5894.07</v>
      </c>
      <c r="J511" s="22" t="s">
        <v>104</v>
      </c>
      <c r="K511" s="22" t="s">
        <v>151</v>
      </c>
      <c r="L511" t="str">
        <f>VLOOKUP(D511,Products!A:F,3,FALSE())</f>
        <v>Grocery</v>
      </c>
      <c r="M511" t="str">
        <f>VLOOKUP(C511,Customers!A:F,5,FALSE())</f>
        <v>Corporate</v>
      </c>
      <c r="O511" t="str">
        <f>IFERROR(VLOOKUP(E511,Sales_Reps!$A:$C,3,FALSE()),"")</f>
        <v/>
      </c>
      <c r="P511">
        <f>IFERROR(VLOOKUP(C511,Customers!$A:$C,3,FALSE()),"")</f>
        <v>54</v>
      </c>
      <c r="Q511" t="str">
        <f t="shared" si="7"/>
        <v>Jan-24</v>
      </c>
      <c r="R511">
        <f>IFERROR((VLOOKUP(D511,Products!$A:$E,5,FALSE())-VLOOKUP(D511,Products!$A:$E,4,FALSE()))/VLOOKUP(D511,Products!$A:$E,5,FALSE()),"")</f>
        <v>0.54298642533936647</v>
      </c>
    </row>
    <row r="512" spans="1:18" x14ac:dyDescent="0.3">
      <c r="A512" s="22" t="s">
        <v>1441</v>
      </c>
      <c r="B512" s="23">
        <v>45406</v>
      </c>
      <c r="C512" s="22" t="s">
        <v>1442</v>
      </c>
      <c r="D512" s="22" t="s">
        <v>190</v>
      </c>
      <c r="E512" s="22" t="s">
        <v>1443</v>
      </c>
      <c r="F512" s="24">
        <v>10</v>
      </c>
      <c r="G512" s="24">
        <v>2480</v>
      </c>
      <c r="H512" s="24">
        <v>13</v>
      </c>
      <c r="I512" s="24">
        <v>21576</v>
      </c>
      <c r="J512" s="22" t="s">
        <v>110</v>
      </c>
      <c r="K512" s="22" t="s">
        <v>105</v>
      </c>
      <c r="L512" t="str">
        <f>VLOOKUP(D512,Products!A:F,3,FALSE())</f>
        <v>Apparel</v>
      </c>
      <c r="M512" t="str">
        <f>VLOOKUP(C512,Customers!A:F,5,FALSE())</f>
        <v>Retail</v>
      </c>
      <c r="O512" t="str">
        <f>IFERROR(VLOOKUP(E512,Sales_Reps!$A:$C,3,FALSE()),"")</f>
        <v/>
      </c>
      <c r="P512">
        <f>IFERROR(VLOOKUP(C512,Customers!$A:$C,3,FALSE()),"")</f>
        <v>54</v>
      </c>
      <c r="Q512" t="str">
        <f t="shared" si="7"/>
        <v>Apr-24</v>
      </c>
      <c r="R512">
        <f>IFERROR((VLOOKUP(D512,Products!$A:$E,5,FALSE())-VLOOKUP(D512,Products!$A:$E,4,FALSE()))/VLOOKUP(D512,Products!$A:$E,5,FALSE()),"")</f>
        <v>0.52701612903225803</v>
      </c>
    </row>
    <row r="513" spans="1:18" x14ac:dyDescent="0.3">
      <c r="A513" s="22" t="s">
        <v>1444</v>
      </c>
      <c r="B513" s="23">
        <v>45629</v>
      </c>
      <c r="C513" s="22" t="s">
        <v>118</v>
      </c>
      <c r="D513" s="22" t="s">
        <v>455</v>
      </c>
      <c r="E513" s="22" t="s">
        <v>1445</v>
      </c>
      <c r="F513" s="24">
        <v>10</v>
      </c>
      <c r="G513" s="24">
        <v>5330</v>
      </c>
      <c r="H513" s="24">
        <v>0.7</v>
      </c>
      <c r="I513" s="24">
        <v>52926.9</v>
      </c>
      <c r="J513" s="22" t="s">
        <v>104</v>
      </c>
      <c r="K513" s="22" t="s">
        <v>116</v>
      </c>
      <c r="L513" t="str">
        <f>VLOOKUP(D513,Products!A:F,3,FALSE())</f>
        <v>Electronics</v>
      </c>
      <c r="M513" t="str">
        <f>VLOOKUP(C513,Customers!A:F,5,FALSE())</f>
        <v>Corporate</v>
      </c>
      <c r="O513" t="str">
        <f>IFERROR(VLOOKUP(E513,Sales_Reps!$A:$C,3,FALSE()),"")</f>
        <v/>
      </c>
      <c r="P513">
        <f>IFERROR(VLOOKUP(C513,Customers!$A:$C,3,FALSE()),"")</f>
        <v>46</v>
      </c>
      <c r="Q513" t="str">
        <f t="shared" si="7"/>
        <v>Dec-24</v>
      </c>
      <c r="R513">
        <f>IFERROR((VLOOKUP(D513,Products!$A:$E,5,FALSE())-VLOOKUP(D513,Products!$A:$E,4,FALSE()))/VLOOKUP(D513,Products!$A:$E,5,FALSE()),"")</f>
        <v>0.54878048780487809</v>
      </c>
    </row>
    <row r="514" spans="1:18" x14ac:dyDescent="0.3">
      <c r="A514" s="22" t="s">
        <v>1446</v>
      </c>
      <c r="B514" s="23">
        <v>45612</v>
      </c>
      <c r="C514" s="22" t="s">
        <v>1447</v>
      </c>
      <c r="D514" s="22" t="s">
        <v>315</v>
      </c>
      <c r="E514" s="22" t="s">
        <v>1448</v>
      </c>
      <c r="F514" s="24">
        <v>9</v>
      </c>
      <c r="G514" s="24">
        <v>4070</v>
      </c>
      <c r="H514" s="24">
        <v>15.6</v>
      </c>
      <c r="I514" s="24">
        <v>30915.72</v>
      </c>
      <c r="J514" s="22" t="s">
        <v>104</v>
      </c>
      <c r="K514" s="22" t="s">
        <v>105</v>
      </c>
      <c r="L514" t="str">
        <f>VLOOKUP(D514,Products!A:F,3,FALSE())</f>
        <v>Grocery</v>
      </c>
      <c r="M514" t="str">
        <f>VLOOKUP(C514,Customers!A:F,5,FALSE())</f>
        <v>Retail</v>
      </c>
      <c r="O514" t="str">
        <f>IFERROR(VLOOKUP(E514,Sales_Reps!$A:$C,3,FALSE()),"")</f>
        <v/>
      </c>
      <c r="P514">
        <f>IFERROR(VLOOKUP(C514,Customers!$A:$C,3,FALSE()),"")</f>
        <v>65</v>
      </c>
      <c r="Q514" t="str">
        <f t="shared" ref="Q514:Q577" si="8">TEXT(B514,"mmm-yy")</f>
        <v>Nov-24</v>
      </c>
      <c r="R514">
        <f>IFERROR((VLOOKUP(D514,Products!$A:$E,5,FALSE())-VLOOKUP(D514,Products!$A:$E,4,FALSE()))/VLOOKUP(D514,Products!$A:$E,5,FALSE()),"")</f>
        <v>0.50196560196560192</v>
      </c>
    </row>
    <row r="515" spans="1:18" x14ac:dyDescent="0.3">
      <c r="A515" s="22" t="s">
        <v>1449</v>
      </c>
      <c r="B515" s="23">
        <v>45613</v>
      </c>
      <c r="C515" s="22" t="s">
        <v>1221</v>
      </c>
      <c r="D515" s="22" t="s">
        <v>197</v>
      </c>
      <c r="E515" s="22" t="s">
        <v>1450</v>
      </c>
      <c r="F515" s="24">
        <v>5</v>
      </c>
      <c r="G515" s="24">
        <v>2720</v>
      </c>
      <c r="H515" s="24">
        <v>10.3</v>
      </c>
      <c r="I515" s="24">
        <v>12199.2</v>
      </c>
      <c r="J515" s="22" t="s">
        <v>159</v>
      </c>
      <c r="K515" s="22" t="s">
        <v>111</v>
      </c>
      <c r="L515" t="str">
        <f>VLOOKUP(D515,Products!A:F,3,FALSE())</f>
        <v>Apparel</v>
      </c>
      <c r="M515" t="str">
        <f>VLOOKUP(C515,Customers!A:F,5,FALSE())</f>
        <v>Retail</v>
      </c>
      <c r="O515" t="str">
        <f>IFERROR(VLOOKUP(E515,Sales_Reps!$A:$C,3,FALSE()),"")</f>
        <v/>
      </c>
      <c r="P515">
        <f>IFERROR(VLOOKUP(C515,Customers!$A:$C,3,FALSE()),"")</f>
        <v>32</v>
      </c>
      <c r="Q515" t="str">
        <f t="shared" si="8"/>
        <v>Nov-24</v>
      </c>
      <c r="R515">
        <f>IFERROR((VLOOKUP(D515,Products!$A:$E,5,FALSE())-VLOOKUP(D515,Products!$A:$E,4,FALSE()))/VLOOKUP(D515,Products!$A:$E,5,FALSE()),"")</f>
        <v>0.2786764705882353</v>
      </c>
    </row>
    <row r="516" spans="1:18" x14ac:dyDescent="0.3">
      <c r="A516" s="22" t="s">
        <v>1451</v>
      </c>
      <c r="B516" s="23">
        <v>45484</v>
      </c>
      <c r="C516" s="22" t="s">
        <v>1106</v>
      </c>
      <c r="D516" s="22" t="s">
        <v>224</v>
      </c>
      <c r="E516" s="22" t="s">
        <v>1452</v>
      </c>
      <c r="F516" s="24">
        <v>6</v>
      </c>
      <c r="G516" s="24">
        <v>2860</v>
      </c>
      <c r="H516" s="24">
        <v>28.9</v>
      </c>
      <c r="I516" s="24">
        <v>12200.76</v>
      </c>
      <c r="J516" s="22" t="s">
        <v>104</v>
      </c>
      <c r="K516" s="22" t="s">
        <v>134</v>
      </c>
      <c r="L516" t="str">
        <f>VLOOKUP(D516,Products!A:F,3,FALSE())</f>
        <v>Sports</v>
      </c>
      <c r="M516" t="str">
        <f>VLOOKUP(C516,Customers!A:F,5,FALSE())</f>
        <v>Corporate</v>
      </c>
      <c r="O516" t="str">
        <f>IFERROR(VLOOKUP(E516,Sales_Reps!$A:$C,3,FALSE()),"")</f>
        <v/>
      </c>
      <c r="P516">
        <f>IFERROR(VLOOKUP(C516,Customers!$A:$C,3,FALSE()),"")</f>
        <v>43</v>
      </c>
      <c r="Q516" t="str">
        <f t="shared" si="8"/>
        <v>Jul-24</v>
      </c>
      <c r="R516">
        <f>IFERROR((VLOOKUP(D516,Products!$A:$E,5,FALSE())-VLOOKUP(D516,Products!$A:$E,4,FALSE()))/VLOOKUP(D516,Products!$A:$E,5,FALSE()),"")</f>
        <v>0.29090909090909089</v>
      </c>
    </row>
    <row r="517" spans="1:18" x14ac:dyDescent="0.3">
      <c r="A517" s="22" t="s">
        <v>1453</v>
      </c>
      <c r="B517" s="23">
        <v>45656</v>
      </c>
      <c r="C517" s="22" t="s">
        <v>1454</v>
      </c>
      <c r="D517" s="22" t="s">
        <v>102</v>
      </c>
      <c r="E517" s="22" t="s">
        <v>1455</v>
      </c>
      <c r="F517" s="24">
        <v>5</v>
      </c>
      <c r="G517" s="24">
        <v>3620</v>
      </c>
      <c r="H517" s="24">
        <v>18.2</v>
      </c>
      <c r="I517" s="24">
        <v>14805.8</v>
      </c>
      <c r="J517" s="22" t="s">
        <v>104</v>
      </c>
      <c r="K517" s="22" t="s">
        <v>151</v>
      </c>
      <c r="L517" t="str">
        <f>VLOOKUP(D517,Products!A:F,3,FALSE())</f>
        <v>Apparel</v>
      </c>
      <c r="M517" t="str">
        <f>VLOOKUP(C517,Customers!A:F,5,FALSE())</f>
        <v>Retail</v>
      </c>
      <c r="O517" t="str">
        <f>IFERROR(VLOOKUP(E517,Sales_Reps!$A:$C,3,FALSE()),"")</f>
        <v/>
      </c>
      <c r="P517">
        <f>IFERROR(VLOOKUP(C517,Customers!$A:$C,3,FALSE()),"")</f>
        <v>35</v>
      </c>
      <c r="Q517" t="str">
        <f t="shared" si="8"/>
        <v>Dec-24</v>
      </c>
      <c r="R517">
        <f>IFERROR((VLOOKUP(D517,Products!$A:$E,5,FALSE())-VLOOKUP(D517,Products!$A:$E,4,FALSE()))/VLOOKUP(D517,Products!$A:$E,5,FALSE()),"")</f>
        <v>0.3069060773480663</v>
      </c>
    </row>
    <row r="518" spans="1:18" x14ac:dyDescent="0.3">
      <c r="A518" s="22" t="s">
        <v>1456</v>
      </c>
      <c r="B518" s="23">
        <v>45432</v>
      </c>
      <c r="C518" s="22" t="s">
        <v>174</v>
      </c>
      <c r="D518" s="22" t="s">
        <v>201</v>
      </c>
      <c r="E518" s="22" t="s">
        <v>1457</v>
      </c>
      <c r="F518" s="24">
        <v>3</v>
      </c>
      <c r="G518" s="24">
        <v>1650</v>
      </c>
      <c r="H518" s="24">
        <v>10.7</v>
      </c>
      <c r="I518" s="24">
        <v>4420.3500000000004</v>
      </c>
      <c r="J518" s="22" t="s">
        <v>104</v>
      </c>
      <c r="K518" s="22" t="s">
        <v>134</v>
      </c>
      <c r="L518" t="str">
        <f>VLOOKUP(D518,Products!A:F,3,FALSE())</f>
        <v>Beauty</v>
      </c>
      <c r="M518" t="str">
        <f>VLOOKUP(C518,Customers!A:F,5,FALSE())</f>
        <v>SMB</v>
      </c>
      <c r="O518" t="str">
        <f>IFERROR(VLOOKUP(E518,Sales_Reps!$A:$C,3,FALSE()),"")</f>
        <v/>
      </c>
      <c r="P518">
        <f>IFERROR(VLOOKUP(C518,Customers!$A:$C,3,FALSE()),"")</f>
        <v>46</v>
      </c>
      <c r="Q518" t="str">
        <f t="shared" si="8"/>
        <v>May-24</v>
      </c>
      <c r="R518">
        <f>IFERROR((VLOOKUP(D518,Products!$A:$E,5,FALSE())-VLOOKUP(D518,Products!$A:$E,4,FALSE()))/VLOOKUP(D518,Products!$A:$E,5,FALSE()),"")</f>
        <v>0.2593939393939394</v>
      </c>
    </row>
    <row r="519" spans="1:18" x14ac:dyDescent="0.3">
      <c r="A519" s="22" t="s">
        <v>1458</v>
      </c>
      <c r="B519" s="23">
        <v>45495</v>
      </c>
      <c r="C519" s="22" t="s">
        <v>742</v>
      </c>
      <c r="D519" s="22" t="s">
        <v>167</v>
      </c>
      <c r="E519" s="22" t="s">
        <v>1459</v>
      </c>
      <c r="F519" s="24">
        <v>8</v>
      </c>
      <c r="G519" s="24">
        <v>190</v>
      </c>
      <c r="H519" s="24">
        <v>18</v>
      </c>
      <c r="I519" s="24">
        <v>1246.4000000000001</v>
      </c>
      <c r="J519" s="22" t="s">
        <v>110</v>
      </c>
      <c r="K519" s="22" t="s">
        <v>151</v>
      </c>
      <c r="L519" t="str">
        <f>VLOOKUP(D519,Products!A:F,3,FALSE())</f>
        <v>Sports</v>
      </c>
      <c r="M519" t="str">
        <f>VLOOKUP(C519,Customers!A:F,5,FALSE())</f>
        <v>Retail</v>
      </c>
      <c r="O519" t="str">
        <f>IFERROR(VLOOKUP(E519,Sales_Reps!$A:$C,3,FALSE()),"")</f>
        <v/>
      </c>
      <c r="P519">
        <f>IFERROR(VLOOKUP(C519,Customers!$A:$C,3,FALSE()),"")</f>
        <v>25</v>
      </c>
      <c r="Q519" t="str">
        <f t="shared" si="8"/>
        <v>Jul-24</v>
      </c>
      <c r="R519">
        <f>IFERROR((VLOOKUP(D519,Products!$A:$E,5,FALSE())-VLOOKUP(D519,Products!$A:$E,4,FALSE()))/VLOOKUP(D519,Products!$A:$E,5,FALSE()),"")</f>
        <v>0.22631578947368422</v>
      </c>
    </row>
    <row r="520" spans="1:18" x14ac:dyDescent="0.3">
      <c r="A520" s="22" t="s">
        <v>1460</v>
      </c>
      <c r="B520" s="23">
        <v>45443</v>
      </c>
      <c r="C520" s="22" t="s">
        <v>1461</v>
      </c>
      <c r="D520" s="22" t="s">
        <v>488</v>
      </c>
      <c r="E520" s="22" t="s">
        <v>1462</v>
      </c>
      <c r="F520" s="24">
        <v>7</v>
      </c>
      <c r="G520" s="24">
        <v>2290</v>
      </c>
      <c r="H520" s="24">
        <v>12.5</v>
      </c>
      <c r="I520" s="24">
        <v>14026.25</v>
      </c>
      <c r="J520" s="22" t="s">
        <v>104</v>
      </c>
      <c r="K520" s="22" t="s">
        <v>129</v>
      </c>
      <c r="L520" t="str">
        <f>VLOOKUP(D520,Products!A:F,3,FALSE())</f>
        <v>Beauty</v>
      </c>
      <c r="M520" t="str">
        <f>VLOOKUP(C520,Customers!A:F,5,FALSE())</f>
        <v>Retail</v>
      </c>
      <c r="O520" t="str">
        <f>IFERROR(VLOOKUP(E520,Sales_Reps!$A:$C,3,FALSE()),"")</f>
        <v/>
      </c>
      <c r="P520">
        <f>IFERROR(VLOOKUP(C520,Customers!$A:$C,3,FALSE()),"")</f>
        <v>49</v>
      </c>
      <c r="Q520" t="str">
        <f t="shared" si="8"/>
        <v>May-24</v>
      </c>
      <c r="R520">
        <f>IFERROR((VLOOKUP(D520,Products!$A:$E,5,FALSE())-VLOOKUP(D520,Products!$A:$E,4,FALSE()))/VLOOKUP(D520,Products!$A:$E,5,FALSE()),"")</f>
        <v>0.46768558951965067</v>
      </c>
    </row>
    <row r="521" spans="1:18" x14ac:dyDescent="0.3">
      <c r="A521" s="22" t="s">
        <v>1463</v>
      </c>
      <c r="B521" s="23">
        <v>45638</v>
      </c>
      <c r="C521" s="22" t="s">
        <v>215</v>
      </c>
      <c r="D521" s="22" t="s">
        <v>455</v>
      </c>
      <c r="E521" s="22" t="s">
        <v>1464</v>
      </c>
      <c r="F521" s="24">
        <v>2</v>
      </c>
      <c r="G521" s="24">
        <v>5330</v>
      </c>
      <c r="H521" s="24">
        <v>26.5</v>
      </c>
      <c r="I521" s="24">
        <v>7835.1</v>
      </c>
      <c r="J521" s="22" t="s">
        <v>104</v>
      </c>
      <c r="K521" s="22" t="s">
        <v>111</v>
      </c>
      <c r="L521" t="str">
        <f>VLOOKUP(D521,Products!A:F,3,FALSE())</f>
        <v>Electronics</v>
      </c>
      <c r="M521" t="str">
        <f>VLOOKUP(C521,Customers!A:F,5,FALSE())</f>
        <v>SMB</v>
      </c>
      <c r="O521" t="str">
        <f>IFERROR(VLOOKUP(E521,Sales_Reps!$A:$C,3,FALSE()),"")</f>
        <v/>
      </c>
      <c r="P521">
        <f>IFERROR(VLOOKUP(C521,Customers!$A:$C,3,FALSE()),"")</f>
        <v>52</v>
      </c>
      <c r="Q521" t="str">
        <f t="shared" si="8"/>
        <v>Dec-24</v>
      </c>
      <c r="R521">
        <f>IFERROR((VLOOKUP(D521,Products!$A:$E,5,FALSE())-VLOOKUP(D521,Products!$A:$E,4,FALSE()))/VLOOKUP(D521,Products!$A:$E,5,FALSE()),"")</f>
        <v>0.54878048780487809</v>
      </c>
    </row>
    <row r="522" spans="1:18" x14ac:dyDescent="0.3">
      <c r="A522" s="22" t="s">
        <v>1465</v>
      </c>
      <c r="B522" s="23">
        <v>45476</v>
      </c>
      <c r="C522" s="22" t="s">
        <v>1466</v>
      </c>
      <c r="D522" s="22" t="s">
        <v>455</v>
      </c>
      <c r="E522" s="22" t="s">
        <v>1467</v>
      </c>
      <c r="F522" s="24">
        <v>4</v>
      </c>
      <c r="G522" s="24">
        <v>5330</v>
      </c>
      <c r="H522" s="24">
        <v>25.6</v>
      </c>
      <c r="I522" s="24">
        <v>15862.08</v>
      </c>
      <c r="J522" s="22" t="s">
        <v>104</v>
      </c>
      <c r="K522" s="22" t="s">
        <v>129</v>
      </c>
      <c r="L522" t="str">
        <f>VLOOKUP(D522,Products!A:F,3,FALSE())</f>
        <v>Electronics</v>
      </c>
      <c r="M522" t="str">
        <f>VLOOKUP(C522,Customers!A:F,5,FALSE())</f>
        <v>SMB</v>
      </c>
      <c r="O522" t="str">
        <f>IFERROR(VLOOKUP(E522,Sales_Reps!$A:$C,3,FALSE()),"")</f>
        <v/>
      </c>
      <c r="P522">
        <f>IFERROR(VLOOKUP(C522,Customers!$A:$C,3,FALSE()),"")</f>
        <v>65</v>
      </c>
      <c r="Q522" t="str">
        <f t="shared" si="8"/>
        <v>Jul-24</v>
      </c>
      <c r="R522">
        <f>IFERROR((VLOOKUP(D522,Products!$A:$E,5,FALSE())-VLOOKUP(D522,Products!$A:$E,4,FALSE()))/VLOOKUP(D522,Products!$A:$E,5,FALSE()),"")</f>
        <v>0.54878048780487809</v>
      </c>
    </row>
    <row r="523" spans="1:18" x14ac:dyDescent="0.3">
      <c r="A523" s="22" t="s">
        <v>1468</v>
      </c>
      <c r="B523" s="23">
        <v>45566</v>
      </c>
      <c r="C523" s="22" t="s">
        <v>348</v>
      </c>
      <c r="D523" s="22" t="s">
        <v>577</v>
      </c>
      <c r="E523" s="22" t="s">
        <v>1469</v>
      </c>
      <c r="F523" s="24">
        <v>4</v>
      </c>
      <c r="G523" s="24">
        <v>5080</v>
      </c>
      <c r="H523" s="24">
        <v>28.6</v>
      </c>
      <c r="I523" s="24">
        <v>14508.48</v>
      </c>
      <c r="J523" s="22" t="s">
        <v>104</v>
      </c>
      <c r="K523" s="22" t="s">
        <v>111</v>
      </c>
      <c r="L523" t="str">
        <f>VLOOKUP(D523,Products!A:F,3,FALSE())</f>
        <v>Home</v>
      </c>
      <c r="M523" t="str">
        <f>VLOOKUP(C523,Customers!A:F,5,FALSE())</f>
        <v>Retail</v>
      </c>
      <c r="O523" t="str">
        <f>IFERROR(VLOOKUP(E523,Sales_Reps!$A:$C,3,FALSE()),"")</f>
        <v/>
      </c>
      <c r="P523">
        <f>IFERROR(VLOOKUP(C523,Customers!$A:$C,3,FALSE()),"")</f>
        <v>38</v>
      </c>
      <c r="Q523" t="str">
        <f t="shared" si="8"/>
        <v>Oct-24</v>
      </c>
      <c r="R523">
        <f>IFERROR((VLOOKUP(D523,Products!$A:$E,5,FALSE())-VLOOKUP(D523,Products!$A:$E,4,FALSE()))/VLOOKUP(D523,Products!$A:$E,5,FALSE()),"")</f>
        <v>0.51594488188976373</v>
      </c>
    </row>
    <row r="524" spans="1:18" x14ac:dyDescent="0.3">
      <c r="A524" s="22" t="s">
        <v>1470</v>
      </c>
      <c r="B524" s="23">
        <v>45392</v>
      </c>
      <c r="C524" s="22" t="s">
        <v>635</v>
      </c>
      <c r="D524" s="22" t="s">
        <v>127</v>
      </c>
      <c r="E524" s="22" t="s">
        <v>1471</v>
      </c>
      <c r="F524" s="24">
        <v>4</v>
      </c>
      <c r="G524" s="24">
        <v>370</v>
      </c>
      <c r="H524" s="24">
        <v>12.6</v>
      </c>
      <c r="I524" s="24">
        <v>1293.52</v>
      </c>
      <c r="J524" s="22" t="s">
        <v>110</v>
      </c>
      <c r="K524" s="22" t="s">
        <v>105</v>
      </c>
      <c r="L524" t="str">
        <f>VLOOKUP(D524,Products!A:F,3,FALSE())</f>
        <v>Home</v>
      </c>
      <c r="M524" t="str">
        <f>VLOOKUP(C524,Customers!A:F,5,FALSE())</f>
        <v>SMB</v>
      </c>
      <c r="O524" t="str">
        <f>IFERROR(VLOOKUP(E524,Sales_Reps!$A:$C,3,FALSE()),"")</f>
        <v/>
      </c>
      <c r="P524">
        <f>IFERROR(VLOOKUP(C524,Customers!$A:$C,3,FALSE()),"")</f>
        <v>49</v>
      </c>
      <c r="Q524" t="str">
        <f t="shared" si="8"/>
        <v>Apr-24</v>
      </c>
      <c r="R524">
        <f>IFERROR((VLOOKUP(D524,Products!$A:$E,5,FALSE())-VLOOKUP(D524,Products!$A:$E,4,FALSE()))/VLOOKUP(D524,Products!$A:$E,5,FALSE()),"")</f>
        <v>0.22162162162162163</v>
      </c>
    </row>
    <row r="525" spans="1:18" x14ac:dyDescent="0.3">
      <c r="A525" s="22" t="s">
        <v>1472</v>
      </c>
      <c r="B525" s="23">
        <v>45561</v>
      </c>
      <c r="C525" s="22" t="s">
        <v>1473</v>
      </c>
      <c r="D525" s="22" t="s">
        <v>114</v>
      </c>
      <c r="E525" s="22" t="s">
        <v>1474</v>
      </c>
      <c r="F525" s="24">
        <v>9</v>
      </c>
      <c r="G525" s="24">
        <v>470</v>
      </c>
      <c r="H525" s="24">
        <v>3.6</v>
      </c>
      <c r="I525" s="24">
        <v>4077.72</v>
      </c>
      <c r="J525" s="22" t="s">
        <v>104</v>
      </c>
      <c r="K525" s="22" t="s">
        <v>111</v>
      </c>
      <c r="L525" t="str">
        <f>VLOOKUP(D525,Products!A:F,3,FALSE())</f>
        <v>Sports</v>
      </c>
      <c r="M525" t="str">
        <f>VLOOKUP(C525,Customers!A:F,5,FALSE())</f>
        <v>Retail</v>
      </c>
      <c r="O525" t="str">
        <f>IFERROR(VLOOKUP(E525,Sales_Reps!$A:$C,3,FALSE()),"")</f>
        <v/>
      </c>
      <c r="P525">
        <f>IFERROR(VLOOKUP(C525,Customers!$A:$C,3,FALSE()),"")</f>
        <v>31</v>
      </c>
      <c r="Q525" t="str">
        <f t="shared" si="8"/>
        <v>Sep-24</v>
      </c>
      <c r="R525">
        <f>IFERROR((VLOOKUP(D525,Products!$A:$E,5,FALSE())-VLOOKUP(D525,Products!$A:$E,4,FALSE()))/VLOOKUP(D525,Products!$A:$E,5,FALSE()),"")</f>
        <v>0.35744680851063831</v>
      </c>
    </row>
    <row r="526" spans="1:18" x14ac:dyDescent="0.3">
      <c r="A526" s="22" t="s">
        <v>1475</v>
      </c>
      <c r="B526" s="23">
        <v>45634</v>
      </c>
      <c r="C526" s="22" t="s">
        <v>906</v>
      </c>
      <c r="D526" s="22" t="s">
        <v>449</v>
      </c>
      <c r="E526" s="22" t="s">
        <v>1476</v>
      </c>
      <c r="F526" s="24">
        <v>4</v>
      </c>
      <c r="G526" s="24">
        <v>5410</v>
      </c>
      <c r="H526" s="24">
        <v>11.3</v>
      </c>
      <c r="I526" s="24">
        <v>19194.68</v>
      </c>
      <c r="J526" s="22" t="s">
        <v>164</v>
      </c>
      <c r="K526" s="22" t="s">
        <v>129</v>
      </c>
      <c r="L526" t="str">
        <f>VLOOKUP(D526,Products!A:F,3,FALSE())</f>
        <v>Sports</v>
      </c>
      <c r="M526" t="str">
        <f>VLOOKUP(C526,Customers!A:F,5,FALSE())</f>
        <v>SMB</v>
      </c>
      <c r="O526" t="str">
        <f>IFERROR(VLOOKUP(E526,Sales_Reps!$A:$C,3,FALSE()),"")</f>
        <v/>
      </c>
      <c r="P526">
        <f>IFERROR(VLOOKUP(C526,Customers!$A:$C,3,FALSE()),"")</f>
        <v>27</v>
      </c>
      <c r="Q526" t="str">
        <f t="shared" si="8"/>
        <v>Dec-24</v>
      </c>
      <c r="R526">
        <f>IFERROR((VLOOKUP(D526,Products!$A:$E,5,FALSE())-VLOOKUP(D526,Products!$A:$E,4,FALSE()))/VLOOKUP(D526,Products!$A:$E,5,FALSE()),"")</f>
        <v>0.58133086876155271</v>
      </c>
    </row>
    <row r="527" spans="1:18" x14ac:dyDescent="0.3">
      <c r="A527" s="22" t="s">
        <v>1477</v>
      </c>
      <c r="B527" s="23">
        <v>45311</v>
      </c>
      <c r="C527" s="22" t="s">
        <v>1478</v>
      </c>
      <c r="D527" s="22" t="s">
        <v>102</v>
      </c>
      <c r="E527" s="22" t="s">
        <v>1479</v>
      </c>
      <c r="F527" s="24">
        <v>10</v>
      </c>
      <c r="G527" s="24">
        <v>3620</v>
      </c>
      <c r="H527" s="24">
        <v>2.5</v>
      </c>
      <c r="I527" s="24">
        <v>35295</v>
      </c>
      <c r="J527" s="22" t="s">
        <v>104</v>
      </c>
      <c r="K527" s="22" t="s">
        <v>151</v>
      </c>
      <c r="L527" t="str">
        <f>VLOOKUP(D527,Products!A:F,3,FALSE())</f>
        <v>Apparel</v>
      </c>
      <c r="M527" t="str">
        <f>VLOOKUP(C527,Customers!A:F,5,FALSE())</f>
        <v>SMB</v>
      </c>
      <c r="O527" t="str">
        <f>IFERROR(VLOOKUP(E527,Sales_Reps!$A:$C,3,FALSE()),"")</f>
        <v/>
      </c>
      <c r="P527">
        <f>IFERROR(VLOOKUP(C527,Customers!$A:$C,3,FALSE()),"")</f>
        <v>31</v>
      </c>
      <c r="Q527" t="str">
        <f t="shared" si="8"/>
        <v>Jan-24</v>
      </c>
      <c r="R527">
        <f>IFERROR((VLOOKUP(D527,Products!$A:$E,5,FALSE())-VLOOKUP(D527,Products!$A:$E,4,FALSE()))/VLOOKUP(D527,Products!$A:$E,5,FALSE()),"")</f>
        <v>0.3069060773480663</v>
      </c>
    </row>
    <row r="528" spans="1:18" x14ac:dyDescent="0.3">
      <c r="A528" s="22" t="s">
        <v>1480</v>
      </c>
      <c r="B528" s="23">
        <v>45380</v>
      </c>
      <c r="C528" s="22" t="s">
        <v>1481</v>
      </c>
      <c r="D528" s="22" t="s">
        <v>231</v>
      </c>
      <c r="E528" s="22" t="s">
        <v>1482</v>
      </c>
      <c r="F528" s="24">
        <v>1</v>
      </c>
      <c r="G528" s="24">
        <v>2760</v>
      </c>
      <c r="H528" s="24">
        <v>22.2</v>
      </c>
      <c r="I528" s="24">
        <v>2147.2800000000002</v>
      </c>
      <c r="J528" s="22" t="s">
        <v>104</v>
      </c>
      <c r="K528" s="22" t="s">
        <v>116</v>
      </c>
      <c r="L528" t="str">
        <f>VLOOKUP(D528,Products!A:F,3,FALSE())</f>
        <v>Grocery</v>
      </c>
      <c r="M528" t="str">
        <f>VLOOKUP(C528,Customers!A:F,5,FALSE())</f>
        <v>Retail</v>
      </c>
      <c r="O528" t="str">
        <f>IFERROR(VLOOKUP(E528,Sales_Reps!$A:$C,3,FALSE()),"")</f>
        <v/>
      </c>
      <c r="P528">
        <f>IFERROR(VLOOKUP(C528,Customers!$A:$C,3,FALSE()),"")</f>
        <v>47</v>
      </c>
      <c r="Q528" t="str">
        <f t="shared" si="8"/>
        <v>Mar-24</v>
      </c>
      <c r="R528">
        <f>IFERROR((VLOOKUP(D528,Products!$A:$E,5,FALSE())-VLOOKUP(D528,Products!$A:$E,4,FALSE()))/VLOOKUP(D528,Products!$A:$E,5,FALSE()),"")</f>
        <v>0.48007246376811596</v>
      </c>
    </row>
    <row r="529" spans="1:18" x14ac:dyDescent="0.3">
      <c r="A529" s="22" t="s">
        <v>1483</v>
      </c>
      <c r="B529" s="23">
        <v>45549</v>
      </c>
      <c r="C529" s="22" t="s">
        <v>1484</v>
      </c>
      <c r="D529" s="22" t="s">
        <v>178</v>
      </c>
      <c r="E529" s="22" t="s">
        <v>1485</v>
      </c>
      <c r="F529" s="24">
        <v>7</v>
      </c>
      <c r="G529" s="24">
        <v>3450</v>
      </c>
      <c r="H529" s="24">
        <v>8.6</v>
      </c>
      <c r="I529" s="24">
        <v>22073.1</v>
      </c>
      <c r="J529" s="22" t="s">
        <v>104</v>
      </c>
      <c r="K529" s="22" t="s">
        <v>129</v>
      </c>
      <c r="L529" t="str">
        <f>VLOOKUP(D529,Products!A:F,3,FALSE())</f>
        <v>Beauty</v>
      </c>
      <c r="M529" t="str">
        <f>VLOOKUP(C529,Customers!A:F,5,FALSE())</f>
        <v>Retail</v>
      </c>
      <c r="O529" t="str">
        <f>IFERROR(VLOOKUP(E529,Sales_Reps!$A:$C,3,FALSE()),"")</f>
        <v/>
      </c>
      <c r="P529">
        <f>IFERROR(VLOOKUP(C529,Customers!$A:$C,3,FALSE()),"")</f>
        <v>40</v>
      </c>
      <c r="Q529" t="str">
        <f t="shared" si="8"/>
        <v>Sep-24</v>
      </c>
      <c r="R529">
        <f>IFERROR((VLOOKUP(D529,Products!$A:$E,5,FALSE())-VLOOKUP(D529,Products!$A:$E,4,FALSE()))/VLOOKUP(D529,Products!$A:$E,5,FALSE()),"")</f>
        <v>0.29855072463768118</v>
      </c>
    </row>
    <row r="530" spans="1:18" x14ac:dyDescent="0.3">
      <c r="A530" s="22" t="s">
        <v>1486</v>
      </c>
      <c r="B530" s="23">
        <v>45418</v>
      </c>
      <c r="C530" s="22" t="s">
        <v>745</v>
      </c>
      <c r="D530" s="22" t="s">
        <v>119</v>
      </c>
      <c r="E530" s="22" t="s">
        <v>1487</v>
      </c>
      <c r="F530" s="24">
        <v>6</v>
      </c>
      <c r="G530" s="24">
        <v>3660</v>
      </c>
      <c r="H530" s="24">
        <v>10.6</v>
      </c>
      <c r="I530" s="24">
        <v>19632.240000000002</v>
      </c>
      <c r="J530" s="22" t="s">
        <v>104</v>
      </c>
      <c r="K530" s="22" t="s">
        <v>116</v>
      </c>
      <c r="L530" t="str">
        <f>VLOOKUP(D530,Products!A:F,3,FALSE())</f>
        <v>Grocery</v>
      </c>
      <c r="M530" t="str">
        <f>VLOOKUP(C530,Customers!A:F,5,FALSE())</f>
        <v>SMB</v>
      </c>
      <c r="O530" t="str">
        <f>IFERROR(VLOOKUP(E530,Sales_Reps!$A:$C,3,FALSE()),"")</f>
        <v/>
      </c>
      <c r="P530">
        <f>IFERROR(VLOOKUP(C530,Customers!$A:$C,3,FALSE()),"")</f>
        <v>29</v>
      </c>
      <c r="Q530" t="str">
        <f t="shared" si="8"/>
        <v>May-24</v>
      </c>
      <c r="R530">
        <f>IFERROR((VLOOKUP(D530,Products!$A:$E,5,FALSE())-VLOOKUP(D530,Products!$A:$E,4,FALSE()))/VLOOKUP(D530,Products!$A:$E,5,FALSE()),"")</f>
        <v>0.39508196721311473</v>
      </c>
    </row>
    <row r="531" spans="1:18" x14ac:dyDescent="0.3">
      <c r="A531" s="22" t="s">
        <v>1488</v>
      </c>
      <c r="B531" s="23">
        <v>45532</v>
      </c>
      <c r="C531" s="22" t="s">
        <v>709</v>
      </c>
      <c r="D531" s="22" t="s">
        <v>216</v>
      </c>
      <c r="E531" s="22" t="s">
        <v>1489</v>
      </c>
      <c r="F531" s="24">
        <v>10</v>
      </c>
      <c r="G531" s="24">
        <v>3570</v>
      </c>
      <c r="H531" s="24">
        <v>1.2</v>
      </c>
      <c r="I531" s="24">
        <v>35271.599999999999</v>
      </c>
      <c r="J531" s="22" t="s">
        <v>104</v>
      </c>
      <c r="K531" s="22" t="s">
        <v>129</v>
      </c>
      <c r="L531" t="str">
        <f>VLOOKUP(D531,Products!A:F,3,FALSE())</f>
        <v>Electronics</v>
      </c>
      <c r="M531" t="str">
        <f>VLOOKUP(C531,Customers!A:F,5,FALSE())</f>
        <v>Corporate</v>
      </c>
      <c r="O531" t="str">
        <f>IFERROR(VLOOKUP(E531,Sales_Reps!$A:$C,3,FALSE()),"")</f>
        <v/>
      </c>
      <c r="P531">
        <f>IFERROR(VLOOKUP(C531,Customers!$A:$C,3,FALSE()),"")</f>
        <v>55</v>
      </c>
      <c r="Q531" t="str">
        <f t="shared" si="8"/>
        <v>Aug-24</v>
      </c>
      <c r="R531">
        <f>IFERROR((VLOOKUP(D531,Products!$A:$E,5,FALSE())-VLOOKUP(D531,Products!$A:$E,4,FALSE()))/VLOOKUP(D531,Products!$A:$E,5,FALSE()),"")</f>
        <v>0.53361344537815125</v>
      </c>
    </row>
    <row r="532" spans="1:18" x14ac:dyDescent="0.3">
      <c r="A532" s="22" t="s">
        <v>1490</v>
      </c>
      <c r="B532" s="23">
        <v>45542</v>
      </c>
      <c r="C532" s="22" t="s">
        <v>540</v>
      </c>
      <c r="D532" s="22" t="s">
        <v>674</v>
      </c>
      <c r="E532" s="22" t="s">
        <v>1491</v>
      </c>
      <c r="F532" s="24">
        <v>8</v>
      </c>
      <c r="G532" s="24">
        <v>1090</v>
      </c>
      <c r="H532" s="24">
        <v>13.2</v>
      </c>
      <c r="I532" s="24">
        <v>7568.96</v>
      </c>
      <c r="J532" s="22" t="s">
        <v>164</v>
      </c>
      <c r="K532" s="22" t="s">
        <v>116</v>
      </c>
      <c r="L532" t="str">
        <f>VLOOKUP(D532,Products!A:F,3,FALSE())</f>
        <v>Home</v>
      </c>
      <c r="M532" t="str">
        <f>VLOOKUP(C532,Customers!A:F,5,FALSE())</f>
        <v>Retail</v>
      </c>
      <c r="O532" t="str">
        <f>IFERROR(VLOOKUP(E532,Sales_Reps!$A:$C,3,FALSE()),"")</f>
        <v/>
      </c>
      <c r="P532">
        <f>IFERROR(VLOOKUP(C532,Customers!$A:$C,3,FALSE()),"")</f>
        <v>44</v>
      </c>
      <c r="Q532" t="str">
        <f t="shared" si="8"/>
        <v>Sep-24</v>
      </c>
      <c r="R532">
        <f>IFERROR((VLOOKUP(D532,Products!$A:$E,5,FALSE())-VLOOKUP(D532,Products!$A:$E,4,FALSE()))/VLOOKUP(D532,Products!$A:$E,5,FALSE()),"")</f>
        <v>0.57431192660550456</v>
      </c>
    </row>
    <row r="533" spans="1:18" x14ac:dyDescent="0.3">
      <c r="A533" s="22" t="s">
        <v>1492</v>
      </c>
      <c r="B533" s="23">
        <v>45320</v>
      </c>
      <c r="C533" s="22" t="s">
        <v>599</v>
      </c>
      <c r="D533" s="22" t="s">
        <v>102</v>
      </c>
      <c r="E533" s="22" t="s">
        <v>1493</v>
      </c>
      <c r="F533" s="24">
        <v>8</v>
      </c>
      <c r="G533" s="24">
        <v>3620</v>
      </c>
      <c r="H533" s="24">
        <v>29</v>
      </c>
      <c r="I533" s="24">
        <v>20561.599999999999</v>
      </c>
      <c r="J533" s="22" t="s">
        <v>104</v>
      </c>
      <c r="K533" s="22" t="s">
        <v>105</v>
      </c>
      <c r="L533" t="str">
        <f>VLOOKUP(D533,Products!A:F,3,FALSE())</f>
        <v>Apparel</v>
      </c>
      <c r="M533" t="str">
        <f>VLOOKUP(C533,Customers!A:F,5,FALSE())</f>
        <v>Retail</v>
      </c>
      <c r="O533" t="str">
        <f>IFERROR(VLOOKUP(E533,Sales_Reps!$A:$C,3,FALSE()),"")</f>
        <v/>
      </c>
      <c r="P533">
        <f>IFERROR(VLOOKUP(C533,Customers!$A:$C,3,FALSE()),"")</f>
        <v>29</v>
      </c>
      <c r="Q533" t="str">
        <f t="shared" si="8"/>
        <v>Jan-24</v>
      </c>
      <c r="R533">
        <f>IFERROR((VLOOKUP(D533,Products!$A:$E,5,FALSE())-VLOOKUP(D533,Products!$A:$E,4,FALSE()))/VLOOKUP(D533,Products!$A:$E,5,FALSE()),"")</f>
        <v>0.3069060773480663</v>
      </c>
    </row>
    <row r="534" spans="1:18" x14ac:dyDescent="0.3">
      <c r="A534" s="22" t="s">
        <v>1494</v>
      </c>
      <c r="B534" s="23">
        <v>45548</v>
      </c>
      <c r="C534" s="22" t="s">
        <v>351</v>
      </c>
      <c r="D534" s="22" t="s">
        <v>212</v>
      </c>
      <c r="E534" s="22" t="s">
        <v>1495</v>
      </c>
      <c r="F534" s="24">
        <v>7</v>
      </c>
      <c r="G534" s="24">
        <v>4880</v>
      </c>
      <c r="H534" s="24">
        <v>25.6</v>
      </c>
      <c r="I534" s="24">
        <v>25415.040000000001</v>
      </c>
      <c r="J534" s="22" t="s">
        <v>164</v>
      </c>
      <c r="K534" s="22" t="s">
        <v>116</v>
      </c>
      <c r="L534" t="str">
        <f>VLOOKUP(D534,Products!A:F,3,FALSE())</f>
        <v>Beauty</v>
      </c>
      <c r="M534" t="str">
        <f>VLOOKUP(C534,Customers!A:F,5,FALSE())</f>
        <v>Retail</v>
      </c>
      <c r="O534" t="str">
        <f>IFERROR(VLOOKUP(E534,Sales_Reps!$A:$C,3,FALSE()),"")</f>
        <v/>
      </c>
      <c r="P534">
        <f>IFERROR(VLOOKUP(C534,Customers!$A:$C,3,FALSE()),"")</f>
        <v>35</v>
      </c>
      <c r="Q534" t="str">
        <f t="shared" si="8"/>
        <v>Sep-24</v>
      </c>
      <c r="R534">
        <f>IFERROR((VLOOKUP(D534,Products!$A:$E,5,FALSE())-VLOOKUP(D534,Products!$A:$E,4,FALSE()))/VLOOKUP(D534,Products!$A:$E,5,FALSE()),"")</f>
        <v>0.43278688524590164</v>
      </c>
    </row>
    <row r="535" spans="1:18" x14ac:dyDescent="0.3">
      <c r="A535" s="22" t="s">
        <v>1496</v>
      </c>
      <c r="B535" s="23">
        <v>45434</v>
      </c>
      <c r="C535" s="22" t="s">
        <v>1497</v>
      </c>
      <c r="D535" s="22" t="s">
        <v>114</v>
      </c>
      <c r="E535" s="22" t="s">
        <v>1498</v>
      </c>
      <c r="F535" s="24">
        <v>2</v>
      </c>
      <c r="G535" s="24">
        <v>470</v>
      </c>
      <c r="H535" s="24">
        <v>9.6999999999999993</v>
      </c>
      <c r="I535" s="24">
        <v>848.82</v>
      </c>
      <c r="J535" s="22" t="s">
        <v>104</v>
      </c>
      <c r="K535" s="22" t="s">
        <v>105</v>
      </c>
      <c r="L535" t="str">
        <f>VLOOKUP(D535,Products!A:F,3,FALSE())</f>
        <v>Sports</v>
      </c>
      <c r="M535" t="str">
        <f>VLOOKUP(C535,Customers!A:F,5,FALSE())</f>
        <v>Corporate</v>
      </c>
      <c r="O535" t="str">
        <f>IFERROR(VLOOKUP(E535,Sales_Reps!$A:$C,3,FALSE()),"")</f>
        <v/>
      </c>
      <c r="P535">
        <f>IFERROR(VLOOKUP(C535,Customers!$A:$C,3,FALSE()),"")</f>
        <v>29</v>
      </c>
      <c r="Q535" t="str">
        <f t="shared" si="8"/>
        <v>May-24</v>
      </c>
      <c r="R535">
        <f>IFERROR((VLOOKUP(D535,Products!$A:$E,5,FALSE())-VLOOKUP(D535,Products!$A:$E,4,FALSE()))/VLOOKUP(D535,Products!$A:$E,5,FALSE()),"")</f>
        <v>0.35744680851063831</v>
      </c>
    </row>
    <row r="536" spans="1:18" x14ac:dyDescent="0.3">
      <c r="A536" s="22" t="s">
        <v>1499</v>
      </c>
      <c r="B536" s="23">
        <v>45539</v>
      </c>
      <c r="C536" s="22" t="s">
        <v>1243</v>
      </c>
      <c r="D536" s="22" t="s">
        <v>488</v>
      </c>
      <c r="E536" s="22" t="s">
        <v>1500</v>
      </c>
      <c r="F536" s="24">
        <v>6</v>
      </c>
      <c r="G536" s="24">
        <v>2290</v>
      </c>
      <c r="H536" s="24">
        <v>8.9</v>
      </c>
      <c r="I536" s="24">
        <v>12517.14</v>
      </c>
      <c r="J536" s="22" t="s">
        <v>104</v>
      </c>
      <c r="K536" s="22" t="s">
        <v>134</v>
      </c>
      <c r="L536" t="str">
        <f>VLOOKUP(D536,Products!A:F,3,FALSE())</f>
        <v>Beauty</v>
      </c>
      <c r="M536" t="str">
        <f>VLOOKUP(C536,Customers!A:F,5,FALSE())</f>
        <v>Retail</v>
      </c>
      <c r="O536" t="str">
        <f>IFERROR(VLOOKUP(E536,Sales_Reps!$A:$C,3,FALSE()),"")</f>
        <v/>
      </c>
      <c r="P536">
        <f>IFERROR(VLOOKUP(C536,Customers!$A:$C,3,FALSE()),"")</f>
        <v>52</v>
      </c>
      <c r="Q536" t="str">
        <f t="shared" si="8"/>
        <v>Sep-24</v>
      </c>
      <c r="R536">
        <f>IFERROR((VLOOKUP(D536,Products!$A:$E,5,FALSE())-VLOOKUP(D536,Products!$A:$E,4,FALSE()))/VLOOKUP(D536,Products!$A:$E,5,FALSE()),"")</f>
        <v>0.46768558951965067</v>
      </c>
    </row>
    <row r="537" spans="1:18" x14ac:dyDescent="0.3">
      <c r="A537" s="22" t="s">
        <v>1501</v>
      </c>
      <c r="B537" s="23">
        <v>45468</v>
      </c>
      <c r="C537" s="22" t="s">
        <v>604</v>
      </c>
      <c r="D537" s="22" t="s">
        <v>459</v>
      </c>
      <c r="E537" s="22" t="s">
        <v>1502</v>
      </c>
      <c r="F537" s="24">
        <v>3</v>
      </c>
      <c r="G537" s="24">
        <v>2380</v>
      </c>
      <c r="H537" s="24">
        <v>2.7</v>
      </c>
      <c r="I537" s="24">
        <v>6947.22</v>
      </c>
      <c r="J537" s="22" t="s">
        <v>110</v>
      </c>
      <c r="K537" s="22" t="s">
        <v>105</v>
      </c>
      <c r="L537" t="str">
        <f>VLOOKUP(D537,Products!A:F,3,FALSE())</f>
        <v>Grocery</v>
      </c>
      <c r="M537" t="str">
        <f>VLOOKUP(C537,Customers!A:F,5,FALSE())</f>
        <v>Corporate</v>
      </c>
      <c r="O537" t="str">
        <f>IFERROR(VLOOKUP(E537,Sales_Reps!$A:$C,3,FALSE()),"")</f>
        <v/>
      </c>
      <c r="P537">
        <f>IFERROR(VLOOKUP(C537,Customers!$A:$C,3,FALSE()),"")</f>
        <v>37</v>
      </c>
      <c r="Q537" t="str">
        <f t="shared" si="8"/>
        <v>Jun-24</v>
      </c>
      <c r="R537">
        <f>IFERROR((VLOOKUP(D537,Products!$A:$E,5,FALSE())-VLOOKUP(D537,Products!$A:$E,4,FALSE()))/VLOOKUP(D537,Products!$A:$E,5,FALSE()),"")</f>
        <v>0.50336134453781511</v>
      </c>
    </row>
    <row r="538" spans="1:18" x14ac:dyDescent="0.3">
      <c r="A538" s="22" t="s">
        <v>1503</v>
      </c>
      <c r="B538" s="23">
        <v>45485</v>
      </c>
      <c r="C538" s="22" t="s">
        <v>1056</v>
      </c>
      <c r="D538" s="22" t="s">
        <v>459</v>
      </c>
      <c r="E538" s="22" t="s">
        <v>1504</v>
      </c>
      <c r="F538" s="24">
        <v>9</v>
      </c>
      <c r="G538" s="24">
        <v>2380</v>
      </c>
      <c r="H538" s="24">
        <v>20.100000000000001</v>
      </c>
      <c r="I538" s="24">
        <v>17114.580000000002</v>
      </c>
      <c r="J538" s="22" t="s">
        <v>104</v>
      </c>
      <c r="K538" s="22" t="s">
        <v>129</v>
      </c>
      <c r="L538" t="str">
        <f>VLOOKUP(D538,Products!A:F,3,FALSE())</f>
        <v>Grocery</v>
      </c>
      <c r="M538" t="str">
        <f>VLOOKUP(C538,Customers!A:F,5,FALSE())</f>
        <v>Retail</v>
      </c>
      <c r="O538" t="str">
        <f>IFERROR(VLOOKUP(E538,Sales_Reps!$A:$C,3,FALSE()),"")</f>
        <v/>
      </c>
      <c r="P538">
        <f>IFERROR(VLOOKUP(C538,Customers!$A:$C,3,FALSE()),"")</f>
        <v>56</v>
      </c>
      <c r="Q538" t="str">
        <f t="shared" si="8"/>
        <v>Jul-24</v>
      </c>
      <c r="R538">
        <f>IFERROR((VLOOKUP(D538,Products!$A:$E,5,FALSE())-VLOOKUP(D538,Products!$A:$E,4,FALSE()))/VLOOKUP(D538,Products!$A:$E,5,FALSE()),"")</f>
        <v>0.50336134453781511</v>
      </c>
    </row>
    <row r="539" spans="1:18" x14ac:dyDescent="0.3">
      <c r="A539" s="22" t="s">
        <v>1505</v>
      </c>
      <c r="B539" s="23">
        <v>45303</v>
      </c>
      <c r="C539" s="22" t="s">
        <v>778</v>
      </c>
      <c r="D539" s="22" t="s">
        <v>449</v>
      </c>
      <c r="E539" s="22" t="s">
        <v>1506</v>
      </c>
      <c r="F539" s="24">
        <v>8</v>
      </c>
      <c r="G539" s="24">
        <v>5410</v>
      </c>
      <c r="H539" s="24">
        <v>11.2</v>
      </c>
      <c r="I539" s="24">
        <v>38432.639999999999</v>
      </c>
      <c r="J539" s="22" t="s">
        <v>104</v>
      </c>
      <c r="K539" s="22" t="s">
        <v>134</v>
      </c>
      <c r="L539" t="str">
        <f>VLOOKUP(D539,Products!A:F,3,FALSE())</f>
        <v>Sports</v>
      </c>
      <c r="M539" t="str">
        <f>VLOOKUP(C539,Customers!A:F,5,FALSE())</f>
        <v>Corporate</v>
      </c>
      <c r="O539" t="str">
        <f>IFERROR(VLOOKUP(E539,Sales_Reps!$A:$C,3,FALSE()),"")</f>
        <v/>
      </c>
      <c r="P539">
        <f>IFERROR(VLOOKUP(C539,Customers!$A:$C,3,FALSE()),"")</f>
        <v>41</v>
      </c>
      <c r="Q539" t="str">
        <f t="shared" si="8"/>
        <v>Jan-24</v>
      </c>
      <c r="R539">
        <f>IFERROR((VLOOKUP(D539,Products!$A:$E,5,FALSE())-VLOOKUP(D539,Products!$A:$E,4,FALSE()))/VLOOKUP(D539,Products!$A:$E,5,FALSE()),"")</f>
        <v>0.58133086876155271</v>
      </c>
    </row>
    <row r="540" spans="1:18" x14ac:dyDescent="0.3">
      <c r="A540" s="22" t="s">
        <v>1507</v>
      </c>
      <c r="B540" s="23">
        <v>45605</v>
      </c>
      <c r="C540" s="22" t="s">
        <v>1508</v>
      </c>
      <c r="D540" s="22" t="s">
        <v>137</v>
      </c>
      <c r="E540" s="22" t="s">
        <v>1509</v>
      </c>
      <c r="F540" s="24">
        <v>1</v>
      </c>
      <c r="G540" s="24">
        <v>1430</v>
      </c>
      <c r="H540" s="24">
        <v>19.600000000000001</v>
      </c>
      <c r="I540" s="24">
        <v>1149.72</v>
      </c>
      <c r="J540" s="22" t="s">
        <v>104</v>
      </c>
      <c r="K540" s="22" t="s">
        <v>134</v>
      </c>
      <c r="L540" t="str">
        <f>VLOOKUP(D540,Products!A:F,3,FALSE())</f>
        <v>Electronics</v>
      </c>
      <c r="M540" t="str">
        <f>VLOOKUP(C540,Customers!A:F,5,FALSE())</f>
        <v>SMB</v>
      </c>
      <c r="O540" t="str">
        <f>IFERROR(VLOOKUP(E540,Sales_Reps!$A:$C,3,FALSE()),"")</f>
        <v/>
      </c>
      <c r="P540">
        <f>IFERROR(VLOOKUP(C540,Customers!$A:$C,3,FALSE()),"")</f>
        <v>36</v>
      </c>
      <c r="Q540" t="str">
        <f t="shared" si="8"/>
        <v>Nov-24</v>
      </c>
      <c r="R540">
        <f>IFERROR((VLOOKUP(D540,Products!$A:$E,5,FALSE())-VLOOKUP(D540,Products!$A:$E,4,FALSE()))/VLOOKUP(D540,Products!$A:$E,5,FALSE()),"")</f>
        <v>0.39790209790209791</v>
      </c>
    </row>
    <row r="541" spans="1:18" x14ac:dyDescent="0.3">
      <c r="A541" s="22" t="s">
        <v>1510</v>
      </c>
      <c r="B541" s="23">
        <v>45421</v>
      </c>
      <c r="C541" s="22" t="s">
        <v>1306</v>
      </c>
      <c r="D541" s="22" t="s">
        <v>171</v>
      </c>
      <c r="E541" s="22" t="s">
        <v>1511</v>
      </c>
      <c r="F541" s="24">
        <v>9</v>
      </c>
      <c r="G541" s="24">
        <v>2400</v>
      </c>
      <c r="H541" s="24">
        <v>5</v>
      </c>
      <c r="I541" s="24">
        <v>20520</v>
      </c>
      <c r="J541" s="22" t="s">
        <v>104</v>
      </c>
      <c r="K541" s="22" t="s">
        <v>134</v>
      </c>
      <c r="L541" t="str">
        <f>VLOOKUP(D541,Products!A:F,3,FALSE())</f>
        <v>Sports</v>
      </c>
      <c r="M541" t="str">
        <f>VLOOKUP(C541,Customers!A:F,5,FALSE())</f>
        <v>Retail</v>
      </c>
      <c r="O541" t="str">
        <f>IFERROR(VLOOKUP(E541,Sales_Reps!$A:$C,3,FALSE()),"")</f>
        <v/>
      </c>
      <c r="P541">
        <f>IFERROR(VLOOKUP(C541,Customers!$A:$C,3,FALSE()),"")</f>
        <v>47</v>
      </c>
      <c r="Q541" t="str">
        <f t="shared" si="8"/>
        <v>May-24</v>
      </c>
      <c r="R541">
        <f>IFERROR((VLOOKUP(D541,Products!$A:$E,5,FALSE())-VLOOKUP(D541,Products!$A:$E,4,FALSE()))/VLOOKUP(D541,Products!$A:$E,5,FALSE()),"")</f>
        <v>0.59416666666666662</v>
      </c>
    </row>
    <row r="542" spans="1:18" x14ac:dyDescent="0.3">
      <c r="A542" s="22" t="s">
        <v>1512</v>
      </c>
      <c r="B542" s="23">
        <v>45493</v>
      </c>
      <c r="C542" s="22" t="s">
        <v>1513</v>
      </c>
      <c r="D542" s="22" t="s">
        <v>275</v>
      </c>
      <c r="E542" s="22" t="s">
        <v>1514</v>
      </c>
      <c r="F542" s="24">
        <v>1</v>
      </c>
      <c r="G542" s="24">
        <v>3780</v>
      </c>
      <c r="H542" s="24">
        <v>4.7</v>
      </c>
      <c r="I542" s="24">
        <v>3602.34</v>
      </c>
      <c r="J542" s="22" t="s">
        <v>104</v>
      </c>
      <c r="K542" s="22" t="s">
        <v>111</v>
      </c>
      <c r="L542" t="str">
        <f>VLOOKUP(D542,Products!A:F,3,FALSE())</f>
        <v>Grocery</v>
      </c>
      <c r="M542" t="str">
        <f>VLOOKUP(C542,Customers!A:F,5,FALSE())</f>
        <v>Corporate</v>
      </c>
      <c r="O542" t="str">
        <f>IFERROR(VLOOKUP(E542,Sales_Reps!$A:$C,3,FALSE()),"")</f>
        <v/>
      </c>
      <c r="P542">
        <f>IFERROR(VLOOKUP(C542,Customers!$A:$C,3,FALSE()),"")</f>
        <v>52</v>
      </c>
      <c r="Q542" t="str">
        <f t="shared" si="8"/>
        <v>Jul-24</v>
      </c>
      <c r="R542">
        <f>IFERROR((VLOOKUP(D542,Products!$A:$E,5,FALSE())-VLOOKUP(D542,Products!$A:$E,4,FALSE()))/VLOOKUP(D542,Products!$A:$E,5,FALSE()),"")</f>
        <v>0.35555555555555557</v>
      </c>
    </row>
    <row r="543" spans="1:18" x14ac:dyDescent="0.3">
      <c r="A543" s="22" t="s">
        <v>1515</v>
      </c>
      <c r="B543" s="23">
        <v>45592</v>
      </c>
      <c r="C543" s="22" t="s">
        <v>1319</v>
      </c>
      <c r="D543" s="22" t="s">
        <v>352</v>
      </c>
      <c r="E543" s="22" t="s">
        <v>1516</v>
      </c>
      <c r="F543" s="24">
        <v>2</v>
      </c>
      <c r="G543" s="24">
        <v>620</v>
      </c>
      <c r="H543" s="24">
        <v>8</v>
      </c>
      <c r="I543" s="24">
        <v>1140.8</v>
      </c>
      <c r="J543" s="22" t="s">
        <v>104</v>
      </c>
      <c r="K543" s="22" t="s">
        <v>129</v>
      </c>
      <c r="L543" t="str">
        <f>VLOOKUP(D543,Products!A:F,3,FALSE())</f>
        <v>Apparel</v>
      </c>
      <c r="M543" t="str">
        <f>VLOOKUP(C543,Customers!A:F,5,FALSE())</f>
        <v>Corporate</v>
      </c>
      <c r="O543" t="str">
        <f>IFERROR(VLOOKUP(E543,Sales_Reps!$A:$C,3,FALSE()),"")</f>
        <v/>
      </c>
      <c r="P543">
        <f>IFERROR(VLOOKUP(C543,Customers!$A:$C,3,FALSE()),"")</f>
        <v>62</v>
      </c>
      <c r="Q543" t="str">
        <f t="shared" si="8"/>
        <v>Oct-24</v>
      </c>
      <c r="R543">
        <f>IFERROR((VLOOKUP(D543,Products!$A:$E,5,FALSE())-VLOOKUP(D543,Products!$A:$E,4,FALSE()))/VLOOKUP(D543,Products!$A:$E,5,FALSE()),"")</f>
        <v>0.36129032258064514</v>
      </c>
    </row>
    <row r="544" spans="1:18" x14ac:dyDescent="0.3">
      <c r="A544" s="22" t="s">
        <v>1517</v>
      </c>
      <c r="B544" s="23">
        <v>45379</v>
      </c>
      <c r="C544" s="22" t="s">
        <v>897</v>
      </c>
      <c r="D544" s="22" t="s">
        <v>167</v>
      </c>
      <c r="E544" s="22" t="s">
        <v>1518</v>
      </c>
      <c r="F544" s="24">
        <v>3</v>
      </c>
      <c r="G544" s="24">
        <v>190</v>
      </c>
      <c r="H544" s="24">
        <v>17.899999999999999</v>
      </c>
      <c r="I544" s="24">
        <v>467.97</v>
      </c>
      <c r="J544" s="22" t="s">
        <v>110</v>
      </c>
      <c r="K544" s="22" t="s">
        <v>116</v>
      </c>
      <c r="L544" t="str">
        <f>VLOOKUP(D544,Products!A:F,3,FALSE())</f>
        <v>Sports</v>
      </c>
      <c r="M544" t="str">
        <f>VLOOKUP(C544,Customers!A:F,5,FALSE())</f>
        <v>Retail</v>
      </c>
      <c r="O544" t="str">
        <f>IFERROR(VLOOKUP(E544,Sales_Reps!$A:$C,3,FALSE()),"")</f>
        <v/>
      </c>
      <c r="P544">
        <f>IFERROR(VLOOKUP(C544,Customers!$A:$C,3,FALSE()),"")</f>
        <v>43</v>
      </c>
      <c r="Q544" t="str">
        <f t="shared" si="8"/>
        <v>Mar-24</v>
      </c>
      <c r="R544">
        <f>IFERROR((VLOOKUP(D544,Products!$A:$E,5,FALSE())-VLOOKUP(D544,Products!$A:$E,4,FALSE()))/VLOOKUP(D544,Products!$A:$E,5,FALSE()),"")</f>
        <v>0.22631578947368422</v>
      </c>
    </row>
    <row r="545" spans="1:18" x14ac:dyDescent="0.3">
      <c r="A545" s="22" t="s">
        <v>1519</v>
      </c>
      <c r="B545" s="23">
        <v>45332</v>
      </c>
      <c r="C545" s="22" t="s">
        <v>1520</v>
      </c>
      <c r="D545" s="22" t="s">
        <v>102</v>
      </c>
      <c r="E545" s="22" t="s">
        <v>1521</v>
      </c>
      <c r="F545" s="24">
        <v>2</v>
      </c>
      <c r="G545" s="24">
        <v>3620</v>
      </c>
      <c r="H545" s="24">
        <v>15.5</v>
      </c>
      <c r="I545" s="24">
        <v>6117.8</v>
      </c>
      <c r="J545" s="22" t="s">
        <v>104</v>
      </c>
      <c r="K545" s="22" t="s">
        <v>134</v>
      </c>
      <c r="L545" t="str">
        <f>VLOOKUP(D545,Products!A:F,3,FALSE())</f>
        <v>Apparel</v>
      </c>
      <c r="M545" t="str">
        <f>VLOOKUP(C545,Customers!A:F,5,FALSE())</f>
        <v>Retail</v>
      </c>
      <c r="O545" t="str">
        <f>IFERROR(VLOOKUP(E545,Sales_Reps!$A:$C,3,FALSE()),"")</f>
        <v/>
      </c>
      <c r="P545">
        <f>IFERROR(VLOOKUP(C545,Customers!$A:$C,3,FALSE()),"")</f>
        <v>61</v>
      </c>
      <c r="Q545" t="str">
        <f t="shared" si="8"/>
        <v>Feb-24</v>
      </c>
      <c r="R545">
        <f>IFERROR((VLOOKUP(D545,Products!$A:$E,5,FALSE())-VLOOKUP(D545,Products!$A:$E,4,FALSE()))/VLOOKUP(D545,Products!$A:$E,5,FALSE()),"")</f>
        <v>0.3069060773480663</v>
      </c>
    </row>
    <row r="546" spans="1:18" x14ac:dyDescent="0.3">
      <c r="A546" s="22" t="s">
        <v>1522</v>
      </c>
      <c r="B546" s="23">
        <v>45610</v>
      </c>
      <c r="C546" s="22" t="s">
        <v>219</v>
      </c>
      <c r="D546" s="22" t="s">
        <v>224</v>
      </c>
      <c r="E546" s="22" t="s">
        <v>1523</v>
      </c>
      <c r="F546" s="24">
        <v>5</v>
      </c>
      <c r="G546" s="24">
        <v>2860</v>
      </c>
      <c r="H546" s="24">
        <v>26.8</v>
      </c>
      <c r="I546" s="24">
        <v>10467.6</v>
      </c>
      <c r="J546" s="22" t="s">
        <v>104</v>
      </c>
      <c r="K546" s="22" t="s">
        <v>151</v>
      </c>
      <c r="L546" t="str">
        <f>VLOOKUP(D546,Products!A:F,3,FALSE())</f>
        <v>Sports</v>
      </c>
      <c r="M546" t="str">
        <f>VLOOKUP(C546,Customers!A:F,5,FALSE())</f>
        <v>Corporate</v>
      </c>
      <c r="O546" t="str">
        <f>IFERROR(VLOOKUP(E546,Sales_Reps!$A:$C,3,FALSE()),"")</f>
        <v/>
      </c>
      <c r="P546">
        <f>IFERROR(VLOOKUP(C546,Customers!$A:$C,3,FALSE()),"")</f>
        <v>56</v>
      </c>
      <c r="Q546" t="str">
        <f t="shared" si="8"/>
        <v>Nov-24</v>
      </c>
      <c r="R546">
        <f>IFERROR((VLOOKUP(D546,Products!$A:$E,5,FALSE())-VLOOKUP(D546,Products!$A:$E,4,FALSE()))/VLOOKUP(D546,Products!$A:$E,5,FALSE()),"")</f>
        <v>0.29090909090909089</v>
      </c>
    </row>
    <row r="547" spans="1:18" x14ac:dyDescent="0.3">
      <c r="A547" s="22" t="s">
        <v>1524</v>
      </c>
      <c r="B547" s="23">
        <v>45638</v>
      </c>
      <c r="C547" s="22" t="s">
        <v>1375</v>
      </c>
      <c r="D547" s="22" t="s">
        <v>171</v>
      </c>
      <c r="E547" s="22" t="s">
        <v>1525</v>
      </c>
      <c r="F547" s="24">
        <v>6</v>
      </c>
      <c r="G547" s="24">
        <v>2400</v>
      </c>
      <c r="H547" s="24">
        <v>19.2</v>
      </c>
      <c r="I547" s="24">
        <v>11635.2</v>
      </c>
      <c r="J547" s="22" t="s">
        <v>159</v>
      </c>
      <c r="K547" s="22" t="s">
        <v>116</v>
      </c>
      <c r="L547" t="str">
        <f>VLOOKUP(D547,Products!A:F,3,FALSE())</f>
        <v>Sports</v>
      </c>
      <c r="M547" t="str">
        <f>VLOOKUP(C547,Customers!A:F,5,FALSE())</f>
        <v>Retail</v>
      </c>
      <c r="O547" t="str">
        <f>IFERROR(VLOOKUP(E547,Sales_Reps!$A:$C,3,FALSE()),"")</f>
        <v/>
      </c>
      <c r="P547">
        <f>IFERROR(VLOOKUP(C547,Customers!$A:$C,3,FALSE()),"")</f>
        <v>55</v>
      </c>
      <c r="Q547" t="str">
        <f t="shared" si="8"/>
        <v>Dec-24</v>
      </c>
      <c r="R547">
        <f>IFERROR((VLOOKUP(D547,Products!$A:$E,5,FALSE())-VLOOKUP(D547,Products!$A:$E,4,FALSE()))/VLOOKUP(D547,Products!$A:$E,5,FALSE()),"")</f>
        <v>0.59416666666666662</v>
      </c>
    </row>
    <row r="548" spans="1:18" x14ac:dyDescent="0.3">
      <c r="A548" s="22" t="s">
        <v>1526</v>
      </c>
      <c r="B548" s="23">
        <v>45546</v>
      </c>
      <c r="C548" s="22" t="s">
        <v>850</v>
      </c>
      <c r="D548" s="22" t="s">
        <v>577</v>
      </c>
      <c r="E548" s="22" t="s">
        <v>1527</v>
      </c>
      <c r="F548" s="24">
        <v>7</v>
      </c>
      <c r="G548" s="24">
        <v>5080</v>
      </c>
      <c r="H548" s="24">
        <v>16.600000000000001</v>
      </c>
      <c r="I548" s="24">
        <v>29657.040000000001</v>
      </c>
      <c r="J548" s="22" t="s">
        <v>110</v>
      </c>
      <c r="K548" s="22" t="s">
        <v>134</v>
      </c>
      <c r="L548" t="str">
        <f>VLOOKUP(D548,Products!A:F,3,FALSE())</f>
        <v>Home</v>
      </c>
      <c r="M548" t="str">
        <f>VLOOKUP(C548,Customers!A:F,5,FALSE())</f>
        <v>SMB</v>
      </c>
      <c r="O548" t="str">
        <f>IFERROR(VLOOKUP(E548,Sales_Reps!$A:$C,3,FALSE()),"")</f>
        <v/>
      </c>
      <c r="P548">
        <f>IFERROR(VLOOKUP(C548,Customers!$A:$C,3,FALSE()),"")</f>
        <v>42</v>
      </c>
      <c r="Q548" t="str">
        <f t="shared" si="8"/>
        <v>Sep-24</v>
      </c>
      <c r="R548">
        <f>IFERROR((VLOOKUP(D548,Products!$A:$E,5,FALSE())-VLOOKUP(D548,Products!$A:$E,4,FALSE()))/VLOOKUP(D548,Products!$A:$E,5,FALSE()),"")</f>
        <v>0.51594488188976373</v>
      </c>
    </row>
    <row r="549" spans="1:18" x14ac:dyDescent="0.3">
      <c r="A549" s="22" t="s">
        <v>1528</v>
      </c>
      <c r="B549" s="23">
        <v>45436</v>
      </c>
      <c r="C549" s="22" t="s">
        <v>177</v>
      </c>
      <c r="D549" s="22" t="s">
        <v>577</v>
      </c>
      <c r="E549" s="22" t="s">
        <v>1529</v>
      </c>
      <c r="F549" s="24">
        <v>10</v>
      </c>
      <c r="G549" s="24">
        <v>5080</v>
      </c>
      <c r="H549" s="24">
        <v>24.6</v>
      </c>
      <c r="I549" s="24">
        <v>38303.199999999997</v>
      </c>
      <c r="J549" s="22" t="s">
        <v>104</v>
      </c>
      <c r="K549" s="22" t="s">
        <v>151</v>
      </c>
      <c r="L549" t="str">
        <f>VLOOKUP(D549,Products!A:F,3,FALSE())</f>
        <v>Home</v>
      </c>
      <c r="M549" t="str">
        <f>VLOOKUP(C549,Customers!A:F,5,FALSE())</f>
        <v>Corporate</v>
      </c>
      <c r="O549" t="str">
        <f>IFERROR(VLOOKUP(E549,Sales_Reps!$A:$C,3,FALSE()),"")</f>
        <v/>
      </c>
      <c r="P549">
        <f>IFERROR(VLOOKUP(C549,Customers!$A:$C,3,FALSE()),"")</f>
        <v>32</v>
      </c>
      <c r="Q549" t="str">
        <f t="shared" si="8"/>
        <v>May-24</v>
      </c>
      <c r="R549">
        <f>IFERROR((VLOOKUP(D549,Products!$A:$E,5,FALSE())-VLOOKUP(D549,Products!$A:$E,4,FALSE()))/VLOOKUP(D549,Products!$A:$E,5,FALSE()),"")</f>
        <v>0.51594488188976373</v>
      </c>
    </row>
    <row r="550" spans="1:18" x14ac:dyDescent="0.3">
      <c r="A550" s="22" t="s">
        <v>1530</v>
      </c>
      <c r="B550" s="23">
        <v>45532</v>
      </c>
      <c r="C550" s="22" t="s">
        <v>1466</v>
      </c>
      <c r="D550" s="22" t="s">
        <v>132</v>
      </c>
      <c r="E550" s="22" t="s">
        <v>1531</v>
      </c>
      <c r="F550" s="24">
        <v>7</v>
      </c>
      <c r="G550" s="24">
        <v>960</v>
      </c>
      <c r="H550" s="24">
        <v>16.600000000000001</v>
      </c>
      <c r="I550" s="24">
        <v>5604.48</v>
      </c>
      <c r="J550" s="22" t="s">
        <v>104</v>
      </c>
      <c r="K550" s="22" t="s">
        <v>129</v>
      </c>
      <c r="L550" t="str">
        <f>VLOOKUP(D550,Products!A:F,3,FALSE())</f>
        <v>Sports</v>
      </c>
      <c r="M550" t="str">
        <f>VLOOKUP(C550,Customers!A:F,5,FALSE())</f>
        <v>SMB</v>
      </c>
      <c r="O550" t="str">
        <f>IFERROR(VLOOKUP(E550,Sales_Reps!$A:$C,3,FALSE()),"")</f>
        <v/>
      </c>
      <c r="P550">
        <f>IFERROR(VLOOKUP(C550,Customers!$A:$C,3,FALSE()),"")</f>
        <v>65</v>
      </c>
      <c r="Q550" t="str">
        <f t="shared" si="8"/>
        <v>Aug-24</v>
      </c>
      <c r="R550">
        <f>IFERROR((VLOOKUP(D550,Products!$A:$E,5,FALSE())-VLOOKUP(D550,Products!$A:$E,4,FALSE()))/VLOOKUP(D550,Products!$A:$E,5,FALSE()),"")</f>
        <v>0.265625</v>
      </c>
    </row>
    <row r="551" spans="1:18" x14ac:dyDescent="0.3">
      <c r="A551" s="22" t="s">
        <v>1532</v>
      </c>
      <c r="B551" s="23">
        <v>45568</v>
      </c>
      <c r="C551" s="22" t="s">
        <v>318</v>
      </c>
      <c r="D551" s="22" t="s">
        <v>119</v>
      </c>
      <c r="E551" s="22" t="s">
        <v>1533</v>
      </c>
      <c r="F551" s="24">
        <v>3</v>
      </c>
      <c r="G551" s="24">
        <v>3660</v>
      </c>
      <c r="H551" s="24">
        <v>3.2</v>
      </c>
      <c r="I551" s="24">
        <v>10628.64</v>
      </c>
      <c r="J551" s="22" t="s">
        <v>110</v>
      </c>
      <c r="K551" s="22" t="s">
        <v>116</v>
      </c>
      <c r="L551" t="str">
        <f>VLOOKUP(D551,Products!A:F,3,FALSE())</f>
        <v>Grocery</v>
      </c>
      <c r="M551" t="str">
        <f>VLOOKUP(C551,Customers!A:F,5,FALSE())</f>
        <v>Corporate</v>
      </c>
      <c r="O551" t="str">
        <f>IFERROR(VLOOKUP(E551,Sales_Reps!$A:$C,3,FALSE()),"")</f>
        <v/>
      </c>
      <c r="P551">
        <f>IFERROR(VLOOKUP(C551,Customers!$A:$C,3,FALSE()),"")</f>
        <v>55</v>
      </c>
      <c r="Q551" t="str">
        <f t="shared" si="8"/>
        <v>Oct-24</v>
      </c>
      <c r="R551">
        <f>IFERROR((VLOOKUP(D551,Products!$A:$E,5,FALSE())-VLOOKUP(D551,Products!$A:$E,4,FALSE()))/VLOOKUP(D551,Products!$A:$E,5,FALSE()),"")</f>
        <v>0.39508196721311473</v>
      </c>
    </row>
    <row r="552" spans="1:18" x14ac:dyDescent="0.3">
      <c r="A552" s="22" t="s">
        <v>1534</v>
      </c>
      <c r="B552" s="23">
        <v>45572</v>
      </c>
      <c r="C552" s="22" t="s">
        <v>227</v>
      </c>
      <c r="D552" s="22" t="s">
        <v>153</v>
      </c>
      <c r="E552" s="22" t="s">
        <v>1535</v>
      </c>
      <c r="F552" s="24">
        <v>6</v>
      </c>
      <c r="G552" s="24">
        <v>2640</v>
      </c>
      <c r="H552" s="24">
        <v>26.3</v>
      </c>
      <c r="I552" s="24">
        <v>11674.08</v>
      </c>
      <c r="J552" s="22" t="s">
        <v>104</v>
      </c>
      <c r="K552" s="22" t="s">
        <v>105</v>
      </c>
      <c r="L552" t="str">
        <f>VLOOKUP(D552,Products!A:F,3,FALSE())</f>
        <v>Electronics</v>
      </c>
      <c r="M552" t="str">
        <f>VLOOKUP(C552,Customers!A:F,5,FALSE())</f>
        <v>Corporate</v>
      </c>
      <c r="O552" t="str">
        <f>IFERROR(VLOOKUP(E552,Sales_Reps!$A:$C,3,FALSE()),"")</f>
        <v/>
      </c>
      <c r="P552">
        <f>IFERROR(VLOOKUP(C552,Customers!$A:$C,3,FALSE()),"")</f>
        <v>47</v>
      </c>
      <c r="Q552" t="str">
        <f t="shared" si="8"/>
        <v>Oct-24</v>
      </c>
      <c r="R552">
        <f>IFERROR((VLOOKUP(D552,Products!$A:$E,5,FALSE())-VLOOKUP(D552,Products!$A:$E,4,FALSE()))/VLOOKUP(D552,Products!$A:$E,5,FALSE()),"")</f>
        <v>0.56477272727272732</v>
      </c>
    </row>
    <row r="553" spans="1:18" x14ac:dyDescent="0.3">
      <c r="A553" s="22" t="s">
        <v>1536</v>
      </c>
      <c r="B553" s="23">
        <v>45562</v>
      </c>
      <c r="C553" s="22" t="s">
        <v>548</v>
      </c>
      <c r="D553" s="22" t="s">
        <v>319</v>
      </c>
      <c r="E553" s="22" t="s">
        <v>1537</v>
      </c>
      <c r="F553" s="24">
        <v>6</v>
      </c>
      <c r="G553" s="24">
        <v>1220</v>
      </c>
      <c r="H553" s="24">
        <v>22.3</v>
      </c>
      <c r="I553" s="24">
        <v>5687.64</v>
      </c>
      <c r="J553" s="22" t="s">
        <v>159</v>
      </c>
      <c r="K553" s="22" t="s">
        <v>111</v>
      </c>
      <c r="L553" t="str">
        <f>VLOOKUP(D553,Products!A:F,3,FALSE())</f>
        <v>Electronics</v>
      </c>
      <c r="M553" t="str">
        <f>VLOOKUP(C553,Customers!A:F,5,FALSE())</f>
        <v>SMB</v>
      </c>
      <c r="O553" t="str">
        <f>IFERROR(VLOOKUP(E553,Sales_Reps!$A:$C,3,FALSE()),"")</f>
        <v/>
      </c>
      <c r="P553">
        <f>IFERROR(VLOOKUP(C553,Customers!$A:$C,3,FALSE()),"")</f>
        <v>64</v>
      </c>
      <c r="Q553" t="str">
        <f t="shared" si="8"/>
        <v>Sep-24</v>
      </c>
      <c r="R553">
        <f>IFERROR((VLOOKUP(D553,Products!$A:$E,5,FALSE())-VLOOKUP(D553,Products!$A:$E,4,FALSE()))/VLOOKUP(D553,Products!$A:$E,5,FALSE()),"")</f>
        <v>0.57622950819672136</v>
      </c>
    </row>
    <row r="554" spans="1:18" x14ac:dyDescent="0.3">
      <c r="A554" s="22" t="s">
        <v>1538</v>
      </c>
      <c r="B554" s="23">
        <v>45345</v>
      </c>
      <c r="C554" s="22" t="s">
        <v>1539</v>
      </c>
      <c r="D554" s="22" t="s">
        <v>338</v>
      </c>
      <c r="E554" s="22" t="s">
        <v>1540</v>
      </c>
      <c r="F554" s="24">
        <v>1</v>
      </c>
      <c r="G554" s="24">
        <v>300</v>
      </c>
      <c r="H554" s="24">
        <v>0.7</v>
      </c>
      <c r="I554" s="24">
        <v>297.89999999999998</v>
      </c>
      <c r="J554" s="22" t="s">
        <v>104</v>
      </c>
      <c r="K554" s="22" t="s">
        <v>134</v>
      </c>
      <c r="L554" t="str">
        <f>VLOOKUP(D554,Products!A:F,3,FALSE())</f>
        <v>Electronics</v>
      </c>
      <c r="M554" t="str">
        <f>VLOOKUP(C554,Customers!A:F,5,FALSE())</f>
        <v>Retail</v>
      </c>
      <c r="O554" t="str">
        <f>IFERROR(VLOOKUP(E554,Sales_Reps!$A:$C,3,FALSE()),"")</f>
        <v/>
      </c>
      <c r="P554">
        <f>IFERROR(VLOOKUP(C554,Customers!$A:$C,3,FALSE()),"")</f>
        <v>27</v>
      </c>
      <c r="Q554" t="str">
        <f t="shared" si="8"/>
        <v>Feb-24</v>
      </c>
      <c r="R554">
        <f>IFERROR((VLOOKUP(D554,Products!$A:$E,5,FALSE())-VLOOKUP(D554,Products!$A:$E,4,FALSE()))/VLOOKUP(D554,Products!$A:$E,5,FALSE()),"")</f>
        <v>0.57333333333333336</v>
      </c>
    </row>
    <row r="555" spans="1:18" x14ac:dyDescent="0.3">
      <c r="A555" s="22" t="s">
        <v>1541</v>
      </c>
      <c r="B555" s="23">
        <v>45370</v>
      </c>
      <c r="C555" s="22" t="s">
        <v>1002</v>
      </c>
      <c r="D555" s="22" t="s">
        <v>209</v>
      </c>
      <c r="E555" s="22" t="s">
        <v>1542</v>
      </c>
      <c r="F555" s="24">
        <v>2</v>
      </c>
      <c r="G555" s="24">
        <v>1010</v>
      </c>
      <c r="H555" s="24">
        <v>28</v>
      </c>
      <c r="I555" s="24">
        <v>1454.4</v>
      </c>
      <c r="J555" s="22" t="s">
        <v>104</v>
      </c>
      <c r="K555" s="22" t="s">
        <v>151</v>
      </c>
      <c r="L555" t="str">
        <f>VLOOKUP(D555,Products!A:F,3,FALSE())</f>
        <v>Sports</v>
      </c>
      <c r="M555" t="str">
        <f>VLOOKUP(C555,Customers!A:F,5,FALSE())</f>
        <v>Retail</v>
      </c>
      <c r="O555" t="str">
        <f>IFERROR(VLOOKUP(E555,Sales_Reps!$A:$C,3,FALSE()),"")</f>
        <v/>
      </c>
      <c r="P555">
        <f>IFERROR(VLOOKUP(C555,Customers!$A:$C,3,FALSE()),"")</f>
        <v>65</v>
      </c>
      <c r="Q555" t="str">
        <f t="shared" si="8"/>
        <v>Mar-24</v>
      </c>
      <c r="R555">
        <f>IFERROR((VLOOKUP(D555,Products!$A:$E,5,FALSE())-VLOOKUP(D555,Products!$A:$E,4,FALSE()))/VLOOKUP(D555,Products!$A:$E,5,FALSE()),"")</f>
        <v>0.4891089108910891</v>
      </c>
    </row>
    <row r="556" spans="1:18" x14ac:dyDescent="0.3">
      <c r="A556" s="22" t="s">
        <v>1543</v>
      </c>
      <c r="B556" s="23">
        <v>45407</v>
      </c>
      <c r="C556" s="22" t="s">
        <v>1544</v>
      </c>
      <c r="D556" s="22" t="s">
        <v>157</v>
      </c>
      <c r="E556" s="22" t="s">
        <v>1545</v>
      </c>
      <c r="F556" s="24">
        <v>5</v>
      </c>
      <c r="G556" s="24">
        <v>2600</v>
      </c>
      <c r="H556" s="24">
        <v>0.8</v>
      </c>
      <c r="I556" s="24">
        <v>12896</v>
      </c>
      <c r="J556" s="22" t="s">
        <v>159</v>
      </c>
      <c r="K556" s="22" t="s">
        <v>116</v>
      </c>
      <c r="L556" t="str">
        <f>VLOOKUP(D556,Products!A:F,3,FALSE())</f>
        <v>Electronics</v>
      </c>
      <c r="M556" t="str">
        <f>VLOOKUP(C556,Customers!A:F,5,FALSE())</f>
        <v>SMB</v>
      </c>
      <c r="O556" t="str">
        <f>IFERROR(VLOOKUP(E556,Sales_Reps!$A:$C,3,FALSE()),"")</f>
        <v/>
      </c>
      <c r="P556">
        <f>IFERROR(VLOOKUP(C556,Customers!$A:$C,3,FALSE()),"")</f>
        <v>45</v>
      </c>
      <c r="Q556" t="str">
        <f t="shared" si="8"/>
        <v>Apr-24</v>
      </c>
      <c r="R556">
        <f>IFERROR((VLOOKUP(D556,Products!$A:$E,5,FALSE())-VLOOKUP(D556,Products!$A:$E,4,FALSE()))/VLOOKUP(D556,Products!$A:$E,5,FALSE()),"")</f>
        <v>0.5953846153846154</v>
      </c>
    </row>
    <row r="557" spans="1:18" x14ac:dyDescent="0.3">
      <c r="A557" s="22" t="s">
        <v>1546</v>
      </c>
      <c r="B557" s="23">
        <v>45337</v>
      </c>
      <c r="C557" s="22" t="s">
        <v>760</v>
      </c>
      <c r="D557" s="22" t="s">
        <v>695</v>
      </c>
      <c r="E557" s="22" t="s">
        <v>1547</v>
      </c>
      <c r="F557" s="24">
        <v>3</v>
      </c>
      <c r="G557" s="24">
        <v>6940</v>
      </c>
      <c r="H557" s="24">
        <v>10.7</v>
      </c>
      <c r="I557" s="24">
        <v>18592.259999999998</v>
      </c>
      <c r="J557" s="22" t="s">
        <v>159</v>
      </c>
      <c r="K557" s="22" t="s">
        <v>129</v>
      </c>
      <c r="L557" t="str">
        <f>VLOOKUP(D557,Products!A:F,3,FALSE())</f>
        <v>Sports</v>
      </c>
      <c r="M557" t="str">
        <f>VLOOKUP(C557,Customers!A:F,5,FALSE())</f>
        <v>Retail</v>
      </c>
      <c r="O557" t="str">
        <f>IFERROR(VLOOKUP(E557,Sales_Reps!$A:$C,3,FALSE()),"")</f>
        <v/>
      </c>
      <c r="P557">
        <f>IFERROR(VLOOKUP(C557,Customers!$A:$C,3,FALSE()),"")</f>
        <v>37</v>
      </c>
      <c r="Q557" t="str">
        <f t="shared" si="8"/>
        <v>Feb-24</v>
      </c>
      <c r="R557">
        <f>IFERROR((VLOOKUP(D557,Products!$A:$E,5,FALSE())-VLOOKUP(D557,Products!$A:$E,4,FALSE()))/VLOOKUP(D557,Products!$A:$E,5,FALSE()),"")</f>
        <v>0.5926512968299712</v>
      </c>
    </row>
    <row r="558" spans="1:18" x14ac:dyDescent="0.3">
      <c r="A558" s="22" t="s">
        <v>1548</v>
      </c>
      <c r="B558" s="23">
        <v>45571</v>
      </c>
      <c r="C558" s="22" t="s">
        <v>1549</v>
      </c>
      <c r="D558" s="22" t="s">
        <v>127</v>
      </c>
      <c r="E558" s="22" t="s">
        <v>1550</v>
      </c>
      <c r="F558" s="24">
        <v>1</v>
      </c>
      <c r="G558" s="24">
        <v>370</v>
      </c>
      <c r="H558" s="24">
        <v>10.3</v>
      </c>
      <c r="I558" s="24">
        <v>331.89</v>
      </c>
      <c r="J558" s="22" t="s">
        <v>164</v>
      </c>
      <c r="K558" s="22" t="s">
        <v>134</v>
      </c>
      <c r="L558" t="str">
        <f>VLOOKUP(D558,Products!A:F,3,FALSE())</f>
        <v>Home</v>
      </c>
      <c r="M558" t="str">
        <f>VLOOKUP(C558,Customers!A:F,5,FALSE())</f>
        <v>SMB</v>
      </c>
      <c r="O558" t="str">
        <f>IFERROR(VLOOKUP(E558,Sales_Reps!$A:$C,3,FALSE()),"")</f>
        <v/>
      </c>
      <c r="P558">
        <f>IFERROR(VLOOKUP(C558,Customers!$A:$C,3,FALSE()),"")</f>
        <v>44</v>
      </c>
      <c r="Q558" t="str">
        <f t="shared" si="8"/>
        <v>Oct-24</v>
      </c>
      <c r="R558">
        <f>IFERROR((VLOOKUP(D558,Products!$A:$E,5,FALSE())-VLOOKUP(D558,Products!$A:$E,4,FALSE()))/VLOOKUP(D558,Products!$A:$E,5,FALSE()),"")</f>
        <v>0.22162162162162163</v>
      </c>
    </row>
    <row r="559" spans="1:18" x14ac:dyDescent="0.3">
      <c r="A559" s="22" t="s">
        <v>1551</v>
      </c>
      <c r="B559" s="23">
        <v>45357</v>
      </c>
      <c r="C559" s="22" t="s">
        <v>830</v>
      </c>
      <c r="D559" s="22" t="s">
        <v>275</v>
      </c>
      <c r="E559" s="22" t="s">
        <v>1552</v>
      </c>
      <c r="F559" s="24">
        <v>2</v>
      </c>
      <c r="G559" s="24">
        <v>3780</v>
      </c>
      <c r="H559" s="24">
        <v>29.4</v>
      </c>
      <c r="I559" s="24">
        <v>5337.36</v>
      </c>
      <c r="J559" s="22" t="s">
        <v>104</v>
      </c>
      <c r="K559" s="22" t="s">
        <v>129</v>
      </c>
      <c r="L559" t="str">
        <f>VLOOKUP(D559,Products!A:F,3,FALSE())</f>
        <v>Grocery</v>
      </c>
      <c r="M559" t="str">
        <f>VLOOKUP(C559,Customers!A:F,5,FALSE())</f>
        <v>Retail</v>
      </c>
      <c r="O559" t="str">
        <f>IFERROR(VLOOKUP(E559,Sales_Reps!$A:$C,3,FALSE()),"")</f>
        <v/>
      </c>
      <c r="P559">
        <f>IFERROR(VLOOKUP(C559,Customers!$A:$C,3,FALSE()),"")</f>
        <v>39</v>
      </c>
      <c r="Q559" t="str">
        <f t="shared" si="8"/>
        <v>Mar-24</v>
      </c>
      <c r="R559">
        <f>IFERROR((VLOOKUP(D559,Products!$A:$E,5,FALSE())-VLOOKUP(D559,Products!$A:$E,4,FALSE()))/VLOOKUP(D559,Products!$A:$E,5,FALSE()),"")</f>
        <v>0.35555555555555557</v>
      </c>
    </row>
    <row r="560" spans="1:18" x14ac:dyDescent="0.3">
      <c r="A560" s="22" t="s">
        <v>1553</v>
      </c>
      <c r="B560" s="23">
        <v>45432</v>
      </c>
      <c r="C560" s="22" t="s">
        <v>635</v>
      </c>
      <c r="D560" s="22" t="s">
        <v>145</v>
      </c>
      <c r="E560" s="22" t="s">
        <v>1554</v>
      </c>
      <c r="F560" s="24">
        <v>5</v>
      </c>
      <c r="G560" s="24">
        <v>970</v>
      </c>
      <c r="H560" s="24">
        <v>14.6</v>
      </c>
      <c r="I560" s="24">
        <v>4141.8999999999996</v>
      </c>
      <c r="J560" s="22" t="s">
        <v>104</v>
      </c>
      <c r="K560" s="22" t="s">
        <v>105</v>
      </c>
      <c r="L560" t="str">
        <f>VLOOKUP(D560,Products!A:F,3,FALSE())</f>
        <v>Grocery</v>
      </c>
      <c r="M560" t="str">
        <f>VLOOKUP(C560,Customers!A:F,5,FALSE())</f>
        <v>SMB</v>
      </c>
      <c r="O560" t="str">
        <f>IFERROR(VLOOKUP(E560,Sales_Reps!$A:$C,3,FALSE()),"")</f>
        <v/>
      </c>
      <c r="P560">
        <f>IFERROR(VLOOKUP(C560,Customers!$A:$C,3,FALSE()),"")</f>
        <v>49</v>
      </c>
      <c r="Q560" t="str">
        <f t="shared" si="8"/>
        <v>May-24</v>
      </c>
      <c r="R560">
        <f>IFERROR((VLOOKUP(D560,Products!$A:$E,5,FALSE())-VLOOKUP(D560,Products!$A:$E,4,FALSE()))/VLOOKUP(D560,Products!$A:$E,5,FALSE()),"")</f>
        <v>0.5525773195876289</v>
      </c>
    </row>
    <row r="561" spans="1:18" x14ac:dyDescent="0.3">
      <c r="A561" s="22" t="s">
        <v>1555</v>
      </c>
      <c r="B561" s="23">
        <v>45604</v>
      </c>
      <c r="C561" s="22" t="s">
        <v>1154</v>
      </c>
      <c r="D561" s="22" t="s">
        <v>289</v>
      </c>
      <c r="E561" s="22" t="s">
        <v>1556</v>
      </c>
      <c r="F561" s="24">
        <v>3</v>
      </c>
      <c r="G561" s="24">
        <v>2270</v>
      </c>
      <c r="H561" s="24">
        <v>6.5</v>
      </c>
      <c r="I561" s="24">
        <v>6367.35</v>
      </c>
      <c r="J561" s="22" t="s">
        <v>104</v>
      </c>
      <c r="K561" s="22" t="s">
        <v>105</v>
      </c>
      <c r="L561" t="str">
        <f>VLOOKUP(D561,Products!A:F,3,FALSE())</f>
        <v>Grocery</v>
      </c>
      <c r="M561" t="str">
        <f>VLOOKUP(C561,Customers!A:F,5,FALSE())</f>
        <v>Retail</v>
      </c>
      <c r="O561" t="str">
        <f>IFERROR(VLOOKUP(E561,Sales_Reps!$A:$C,3,FALSE()),"")</f>
        <v/>
      </c>
      <c r="P561">
        <f>IFERROR(VLOOKUP(C561,Customers!$A:$C,3,FALSE()),"")</f>
        <v>31</v>
      </c>
      <c r="Q561" t="str">
        <f t="shared" si="8"/>
        <v>Nov-24</v>
      </c>
      <c r="R561">
        <f>IFERROR((VLOOKUP(D561,Products!$A:$E,5,FALSE())-VLOOKUP(D561,Products!$A:$E,4,FALSE()))/VLOOKUP(D561,Products!$A:$E,5,FALSE()),"")</f>
        <v>0.37797356828193834</v>
      </c>
    </row>
    <row r="562" spans="1:18" x14ac:dyDescent="0.3">
      <c r="A562" s="22" t="s">
        <v>1557</v>
      </c>
      <c r="B562" s="23">
        <v>45467</v>
      </c>
      <c r="C562" s="22" t="s">
        <v>1007</v>
      </c>
      <c r="D562" s="22" t="s">
        <v>308</v>
      </c>
      <c r="E562" s="22" t="s">
        <v>1558</v>
      </c>
      <c r="F562" s="24">
        <v>10</v>
      </c>
      <c r="G562" s="24">
        <v>1540</v>
      </c>
      <c r="H562" s="24">
        <v>16.5</v>
      </c>
      <c r="I562" s="24">
        <v>12859</v>
      </c>
      <c r="J562" s="22" t="s">
        <v>104</v>
      </c>
      <c r="K562" s="22" t="s">
        <v>111</v>
      </c>
      <c r="L562" t="str">
        <f>VLOOKUP(D562,Products!A:F,3,FALSE())</f>
        <v>Beauty</v>
      </c>
      <c r="M562" t="str">
        <f>VLOOKUP(C562,Customers!A:F,5,FALSE())</f>
        <v>SMB</v>
      </c>
      <c r="O562" t="str">
        <f>IFERROR(VLOOKUP(E562,Sales_Reps!$A:$C,3,FALSE()),"")</f>
        <v/>
      </c>
      <c r="P562">
        <f>IFERROR(VLOOKUP(C562,Customers!$A:$C,3,FALSE()),"")</f>
        <v>46</v>
      </c>
      <c r="Q562" t="str">
        <f t="shared" si="8"/>
        <v>Jun-24</v>
      </c>
      <c r="R562">
        <f>IFERROR((VLOOKUP(D562,Products!$A:$E,5,FALSE())-VLOOKUP(D562,Products!$A:$E,4,FALSE()))/VLOOKUP(D562,Products!$A:$E,5,FALSE()),"")</f>
        <v>0.57987012987012987</v>
      </c>
    </row>
    <row r="563" spans="1:18" x14ac:dyDescent="0.3">
      <c r="A563" s="22" t="s">
        <v>1559</v>
      </c>
      <c r="B563" s="23">
        <v>45649</v>
      </c>
      <c r="C563" s="22" t="s">
        <v>122</v>
      </c>
      <c r="D563" s="22" t="s">
        <v>231</v>
      </c>
      <c r="E563" s="22" t="s">
        <v>1560</v>
      </c>
      <c r="F563" s="24">
        <v>4</v>
      </c>
      <c r="G563" s="24">
        <v>2760</v>
      </c>
      <c r="H563" s="24">
        <v>19.8</v>
      </c>
      <c r="I563" s="24">
        <v>8854.08</v>
      </c>
      <c r="J563" s="22" t="s">
        <v>104</v>
      </c>
      <c r="K563" s="22" t="s">
        <v>111</v>
      </c>
      <c r="L563" t="str">
        <f>VLOOKUP(D563,Products!A:F,3,FALSE())</f>
        <v>Grocery</v>
      </c>
      <c r="M563" t="str">
        <f>VLOOKUP(C563,Customers!A:F,5,FALSE())</f>
        <v>Retail</v>
      </c>
      <c r="O563" t="str">
        <f>IFERROR(VLOOKUP(E563,Sales_Reps!$A:$C,3,FALSE()),"")</f>
        <v/>
      </c>
      <c r="P563">
        <f>IFERROR(VLOOKUP(C563,Customers!$A:$C,3,FALSE()),"")</f>
        <v>36</v>
      </c>
      <c r="Q563" t="str">
        <f t="shared" si="8"/>
        <v>Dec-24</v>
      </c>
      <c r="R563">
        <f>IFERROR((VLOOKUP(D563,Products!$A:$E,5,FALSE())-VLOOKUP(D563,Products!$A:$E,4,FALSE()))/VLOOKUP(D563,Products!$A:$E,5,FALSE()),"")</f>
        <v>0.48007246376811596</v>
      </c>
    </row>
    <row r="564" spans="1:18" x14ac:dyDescent="0.3">
      <c r="A564" s="22" t="s">
        <v>1561</v>
      </c>
      <c r="B564" s="23">
        <v>45332</v>
      </c>
      <c r="C564" s="22" t="s">
        <v>487</v>
      </c>
      <c r="D564" s="22" t="s">
        <v>149</v>
      </c>
      <c r="E564" s="22" t="s">
        <v>1562</v>
      </c>
      <c r="F564" s="24">
        <v>3</v>
      </c>
      <c r="G564" s="24">
        <v>2270</v>
      </c>
      <c r="H564" s="24">
        <v>29.5</v>
      </c>
      <c r="I564" s="24">
        <v>4801.05</v>
      </c>
      <c r="J564" s="22" t="s">
        <v>164</v>
      </c>
      <c r="K564" s="22" t="s">
        <v>134</v>
      </c>
      <c r="L564" t="str">
        <f>VLOOKUP(D564,Products!A:F,3,FALSE())</f>
        <v>Grocery</v>
      </c>
      <c r="M564" t="str">
        <f>VLOOKUP(C564,Customers!A:F,5,FALSE())</f>
        <v>Retail</v>
      </c>
      <c r="O564" t="str">
        <f>IFERROR(VLOOKUP(E564,Sales_Reps!$A:$C,3,FALSE()),"")</f>
        <v/>
      </c>
      <c r="P564">
        <f>IFERROR(VLOOKUP(C564,Customers!$A:$C,3,FALSE()),"")</f>
        <v>23</v>
      </c>
      <c r="Q564" t="str">
        <f t="shared" si="8"/>
        <v>Feb-24</v>
      </c>
      <c r="R564">
        <f>IFERROR((VLOOKUP(D564,Products!$A:$E,5,FALSE())-VLOOKUP(D564,Products!$A:$E,4,FALSE()))/VLOOKUP(D564,Products!$A:$E,5,FALSE()),"")</f>
        <v>0.47004405286343615</v>
      </c>
    </row>
    <row r="565" spans="1:18" x14ac:dyDescent="0.3">
      <c r="A565" s="22" t="s">
        <v>1563</v>
      </c>
      <c r="B565" s="23">
        <v>45418</v>
      </c>
      <c r="C565" s="22" t="s">
        <v>778</v>
      </c>
      <c r="D565" s="22" t="s">
        <v>330</v>
      </c>
      <c r="E565" s="22" t="s">
        <v>1564</v>
      </c>
      <c r="F565" s="24">
        <v>8</v>
      </c>
      <c r="G565" s="24">
        <v>3020</v>
      </c>
      <c r="H565" s="24">
        <v>1.2</v>
      </c>
      <c r="I565" s="24">
        <v>23870.080000000002</v>
      </c>
      <c r="J565" s="22" t="s">
        <v>104</v>
      </c>
      <c r="K565" s="22" t="s">
        <v>134</v>
      </c>
      <c r="L565" t="str">
        <f>VLOOKUP(D565,Products!A:F,3,FALSE())</f>
        <v>Beauty</v>
      </c>
      <c r="M565" t="str">
        <f>VLOOKUP(C565,Customers!A:F,5,FALSE())</f>
        <v>Corporate</v>
      </c>
      <c r="O565" t="str">
        <f>IFERROR(VLOOKUP(E565,Sales_Reps!$A:$C,3,FALSE()),"")</f>
        <v/>
      </c>
      <c r="P565">
        <f>IFERROR(VLOOKUP(C565,Customers!$A:$C,3,FALSE()),"")</f>
        <v>41</v>
      </c>
      <c r="Q565" t="str">
        <f t="shared" si="8"/>
        <v>May-24</v>
      </c>
      <c r="R565">
        <f>IFERROR((VLOOKUP(D565,Products!$A:$E,5,FALSE())-VLOOKUP(D565,Products!$A:$E,4,FALSE()))/VLOOKUP(D565,Products!$A:$E,5,FALSE()),"")</f>
        <v>0.46158940397350995</v>
      </c>
    </row>
    <row r="566" spans="1:18" x14ac:dyDescent="0.3">
      <c r="A566" s="22" t="s">
        <v>1565</v>
      </c>
      <c r="B566" s="23">
        <v>45490</v>
      </c>
      <c r="C566" s="22" t="s">
        <v>766</v>
      </c>
      <c r="D566" s="22" t="s">
        <v>459</v>
      </c>
      <c r="E566" s="22" t="s">
        <v>1566</v>
      </c>
      <c r="F566" s="24">
        <v>6</v>
      </c>
      <c r="G566" s="24">
        <v>2380</v>
      </c>
      <c r="H566" s="24">
        <v>20.399999999999999</v>
      </c>
      <c r="I566" s="24">
        <v>11366.88</v>
      </c>
      <c r="J566" s="22" t="s">
        <v>104</v>
      </c>
      <c r="K566" s="22" t="s">
        <v>105</v>
      </c>
      <c r="L566" t="str">
        <f>VLOOKUP(D566,Products!A:F,3,FALSE())</f>
        <v>Grocery</v>
      </c>
      <c r="M566" t="str">
        <f>VLOOKUP(C566,Customers!A:F,5,FALSE())</f>
        <v>Retail</v>
      </c>
      <c r="O566" t="str">
        <f>IFERROR(VLOOKUP(E566,Sales_Reps!$A:$C,3,FALSE()),"")</f>
        <v/>
      </c>
      <c r="P566">
        <f>IFERROR(VLOOKUP(C566,Customers!$A:$C,3,FALSE()),"")</f>
        <v>62</v>
      </c>
      <c r="Q566" t="str">
        <f t="shared" si="8"/>
        <v>Jul-24</v>
      </c>
      <c r="R566">
        <f>IFERROR((VLOOKUP(D566,Products!$A:$E,5,FALSE())-VLOOKUP(D566,Products!$A:$E,4,FALSE()))/VLOOKUP(D566,Products!$A:$E,5,FALSE()),"")</f>
        <v>0.50336134453781511</v>
      </c>
    </row>
    <row r="567" spans="1:18" x14ac:dyDescent="0.3">
      <c r="A567" s="22" t="s">
        <v>1567</v>
      </c>
      <c r="B567" s="23">
        <v>45470</v>
      </c>
      <c r="C567" s="22" t="s">
        <v>1568</v>
      </c>
      <c r="D567" s="22" t="s">
        <v>695</v>
      </c>
      <c r="E567" s="22" t="s">
        <v>1569</v>
      </c>
      <c r="F567" s="24">
        <v>1</v>
      </c>
      <c r="G567" s="24">
        <v>6940</v>
      </c>
      <c r="H567" s="24">
        <v>15</v>
      </c>
      <c r="I567" s="24">
        <v>5899</v>
      </c>
      <c r="J567" s="22" t="s">
        <v>159</v>
      </c>
      <c r="K567" s="22" t="s">
        <v>134</v>
      </c>
      <c r="L567" t="str">
        <f>VLOOKUP(D567,Products!A:F,3,FALSE())</f>
        <v>Sports</v>
      </c>
      <c r="M567" t="str">
        <f>VLOOKUP(C567,Customers!A:F,5,FALSE())</f>
        <v>SMB</v>
      </c>
      <c r="O567" t="str">
        <f>IFERROR(VLOOKUP(E567,Sales_Reps!$A:$C,3,FALSE()),"")</f>
        <v/>
      </c>
      <c r="P567">
        <f>IFERROR(VLOOKUP(C567,Customers!$A:$C,3,FALSE()),"")</f>
        <v>49</v>
      </c>
      <c r="Q567" t="str">
        <f t="shared" si="8"/>
        <v>Jun-24</v>
      </c>
      <c r="R567">
        <f>IFERROR((VLOOKUP(D567,Products!$A:$E,5,FALSE())-VLOOKUP(D567,Products!$A:$E,4,FALSE()))/VLOOKUP(D567,Products!$A:$E,5,FALSE()),"")</f>
        <v>0.5926512968299712</v>
      </c>
    </row>
    <row r="568" spans="1:18" x14ac:dyDescent="0.3">
      <c r="A568" s="22" t="s">
        <v>1570</v>
      </c>
      <c r="B568" s="23">
        <v>45654</v>
      </c>
      <c r="C568" s="22" t="s">
        <v>351</v>
      </c>
      <c r="D568" s="22" t="s">
        <v>334</v>
      </c>
      <c r="E568" s="22" t="s">
        <v>1571</v>
      </c>
      <c r="F568" s="24">
        <v>1</v>
      </c>
      <c r="G568" s="24">
        <v>2660</v>
      </c>
      <c r="H568" s="24">
        <v>11.6</v>
      </c>
      <c r="I568" s="24">
        <v>2351.44</v>
      </c>
      <c r="J568" s="22" t="s">
        <v>104</v>
      </c>
      <c r="K568" s="22" t="s">
        <v>116</v>
      </c>
      <c r="L568" t="str">
        <f>VLOOKUP(D568,Products!A:F,3,FALSE())</f>
        <v>Electronics</v>
      </c>
      <c r="M568" t="str">
        <f>VLOOKUP(C568,Customers!A:F,5,FALSE())</f>
        <v>Retail</v>
      </c>
      <c r="O568" t="str">
        <f>IFERROR(VLOOKUP(E568,Sales_Reps!$A:$C,3,FALSE()),"")</f>
        <v/>
      </c>
      <c r="P568">
        <f>IFERROR(VLOOKUP(C568,Customers!$A:$C,3,FALSE()),"")</f>
        <v>35</v>
      </c>
      <c r="Q568" t="str">
        <f t="shared" si="8"/>
        <v>Dec-24</v>
      </c>
      <c r="R568">
        <f>IFERROR((VLOOKUP(D568,Products!$A:$E,5,FALSE())-VLOOKUP(D568,Products!$A:$E,4,FALSE()))/VLOOKUP(D568,Products!$A:$E,5,FALSE()),"")</f>
        <v>0.52669172932330832</v>
      </c>
    </row>
    <row r="569" spans="1:18" x14ac:dyDescent="0.3">
      <c r="A569" s="22" t="s">
        <v>1572</v>
      </c>
      <c r="B569" s="23">
        <v>45548</v>
      </c>
      <c r="C569" s="22" t="s">
        <v>1127</v>
      </c>
      <c r="D569" s="22" t="s">
        <v>145</v>
      </c>
      <c r="E569" s="22" t="s">
        <v>1573</v>
      </c>
      <c r="F569" s="24">
        <v>4</v>
      </c>
      <c r="G569" s="24">
        <v>970</v>
      </c>
      <c r="H569" s="24">
        <v>11.6</v>
      </c>
      <c r="I569" s="24">
        <v>3429.92</v>
      </c>
      <c r="J569" s="22" t="s">
        <v>104</v>
      </c>
      <c r="K569" s="22" t="s">
        <v>105</v>
      </c>
      <c r="L569" t="str">
        <f>VLOOKUP(D569,Products!A:F,3,FALSE())</f>
        <v>Grocery</v>
      </c>
      <c r="M569" t="str">
        <f>VLOOKUP(C569,Customers!A:F,5,FALSE())</f>
        <v>Retail</v>
      </c>
      <c r="O569" t="str">
        <f>IFERROR(VLOOKUP(E569,Sales_Reps!$A:$C,3,FALSE()),"")</f>
        <v/>
      </c>
      <c r="P569">
        <f>IFERROR(VLOOKUP(C569,Customers!$A:$C,3,FALSE()),"")</f>
        <v>35</v>
      </c>
      <c r="Q569" t="str">
        <f t="shared" si="8"/>
        <v>Sep-24</v>
      </c>
      <c r="R569">
        <f>IFERROR((VLOOKUP(D569,Products!$A:$E,5,FALSE())-VLOOKUP(D569,Products!$A:$E,4,FALSE()))/VLOOKUP(D569,Products!$A:$E,5,FALSE()),"")</f>
        <v>0.5525773195876289</v>
      </c>
    </row>
    <row r="570" spans="1:18" x14ac:dyDescent="0.3">
      <c r="A570" s="22" t="s">
        <v>1574</v>
      </c>
      <c r="B570" s="23">
        <v>45632</v>
      </c>
      <c r="C570" s="22" t="s">
        <v>838</v>
      </c>
      <c r="D570" s="22" t="s">
        <v>289</v>
      </c>
      <c r="E570" s="22" t="s">
        <v>1575</v>
      </c>
      <c r="F570" s="24">
        <v>7</v>
      </c>
      <c r="G570" s="24">
        <v>2270</v>
      </c>
      <c r="H570" s="24">
        <v>27.9</v>
      </c>
      <c r="I570" s="24">
        <v>11456.69</v>
      </c>
      <c r="J570" s="22" t="s">
        <v>104</v>
      </c>
      <c r="K570" s="22" t="s">
        <v>111</v>
      </c>
      <c r="L570" t="str">
        <f>VLOOKUP(D570,Products!A:F,3,FALSE())</f>
        <v>Grocery</v>
      </c>
      <c r="M570" t="str">
        <f>VLOOKUP(C570,Customers!A:F,5,FALSE())</f>
        <v>Retail</v>
      </c>
      <c r="O570" t="str">
        <f>IFERROR(VLOOKUP(E570,Sales_Reps!$A:$C,3,FALSE()),"")</f>
        <v/>
      </c>
      <c r="P570">
        <f>IFERROR(VLOOKUP(C570,Customers!$A:$C,3,FALSE()),"")</f>
        <v>61</v>
      </c>
      <c r="Q570" t="str">
        <f t="shared" si="8"/>
        <v>Dec-24</v>
      </c>
      <c r="R570">
        <f>IFERROR((VLOOKUP(D570,Products!$A:$E,5,FALSE())-VLOOKUP(D570,Products!$A:$E,4,FALSE()))/VLOOKUP(D570,Products!$A:$E,5,FALSE()),"")</f>
        <v>0.37797356828193834</v>
      </c>
    </row>
    <row r="571" spans="1:18" x14ac:dyDescent="0.3">
      <c r="A571" s="22" t="s">
        <v>1576</v>
      </c>
      <c r="B571" s="23">
        <v>45304</v>
      </c>
      <c r="C571" s="22" t="s">
        <v>314</v>
      </c>
      <c r="D571" s="22" t="s">
        <v>209</v>
      </c>
      <c r="E571" s="22" t="s">
        <v>1577</v>
      </c>
      <c r="F571" s="24">
        <v>8</v>
      </c>
      <c r="G571" s="24">
        <v>1010</v>
      </c>
      <c r="H571" s="24">
        <v>13.7</v>
      </c>
      <c r="I571" s="24">
        <v>6973.04</v>
      </c>
      <c r="J571" s="22" t="s">
        <v>159</v>
      </c>
      <c r="K571" s="22" t="s">
        <v>151</v>
      </c>
      <c r="L571" t="str">
        <f>VLOOKUP(D571,Products!A:F,3,FALSE())</f>
        <v>Sports</v>
      </c>
      <c r="M571" t="str">
        <f>VLOOKUP(C571,Customers!A:F,5,FALSE())</f>
        <v>Retail</v>
      </c>
      <c r="O571" t="str">
        <f>IFERROR(VLOOKUP(E571,Sales_Reps!$A:$C,3,FALSE()),"")</f>
        <v/>
      </c>
      <c r="P571">
        <f>IFERROR(VLOOKUP(C571,Customers!$A:$C,3,FALSE()),"")</f>
        <v>53</v>
      </c>
      <c r="Q571" t="str">
        <f t="shared" si="8"/>
        <v>Jan-24</v>
      </c>
      <c r="R571">
        <f>IFERROR((VLOOKUP(D571,Products!$A:$E,5,FALSE())-VLOOKUP(D571,Products!$A:$E,4,FALSE()))/VLOOKUP(D571,Products!$A:$E,5,FALSE()),"")</f>
        <v>0.4891089108910891</v>
      </c>
    </row>
    <row r="572" spans="1:18" x14ac:dyDescent="0.3">
      <c r="A572" s="22" t="s">
        <v>1578</v>
      </c>
      <c r="B572" s="23">
        <v>45330</v>
      </c>
      <c r="C572" s="22" t="s">
        <v>604</v>
      </c>
      <c r="D572" s="22" t="s">
        <v>459</v>
      </c>
      <c r="E572" s="22" t="s">
        <v>1579</v>
      </c>
      <c r="F572" s="24">
        <v>8</v>
      </c>
      <c r="G572" s="24">
        <v>2380</v>
      </c>
      <c r="H572" s="24">
        <v>15.3</v>
      </c>
      <c r="I572" s="24">
        <v>16126.88</v>
      </c>
      <c r="J572" s="22" t="s">
        <v>159</v>
      </c>
      <c r="K572" s="22" t="s">
        <v>105</v>
      </c>
      <c r="L572" t="str">
        <f>VLOOKUP(D572,Products!A:F,3,FALSE())</f>
        <v>Grocery</v>
      </c>
      <c r="M572" t="str">
        <f>VLOOKUP(C572,Customers!A:F,5,FALSE())</f>
        <v>Corporate</v>
      </c>
      <c r="O572" t="str">
        <f>IFERROR(VLOOKUP(E572,Sales_Reps!$A:$C,3,FALSE()),"")</f>
        <v/>
      </c>
      <c r="P572">
        <f>IFERROR(VLOOKUP(C572,Customers!$A:$C,3,FALSE()),"")</f>
        <v>37</v>
      </c>
      <c r="Q572" t="str">
        <f t="shared" si="8"/>
        <v>Feb-24</v>
      </c>
      <c r="R572">
        <f>IFERROR((VLOOKUP(D572,Products!$A:$E,5,FALSE())-VLOOKUP(D572,Products!$A:$E,4,FALSE()))/VLOOKUP(D572,Products!$A:$E,5,FALSE()),"")</f>
        <v>0.50336134453781511</v>
      </c>
    </row>
    <row r="573" spans="1:18" x14ac:dyDescent="0.3">
      <c r="A573" s="22" t="s">
        <v>1580</v>
      </c>
      <c r="B573" s="23">
        <v>45633</v>
      </c>
      <c r="C573" s="22" t="s">
        <v>1508</v>
      </c>
      <c r="D573" s="22" t="s">
        <v>114</v>
      </c>
      <c r="E573" s="22" t="s">
        <v>1581</v>
      </c>
      <c r="F573" s="24">
        <v>10</v>
      </c>
      <c r="G573" s="24">
        <v>470</v>
      </c>
      <c r="H573" s="24">
        <v>2.1</v>
      </c>
      <c r="I573" s="24">
        <v>4601.3</v>
      </c>
      <c r="J573" s="22" t="s">
        <v>104</v>
      </c>
      <c r="K573" s="22" t="s">
        <v>134</v>
      </c>
      <c r="L573" t="str">
        <f>VLOOKUP(D573,Products!A:F,3,FALSE())</f>
        <v>Sports</v>
      </c>
      <c r="M573" t="str">
        <f>VLOOKUP(C573,Customers!A:F,5,FALSE())</f>
        <v>SMB</v>
      </c>
      <c r="O573" t="str">
        <f>IFERROR(VLOOKUP(E573,Sales_Reps!$A:$C,3,FALSE()),"")</f>
        <v/>
      </c>
      <c r="P573">
        <f>IFERROR(VLOOKUP(C573,Customers!$A:$C,3,FALSE()),"")</f>
        <v>36</v>
      </c>
      <c r="Q573" t="str">
        <f t="shared" si="8"/>
        <v>Dec-24</v>
      </c>
      <c r="R573">
        <f>IFERROR((VLOOKUP(D573,Products!$A:$E,5,FALSE())-VLOOKUP(D573,Products!$A:$E,4,FALSE()))/VLOOKUP(D573,Products!$A:$E,5,FALSE()),"")</f>
        <v>0.35744680851063831</v>
      </c>
    </row>
    <row r="574" spans="1:18" x14ac:dyDescent="0.3">
      <c r="A574" s="22" t="s">
        <v>1582</v>
      </c>
      <c r="B574" s="23">
        <v>45480</v>
      </c>
      <c r="C574" s="22" t="s">
        <v>590</v>
      </c>
      <c r="D574" s="22" t="s">
        <v>220</v>
      </c>
      <c r="E574" s="22" t="s">
        <v>1583</v>
      </c>
      <c r="F574" s="24">
        <v>5</v>
      </c>
      <c r="G574" s="24">
        <v>5100</v>
      </c>
      <c r="H574" s="24">
        <v>9.6999999999999993</v>
      </c>
      <c r="I574" s="24">
        <v>23026.5</v>
      </c>
      <c r="J574" s="22" t="s">
        <v>104</v>
      </c>
      <c r="K574" s="22" t="s">
        <v>116</v>
      </c>
      <c r="L574" t="str">
        <f>VLOOKUP(D574,Products!A:F,3,FALSE())</f>
        <v>Beauty</v>
      </c>
      <c r="M574" t="str">
        <f>VLOOKUP(C574,Customers!A:F,5,FALSE())</f>
        <v>SMB</v>
      </c>
      <c r="O574" t="str">
        <f>IFERROR(VLOOKUP(E574,Sales_Reps!$A:$C,3,FALSE()),"")</f>
        <v/>
      </c>
      <c r="P574">
        <f>IFERROR(VLOOKUP(C574,Customers!$A:$C,3,FALSE()),"")</f>
        <v>34</v>
      </c>
      <c r="Q574" t="str">
        <f t="shared" si="8"/>
        <v>Jul-24</v>
      </c>
      <c r="R574">
        <f>IFERROR((VLOOKUP(D574,Products!$A:$E,5,FALSE())-VLOOKUP(D574,Products!$A:$E,4,FALSE()))/VLOOKUP(D574,Products!$A:$E,5,FALSE()),"")</f>
        <v>0.56137254901960787</v>
      </c>
    </row>
    <row r="575" spans="1:18" x14ac:dyDescent="0.3">
      <c r="A575" s="22" t="s">
        <v>1584</v>
      </c>
      <c r="B575" s="23">
        <v>45402</v>
      </c>
      <c r="C575" s="22" t="s">
        <v>189</v>
      </c>
      <c r="D575" s="22" t="s">
        <v>479</v>
      </c>
      <c r="E575" s="22" t="s">
        <v>1585</v>
      </c>
      <c r="F575" s="24">
        <v>9</v>
      </c>
      <c r="G575" s="24">
        <v>960</v>
      </c>
      <c r="H575" s="24">
        <v>17.7</v>
      </c>
      <c r="I575" s="24">
        <v>7110.72</v>
      </c>
      <c r="J575" s="22" t="s">
        <v>104</v>
      </c>
      <c r="K575" s="22" t="s">
        <v>151</v>
      </c>
      <c r="L575" t="str">
        <f>VLOOKUP(D575,Products!A:F,3,FALSE())</f>
        <v>Beauty</v>
      </c>
      <c r="M575" t="str">
        <f>VLOOKUP(C575,Customers!A:F,5,FALSE())</f>
        <v>Retail</v>
      </c>
      <c r="O575" t="str">
        <f>IFERROR(VLOOKUP(E575,Sales_Reps!$A:$C,3,FALSE()),"")</f>
        <v/>
      </c>
      <c r="P575">
        <f>IFERROR(VLOOKUP(C575,Customers!$A:$C,3,FALSE()),"")</f>
        <v>32</v>
      </c>
      <c r="Q575" t="str">
        <f t="shared" si="8"/>
        <v>Apr-24</v>
      </c>
      <c r="R575">
        <f>IFERROR((VLOOKUP(D575,Products!$A:$E,5,FALSE())-VLOOKUP(D575,Products!$A:$E,4,FALSE()))/VLOOKUP(D575,Products!$A:$E,5,FALSE()),"")</f>
        <v>0.296875</v>
      </c>
    </row>
    <row r="576" spans="1:18" x14ac:dyDescent="0.3">
      <c r="A576" s="22" t="s">
        <v>1586</v>
      </c>
      <c r="B576" s="23">
        <v>45478</v>
      </c>
      <c r="C576" s="22" t="s">
        <v>237</v>
      </c>
      <c r="D576" s="22" t="s">
        <v>315</v>
      </c>
      <c r="E576" s="22" t="s">
        <v>1587</v>
      </c>
      <c r="F576" s="24">
        <v>2</v>
      </c>
      <c r="G576" s="24">
        <v>4070</v>
      </c>
      <c r="H576" s="24">
        <v>2.1</v>
      </c>
      <c r="I576" s="24">
        <v>7969.06</v>
      </c>
      <c r="J576" s="22" t="s">
        <v>104</v>
      </c>
      <c r="K576" s="22" t="s">
        <v>151</v>
      </c>
      <c r="L576" t="str">
        <f>VLOOKUP(D576,Products!A:F,3,FALSE())</f>
        <v>Grocery</v>
      </c>
      <c r="M576" t="str">
        <f>VLOOKUP(C576,Customers!A:F,5,FALSE())</f>
        <v>SMB</v>
      </c>
      <c r="O576" t="str">
        <f>IFERROR(VLOOKUP(E576,Sales_Reps!$A:$C,3,FALSE()),"")</f>
        <v/>
      </c>
      <c r="P576">
        <f>IFERROR(VLOOKUP(C576,Customers!$A:$C,3,FALSE()),"")</f>
        <v>40</v>
      </c>
      <c r="Q576" t="str">
        <f t="shared" si="8"/>
        <v>Jul-24</v>
      </c>
      <c r="R576">
        <f>IFERROR((VLOOKUP(D576,Products!$A:$E,5,FALSE())-VLOOKUP(D576,Products!$A:$E,4,FALSE()))/VLOOKUP(D576,Products!$A:$E,5,FALSE()),"")</f>
        <v>0.50196560196560192</v>
      </c>
    </row>
    <row r="577" spans="1:18" x14ac:dyDescent="0.3">
      <c r="A577" s="22" t="s">
        <v>1588</v>
      </c>
      <c r="B577" s="23">
        <v>45358</v>
      </c>
      <c r="C577" s="22" t="s">
        <v>1589</v>
      </c>
      <c r="D577" s="22" t="s">
        <v>265</v>
      </c>
      <c r="E577" s="22" t="s">
        <v>1590</v>
      </c>
      <c r="F577" s="24">
        <v>5</v>
      </c>
      <c r="G577" s="24">
        <v>3730</v>
      </c>
      <c r="H577" s="24">
        <v>16.5</v>
      </c>
      <c r="I577" s="24">
        <v>15572.75</v>
      </c>
      <c r="J577" s="22" t="s">
        <v>104</v>
      </c>
      <c r="K577" s="22" t="s">
        <v>129</v>
      </c>
      <c r="L577" t="str">
        <f>VLOOKUP(D577,Products!A:F,3,FALSE())</f>
        <v>Home</v>
      </c>
      <c r="M577" t="str">
        <f>VLOOKUP(C577,Customers!A:F,5,FALSE())</f>
        <v>SMB</v>
      </c>
      <c r="O577" t="str">
        <f>IFERROR(VLOOKUP(E577,Sales_Reps!$A:$C,3,FALSE()),"")</f>
        <v/>
      </c>
      <c r="P577">
        <f>IFERROR(VLOOKUP(C577,Customers!$A:$C,3,FALSE()),"")</f>
        <v>47</v>
      </c>
      <c r="Q577" t="str">
        <f t="shared" si="8"/>
        <v>Mar-24</v>
      </c>
      <c r="R577">
        <f>IFERROR((VLOOKUP(D577,Products!$A:$E,5,FALSE())-VLOOKUP(D577,Products!$A:$E,4,FALSE()))/VLOOKUP(D577,Products!$A:$E,5,FALSE()),"")</f>
        <v>0.42761394101876676</v>
      </c>
    </row>
    <row r="578" spans="1:18" x14ac:dyDescent="0.3">
      <c r="A578" s="22" t="s">
        <v>1591</v>
      </c>
      <c r="B578" s="23">
        <v>45589</v>
      </c>
      <c r="C578" s="22" t="s">
        <v>118</v>
      </c>
      <c r="D578" s="22" t="s">
        <v>224</v>
      </c>
      <c r="E578" s="22" t="s">
        <v>1592</v>
      </c>
      <c r="F578" s="24">
        <v>1</v>
      </c>
      <c r="G578" s="24">
        <v>2860</v>
      </c>
      <c r="H578" s="24">
        <v>10.4</v>
      </c>
      <c r="I578" s="24">
        <v>2562.56</v>
      </c>
      <c r="J578" s="22" t="s">
        <v>159</v>
      </c>
      <c r="K578" s="22" t="s">
        <v>116</v>
      </c>
      <c r="L578" t="str">
        <f>VLOOKUP(D578,Products!A:F,3,FALSE())</f>
        <v>Sports</v>
      </c>
      <c r="M578" t="str">
        <f>VLOOKUP(C578,Customers!A:F,5,FALSE())</f>
        <v>Corporate</v>
      </c>
      <c r="O578" t="str">
        <f>IFERROR(VLOOKUP(E578,Sales_Reps!$A:$C,3,FALSE()),"")</f>
        <v/>
      </c>
      <c r="P578">
        <f>IFERROR(VLOOKUP(C578,Customers!$A:$C,3,FALSE()),"")</f>
        <v>46</v>
      </c>
      <c r="Q578" t="str">
        <f t="shared" ref="Q578:Q641" si="9">TEXT(B578,"mmm-yy")</f>
        <v>Oct-24</v>
      </c>
      <c r="R578">
        <f>IFERROR((VLOOKUP(D578,Products!$A:$E,5,FALSE())-VLOOKUP(D578,Products!$A:$E,4,FALSE()))/VLOOKUP(D578,Products!$A:$E,5,FALSE()),"")</f>
        <v>0.29090909090909089</v>
      </c>
    </row>
    <row r="579" spans="1:18" x14ac:dyDescent="0.3">
      <c r="A579" s="22" t="s">
        <v>1593</v>
      </c>
      <c r="B579" s="23">
        <v>45507</v>
      </c>
      <c r="C579" s="22" t="s">
        <v>1183</v>
      </c>
      <c r="D579" s="22" t="s">
        <v>212</v>
      </c>
      <c r="E579" s="22" t="s">
        <v>1594</v>
      </c>
      <c r="F579" s="24">
        <v>4</v>
      </c>
      <c r="G579" s="24">
        <v>4880</v>
      </c>
      <c r="H579" s="24">
        <v>27.5</v>
      </c>
      <c r="I579" s="24">
        <v>14152</v>
      </c>
      <c r="J579" s="22" t="s">
        <v>110</v>
      </c>
      <c r="K579" s="22" t="s">
        <v>111</v>
      </c>
      <c r="L579" t="str">
        <f>VLOOKUP(D579,Products!A:F,3,FALSE())</f>
        <v>Beauty</v>
      </c>
      <c r="M579" t="str">
        <f>VLOOKUP(C579,Customers!A:F,5,FALSE())</f>
        <v>SMB</v>
      </c>
      <c r="O579" t="str">
        <f>IFERROR(VLOOKUP(E579,Sales_Reps!$A:$C,3,FALSE()),"")</f>
        <v/>
      </c>
      <c r="P579">
        <f>IFERROR(VLOOKUP(C579,Customers!$A:$C,3,FALSE()),"")</f>
        <v>39</v>
      </c>
      <c r="Q579" t="str">
        <f t="shared" si="9"/>
        <v>Aug-24</v>
      </c>
      <c r="R579">
        <f>IFERROR((VLOOKUP(D579,Products!$A:$E,5,FALSE())-VLOOKUP(D579,Products!$A:$E,4,FALSE()))/VLOOKUP(D579,Products!$A:$E,5,FALSE()),"")</f>
        <v>0.43278688524590164</v>
      </c>
    </row>
    <row r="580" spans="1:18" x14ac:dyDescent="0.3">
      <c r="A580" s="22" t="s">
        <v>1595</v>
      </c>
      <c r="B580" s="23">
        <v>45470</v>
      </c>
      <c r="C580" s="22" t="s">
        <v>1221</v>
      </c>
      <c r="D580" s="22" t="s">
        <v>289</v>
      </c>
      <c r="E580" s="22" t="s">
        <v>1596</v>
      </c>
      <c r="F580" s="24">
        <v>3</v>
      </c>
      <c r="G580" s="24">
        <v>2270</v>
      </c>
      <c r="H580" s="24">
        <v>6.7</v>
      </c>
      <c r="I580" s="24">
        <v>6353.73</v>
      </c>
      <c r="J580" s="22" t="s">
        <v>104</v>
      </c>
      <c r="K580" s="22" t="s">
        <v>111</v>
      </c>
      <c r="L580" t="str">
        <f>VLOOKUP(D580,Products!A:F,3,FALSE())</f>
        <v>Grocery</v>
      </c>
      <c r="M580" t="str">
        <f>VLOOKUP(C580,Customers!A:F,5,FALSE())</f>
        <v>Retail</v>
      </c>
      <c r="O580" t="str">
        <f>IFERROR(VLOOKUP(E580,Sales_Reps!$A:$C,3,FALSE()),"")</f>
        <v/>
      </c>
      <c r="P580">
        <f>IFERROR(VLOOKUP(C580,Customers!$A:$C,3,FALSE()),"")</f>
        <v>32</v>
      </c>
      <c r="Q580" t="str">
        <f t="shared" si="9"/>
        <v>Jun-24</v>
      </c>
      <c r="R580">
        <f>IFERROR((VLOOKUP(D580,Products!$A:$E,5,FALSE())-VLOOKUP(D580,Products!$A:$E,4,FALSE()))/VLOOKUP(D580,Products!$A:$E,5,FALSE()),"")</f>
        <v>0.37797356828193834</v>
      </c>
    </row>
    <row r="581" spans="1:18" x14ac:dyDescent="0.3">
      <c r="A581" s="22" t="s">
        <v>1597</v>
      </c>
      <c r="B581" s="23">
        <v>45589</v>
      </c>
      <c r="C581" s="22" t="s">
        <v>763</v>
      </c>
      <c r="D581" s="22" t="s">
        <v>436</v>
      </c>
      <c r="E581" s="22" t="s">
        <v>1598</v>
      </c>
      <c r="F581" s="24">
        <v>10</v>
      </c>
      <c r="G581" s="24">
        <v>4060</v>
      </c>
      <c r="H581" s="24">
        <v>3.6</v>
      </c>
      <c r="I581" s="24">
        <v>39138.400000000001</v>
      </c>
      <c r="J581" s="22" t="s">
        <v>110</v>
      </c>
      <c r="K581" s="22" t="s">
        <v>129</v>
      </c>
      <c r="L581" t="str">
        <f>VLOOKUP(D581,Products!A:F,3,FALSE())</f>
        <v>Grocery</v>
      </c>
      <c r="M581" t="str">
        <f>VLOOKUP(C581,Customers!A:F,5,FALSE())</f>
        <v>Retail</v>
      </c>
      <c r="O581" t="str">
        <f>IFERROR(VLOOKUP(E581,Sales_Reps!$A:$C,3,FALSE()),"")</f>
        <v/>
      </c>
      <c r="P581">
        <f>IFERROR(VLOOKUP(C581,Customers!$A:$C,3,FALSE()),"")</f>
        <v>65</v>
      </c>
      <c r="Q581" t="str">
        <f t="shared" si="9"/>
        <v>Oct-24</v>
      </c>
      <c r="R581">
        <f>IFERROR((VLOOKUP(D581,Products!$A:$E,5,FALSE())-VLOOKUP(D581,Products!$A:$E,4,FALSE()))/VLOOKUP(D581,Products!$A:$E,5,FALSE()),"")</f>
        <v>0.28300492610837441</v>
      </c>
    </row>
    <row r="582" spans="1:18" x14ac:dyDescent="0.3">
      <c r="A582" s="22" t="s">
        <v>1599</v>
      </c>
      <c r="B582" s="23">
        <v>45433</v>
      </c>
      <c r="C582" s="22" t="s">
        <v>858</v>
      </c>
      <c r="D582" s="22" t="s">
        <v>153</v>
      </c>
      <c r="E582" s="22" t="s">
        <v>1600</v>
      </c>
      <c r="F582" s="24">
        <v>8</v>
      </c>
      <c r="G582" s="24">
        <v>2640</v>
      </c>
      <c r="H582" s="24">
        <v>28.8</v>
      </c>
      <c r="I582" s="24">
        <v>15037.44</v>
      </c>
      <c r="J582" s="22" t="s">
        <v>104</v>
      </c>
      <c r="K582" s="22" t="s">
        <v>129</v>
      </c>
      <c r="L582" t="str">
        <f>VLOOKUP(D582,Products!A:F,3,FALSE())</f>
        <v>Electronics</v>
      </c>
      <c r="M582" t="str">
        <f>VLOOKUP(C582,Customers!A:F,5,FALSE())</f>
        <v>Retail</v>
      </c>
      <c r="O582" t="str">
        <f>IFERROR(VLOOKUP(E582,Sales_Reps!$A:$C,3,FALSE()),"")</f>
        <v/>
      </c>
      <c r="P582">
        <f>IFERROR(VLOOKUP(C582,Customers!$A:$C,3,FALSE()),"")</f>
        <v>53</v>
      </c>
      <c r="Q582" t="str">
        <f t="shared" si="9"/>
        <v>May-24</v>
      </c>
      <c r="R582">
        <f>IFERROR((VLOOKUP(D582,Products!$A:$E,5,FALSE())-VLOOKUP(D582,Products!$A:$E,4,FALSE()))/VLOOKUP(D582,Products!$A:$E,5,FALSE()),"")</f>
        <v>0.56477272727272732</v>
      </c>
    </row>
    <row r="583" spans="1:18" x14ac:dyDescent="0.3">
      <c r="A583" s="22" t="s">
        <v>1601</v>
      </c>
      <c r="B583" s="23">
        <v>45477</v>
      </c>
      <c r="C583" s="22" t="s">
        <v>653</v>
      </c>
      <c r="D583" s="22" t="s">
        <v>265</v>
      </c>
      <c r="E583" s="22" t="s">
        <v>1602</v>
      </c>
      <c r="F583" s="24">
        <v>6</v>
      </c>
      <c r="G583" s="24">
        <v>3730</v>
      </c>
      <c r="H583" s="24">
        <v>21.9</v>
      </c>
      <c r="I583" s="24">
        <v>17478.78</v>
      </c>
      <c r="J583" s="22" t="s">
        <v>104</v>
      </c>
      <c r="K583" s="22" t="s">
        <v>116</v>
      </c>
      <c r="L583" t="str">
        <f>VLOOKUP(D583,Products!A:F,3,FALSE())</f>
        <v>Home</v>
      </c>
      <c r="M583" t="str">
        <f>VLOOKUP(C583,Customers!A:F,5,FALSE())</f>
        <v>Retail</v>
      </c>
      <c r="O583" t="str">
        <f>IFERROR(VLOOKUP(E583,Sales_Reps!$A:$C,3,FALSE()),"")</f>
        <v/>
      </c>
      <c r="P583">
        <f>IFERROR(VLOOKUP(C583,Customers!$A:$C,3,FALSE()),"")</f>
        <v>59</v>
      </c>
      <c r="Q583" t="str">
        <f t="shared" si="9"/>
        <v>Jul-24</v>
      </c>
      <c r="R583">
        <f>IFERROR((VLOOKUP(D583,Products!$A:$E,5,FALSE())-VLOOKUP(D583,Products!$A:$E,4,FALSE()))/VLOOKUP(D583,Products!$A:$E,5,FALSE()),"")</f>
        <v>0.42761394101876676</v>
      </c>
    </row>
    <row r="584" spans="1:18" x14ac:dyDescent="0.3">
      <c r="A584" s="22" t="s">
        <v>1603</v>
      </c>
      <c r="B584" s="23">
        <v>45443</v>
      </c>
      <c r="C584" s="22" t="s">
        <v>653</v>
      </c>
      <c r="D584" s="22" t="s">
        <v>455</v>
      </c>
      <c r="E584" s="22" t="s">
        <v>1604</v>
      </c>
      <c r="F584" s="24">
        <v>9</v>
      </c>
      <c r="G584" s="24">
        <v>5330</v>
      </c>
      <c r="H584" s="24">
        <v>29.4</v>
      </c>
      <c r="I584" s="24">
        <v>33866.82</v>
      </c>
      <c r="J584" s="22" t="s">
        <v>159</v>
      </c>
      <c r="K584" s="22" t="s">
        <v>116</v>
      </c>
      <c r="L584" t="str">
        <f>VLOOKUP(D584,Products!A:F,3,FALSE())</f>
        <v>Electronics</v>
      </c>
      <c r="M584" t="str">
        <f>VLOOKUP(C584,Customers!A:F,5,FALSE())</f>
        <v>Retail</v>
      </c>
      <c r="O584" t="str">
        <f>IFERROR(VLOOKUP(E584,Sales_Reps!$A:$C,3,FALSE()),"")</f>
        <v/>
      </c>
      <c r="P584">
        <f>IFERROR(VLOOKUP(C584,Customers!$A:$C,3,FALSE()),"")</f>
        <v>59</v>
      </c>
      <c r="Q584" t="str">
        <f t="shared" si="9"/>
        <v>May-24</v>
      </c>
      <c r="R584">
        <f>IFERROR((VLOOKUP(D584,Products!$A:$E,5,FALSE())-VLOOKUP(D584,Products!$A:$E,4,FALSE()))/VLOOKUP(D584,Products!$A:$E,5,FALSE()),"")</f>
        <v>0.54878048780487809</v>
      </c>
    </row>
    <row r="585" spans="1:18" x14ac:dyDescent="0.3">
      <c r="A585" s="22" t="s">
        <v>1605</v>
      </c>
      <c r="B585" s="23">
        <v>45322</v>
      </c>
      <c r="C585" s="22" t="s">
        <v>1606</v>
      </c>
      <c r="D585" s="22" t="s">
        <v>591</v>
      </c>
      <c r="E585" s="22" t="s">
        <v>1607</v>
      </c>
      <c r="F585" s="24">
        <v>1</v>
      </c>
      <c r="G585" s="24">
        <v>3450</v>
      </c>
      <c r="H585" s="24">
        <v>23.3</v>
      </c>
      <c r="I585" s="24">
        <v>2646.15</v>
      </c>
      <c r="J585" s="22" t="s">
        <v>104</v>
      </c>
      <c r="K585" s="22" t="s">
        <v>129</v>
      </c>
      <c r="L585" t="str">
        <f>VLOOKUP(D585,Products!A:F,3,FALSE())</f>
        <v>Apparel</v>
      </c>
      <c r="M585" t="str">
        <f>VLOOKUP(C585,Customers!A:F,5,FALSE())</f>
        <v>Retail</v>
      </c>
      <c r="O585" t="str">
        <f>IFERROR(VLOOKUP(E585,Sales_Reps!$A:$C,3,FALSE()),"")</f>
        <v/>
      </c>
      <c r="P585">
        <f>IFERROR(VLOOKUP(C585,Customers!$A:$C,3,FALSE()),"")</f>
        <v>33</v>
      </c>
      <c r="Q585" t="str">
        <f t="shared" si="9"/>
        <v>Jan-24</v>
      </c>
      <c r="R585">
        <f>IFERROR((VLOOKUP(D585,Products!$A:$E,5,FALSE())-VLOOKUP(D585,Products!$A:$E,4,FALSE()))/VLOOKUP(D585,Products!$A:$E,5,FALSE()),"")</f>
        <v>0.49333333333333335</v>
      </c>
    </row>
    <row r="586" spans="1:18" x14ac:dyDescent="0.3">
      <c r="A586" s="22" t="s">
        <v>1608</v>
      </c>
      <c r="B586" s="23">
        <v>45544</v>
      </c>
      <c r="C586" s="22" t="s">
        <v>1609</v>
      </c>
      <c r="D586" s="22" t="s">
        <v>283</v>
      </c>
      <c r="E586" s="22" t="s">
        <v>1610</v>
      </c>
      <c r="F586" s="24">
        <v>3</v>
      </c>
      <c r="G586" s="24">
        <v>6080</v>
      </c>
      <c r="H586" s="24">
        <v>14.5</v>
      </c>
      <c r="I586" s="24">
        <v>15595.2</v>
      </c>
      <c r="J586" s="22" t="s">
        <v>104</v>
      </c>
      <c r="K586" s="22" t="s">
        <v>134</v>
      </c>
      <c r="L586" t="str">
        <f>VLOOKUP(D586,Products!A:F,3,FALSE())</f>
        <v>Beauty</v>
      </c>
      <c r="M586" t="str">
        <f>VLOOKUP(C586,Customers!A:F,5,FALSE())</f>
        <v>Corporate</v>
      </c>
      <c r="O586" t="str">
        <f>IFERROR(VLOOKUP(E586,Sales_Reps!$A:$C,3,FALSE()),"")</f>
        <v/>
      </c>
      <c r="P586">
        <f>IFERROR(VLOOKUP(C586,Customers!$A:$C,3,FALSE()),"")</f>
        <v>55</v>
      </c>
      <c r="Q586" t="str">
        <f t="shared" si="9"/>
        <v>Sep-24</v>
      </c>
      <c r="R586">
        <f>IFERROR((VLOOKUP(D586,Products!$A:$E,5,FALSE())-VLOOKUP(D586,Products!$A:$E,4,FALSE()))/VLOOKUP(D586,Products!$A:$E,5,FALSE()),"")</f>
        <v>0.56957236842105263</v>
      </c>
    </row>
    <row r="587" spans="1:18" x14ac:dyDescent="0.3">
      <c r="A587" s="22" t="s">
        <v>1611</v>
      </c>
      <c r="B587" s="23">
        <v>45609</v>
      </c>
      <c r="C587" s="22" t="s">
        <v>377</v>
      </c>
      <c r="D587" s="22" t="s">
        <v>265</v>
      </c>
      <c r="E587" s="22" t="s">
        <v>1612</v>
      </c>
      <c r="F587" s="24">
        <v>4</v>
      </c>
      <c r="G587" s="24">
        <v>3730</v>
      </c>
      <c r="H587" s="24">
        <v>3.4</v>
      </c>
      <c r="I587" s="24">
        <v>14412.72</v>
      </c>
      <c r="J587" s="22" t="s">
        <v>159</v>
      </c>
      <c r="K587" s="22" t="s">
        <v>134</v>
      </c>
      <c r="L587" t="str">
        <f>VLOOKUP(D587,Products!A:F,3,FALSE())</f>
        <v>Home</v>
      </c>
      <c r="M587" t="str">
        <f>VLOOKUP(C587,Customers!A:F,5,FALSE())</f>
        <v>Retail</v>
      </c>
      <c r="O587" t="str">
        <f>IFERROR(VLOOKUP(E587,Sales_Reps!$A:$C,3,FALSE()),"")</f>
        <v/>
      </c>
      <c r="P587">
        <f>IFERROR(VLOOKUP(C587,Customers!$A:$C,3,FALSE()),"")</f>
        <v>42</v>
      </c>
      <c r="Q587" t="str">
        <f t="shared" si="9"/>
        <v>Nov-24</v>
      </c>
      <c r="R587">
        <f>IFERROR((VLOOKUP(D587,Products!$A:$E,5,FALSE())-VLOOKUP(D587,Products!$A:$E,4,FALSE()))/VLOOKUP(D587,Products!$A:$E,5,FALSE()),"")</f>
        <v>0.42761394101876676</v>
      </c>
    </row>
    <row r="588" spans="1:18" x14ac:dyDescent="0.3">
      <c r="A588" s="22" t="s">
        <v>1613</v>
      </c>
      <c r="B588" s="23">
        <v>45491</v>
      </c>
      <c r="C588" s="22" t="s">
        <v>364</v>
      </c>
      <c r="D588" s="22" t="s">
        <v>334</v>
      </c>
      <c r="E588" s="22" t="s">
        <v>1614</v>
      </c>
      <c r="F588" s="24">
        <v>10</v>
      </c>
      <c r="G588" s="24">
        <v>2660</v>
      </c>
      <c r="H588" s="24">
        <v>2.1</v>
      </c>
      <c r="I588" s="24">
        <v>26041.4</v>
      </c>
      <c r="J588" s="22" t="s">
        <v>104</v>
      </c>
      <c r="K588" s="22" t="s">
        <v>111</v>
      </c>
      <c r="L588" t="str">
        <f>VLOOKUP(D588,Products!A:F,3,FALSE())</f>
        <v>Electronics</v>
      </c>
      <c r="M588" t="str">
        <f>VLOOKUP(C588,Customers!A:F,5,FALSE())</f>
        <v>Retail</v>
      </c>
      <c r="O588" t="str">
        <f>IFERROR(VLOOKUP(E588,Sales_Reps!$A:$C,3,FALSE()),"")</f>
        <v/>
      </c>
      <c r="P588">
        <f>IFERROR(VLOOKUP(C588,Customers!$A:$C,3,FALSE()),"")</f>
        <v>41</v>
      </c>
      <c r="Q588" t="str">
        <f t="shared" si="9"/>
        <v>Jul-24</v>
      </c>
      <c r="R588">
        <f>IFERROR((VLOOKUP(D588,Products!$A:$E,5,FALSE())-VLOOKUP(D588,Products!$A:$E,4,FALSE()))/VLOOKUP(D588,Products!$A:$E,5,FALSE()),"")</f>
        <v>0.52669172932330832</v>
      </c>
    </row>
    <row r="589" spans="1:18" x14ac:dyDescent="0.3">
      <c r="A589" s="22" t="s">
        <v>1615</v>
      </c>
      <c r="B589" s="23">
        <v>45373</v>
      </c>
      <c r="C589" s="22" t="s">
        <v>200</v>
      </c>
      <c r="D589" s="22" t="s">
        <v>419</v>
      </c>
      <c r="E589" s="22" t="s">
        <v>1616</v>
      </c>
      <c r="F589" s="24">
        <v>7</v>
      </c>
      <c r="G589" s="24">
        <v>2210</v>
      </c>
      <c r="H589" s="24">
        <v>17.100000000000001</v>
      </c>
      <c r="I589" s="24">
        <v>12824.63</v>
      </c>
      <c r="J589" s="22" t="s">
        <v>104</v>
      </c>
      <c r="K589" s="22" t="s">
        <v>151</v>
      </c>
      <c r="L589" t="str">
        <f>VLOOKUP(D589,Products!A:F,3,FALSE())</f>
        <v>Grocery</v>
      </c>
      <c r="M589" t="str">
        <f>VLOOKUP(C589,Customers!A:F,5,FALSE())</f>
        <v>SMB</v>
      </c>
      <c r="O589" t="str">
        <f>IFERROR(VLOOKUP(E589,Sales_Reps!$A:$C,3,FALSE()),"")</f>
        <v/>
      </c>
      <c r="P589">
        <f>IFERROR(VLOOKUP(C589,Customers!$A:$C,3,FALSE()),"")</f>
        <v>40</v>
      </c>
      <c r="Q589" t="str">
        <f t="shared" si="9"/>
        <v>Mar-24</v>
      </c>
      <c r="R589">
        <f>IFERROR((VLOOKUP(D589,Products!$A:$E,5,FALSE())-VLOOKUP(D589,Products!$A:$E,4,FALSE()))/VLOOKUP(D589,Products!$A:$E,5,FALSE()),"")</f>
        <v>0.54298642533936647</v>
      </c>
    </row>
    <row r="590" spans="1:18" x14ac:dyDescent="0.3">
      <c r="A590" s="22" t="s">
        <v>1617</v>
      </c>
      <c r="B590" s="23">
        <v>45607</v>
      </c>
      <c r="C590" s="22" t="s">
        <v>223</v>
      </c>
      <c r="D590" s="22" t="s">
        <v>605</v>
      </c>
      <c r="E590" s="22" t="s">
        <v>1618</v>
      </c>
      <c r="F590" s="24">
        <v>6</v>
      </c>
      <c r="G590" s="24">
        <v>3780</v>
      </c>
      <c r="H590" s="24">
        <v>12.7</v>
      </c>
      <c r="I590" s="24">
        <v>19799.64</v>
      </c>
      <c r="J590" s="22" t="s">
        <v>104</v>
      </c>
      <c r="K590" s="22" t="s">
        <v>105</v>
      </c>
      <c r="L590" t="str">
        <f>VLOOKUP(D590,Products!A:F,3,FALSE())</f>
        <v>Sports</v>
      </c>
      <c r="M590" t="str">
        <f>VLOOKUP(C590,Customers!A:F,5,FALSE())</f>
        <v>SMB</v>
      </c>
      <c r="O590" t="str">
        <f>IFERROR(VLOOKUP(E590,Sales_Reps!$A:$C,3,FALSE()),"")</f>
        <v/>
      </c>
      <c r="P590">
        <f>IFERROR(VLOOKUP(C590,Customers!$A:$C,3,FALSE()),"")</f>
        <v>44</v>
      </c>
      <c r="Q590" t="str">
        <f t="shared" si="9"/>
        <v>Nov-24</v>
      </c>
      <c r="R590">
        <f>IFERROR((VLOOKUP(D590,Products!$A:$E,5,FALSE())-VLOOKUP(D590,Products!$A:$E,4,FALSE()))/VLOOKUP(D590,Products!$A:$E,5,FALSE()),"")</f>
        <v>0.50793650793650791</v>
      </c>
    </row>
    <row r="591" spans="1:18" x14ac:dyDescent="0.3">
      <c r="A591" s="22" t="s">
        <v>1619</v>
      </c>
      <c r="B591" s="23">
        <v>45412</v>
      </c>
      <c r="C591" s="22" t="s">
        <v>1473</v>
      </c>
      <c r="D591" s="22" t="s">
        <v>141</v>
      </c>
      <c r="E591" s="22" t="s">
        <v>1620</v>
      </c>
      <c r="F591" s="24">
        <v>4</v>
      </c>
      <c r="G591" s="24">
        <v>5490</v>
      </c>
      <c r="H591" s="24">
        <v>26.9</v>
      </c>
      <c r="I591" s="24">
        <v>16052.76</v>
      </c>
      <c r="J591" s="22" t="s">
        <v>104</v>
      </c>
      <c r="K591" s="22" t="s">
        <v>111</v>
      </c>
      <c r="L591" t="str">
        <f>VLOOKUP(D591,Products!A:F,3,FALSE())</f>
        <v>Home</v>
      </c>
      <c r="M591" t="str">
        <f>VLOOKUP(C591,Customers!A:F,5,FALSE())</f>
        <v>Retail</v>
      </c>
      <c r="O591" t="str">
        <f>IFERROR(VLOOKUP(E591,Sales_Reps!$A:$C,3,FALSE()),"")</f>
        <v/>
      </c>
      <c r="P591">
        <f>IFERROR(VLOOKUP(C591,Customers!$A:$C,3,FALSE()),"")</f>
        <v>31</v>
      </c>
      <c r="Q591" t="str">
        <f t="shared" si="9"/>
        <v>Apr-24</v>
      </c>
      <c r="R591">
        <f>IFERROR((VLOOKUP(D591,Products!$A:$E,5,FALSE())-VLOOKUP(D591,Products!$A:$E,4,FALSE()))/VLOOKUP(D591,Products!$A:$E,5,FALSE()),"")</f>
        <v>0.53570127504553733</v>
      </c>
    </row>
    <row r="592" spans="1:18" x14ac:dyDescent="0.3">
      <c r="A592" s="22" t="s">
        <v>1621</v>
      </c>
      <c r="B592" s="23">
        <v>45351</v>
      </c>
      <c r="C592" s="22" t="s">
        <v>1183</v>
      </c>
      <c r="D592" s="22" t="s">
        <v>334</v>
      </c>
      <c r="E592" s="22" t="s">
        <v>1622</v>
      </c>
      <c r="F592" s="24">
        <v>9</v>
      </c>
      <c r="G592" s="24">
        <v>2660</v>
      </c>
      <c r="H592" s="24">
        <v>21.9</v>
      </c>
      <c r="I592" s="24">
        <v>18697.14</v>
      </c>
      <c r="J592" s="22" t="s">
        <v>104</v>
      </c>
      <c r="K592" s="22" t="s">
        <v>111</v>
      </c>
      <c r="L592" t="str">
        <f>VLOOKUP(D592,Products!A:F,3,FALSE())</f>
        <v>Electronics</v>
      </c>
      <c r="M592" t="str">
        <f>VLOOKUP(C592,Customers!A:F,5,FALSE())</f>
        <v>SMB</v>
      </c>
      <c r="O592" t="str">
        <f>IFERROR(VLOOKUP(E592,Sales_Reps!$A:$C,3,FALSE()),"")</f>
        <v/>
      </c>
      <c r="P592">
        <f>IFERROR(VLOOKUP(C592,Customers!$A:$C,3,FALSE()),"")</f>
        <v>39</v>
      </c>
      <c r="Q592" t="str">
        <f t="shared" si="9"/>
        <v>Feb-24</v>
      </c>
      <c r="R592">
        <f>IFERROR((VLOOKUP(D592,Products!$A:$E,5,FALSE())-VLOOKUP(D592,Products!$A:$E,4,FALSE()))/VLOOKUP(D592,Products!$A:$E,5,FALSE()),"")</f>
        <v>0.52669172932330832</v>
      </c>
    </row>
    <row r="593" spans="1:18" x14ac:dyDescent="0.3">
      <c r="A593" s="22" t="s">
        <v>1623</v>
      </c>
      <c r="B593" s="23">
        <v>45572</v>
      </c>
      <c r="C593" s="22" t="s">
        <v>514</v>
      </c>
      <c r="D593" s="22" t="s">
        <v>695</v>
      </c>
      <c r="E593" s="22" t="s">
        <v>1624</v>
      </c>
      <c r="F593" s="24">
        <v>9</v>
      </c>
      <c r="G593" s="24">
        <v>6940</v>
      </c>
      <c r="H593" s="24">
        <v>8</v>
      </c>
      <c r="I593" s="24">
        <v>57463.199999999997</v>
      </c>
      <c r="J593" s="22" t="s">
        <v>104</v>
      </c>
      <c r="K593" s="22" t="s">
        <v>134</v>
      </c>
      <c r="L593" t="str">
        <f>VLOOKUP(D593,Products!A:F,3,FALSE())</f>
        <v>Sports</v>
      </c>
      <c r="M593" t="str">
        <f>VLOOKUP(C593,Customers!A:F,5,FALSE())</f>
        <v>Retail</v>
      </c>
      <c r="O593" t="str">
        <f>IFERROR(VLOOKUP(E593,Sales_Reps!$A:$C,3,FALSE()),"")</f>
        <v/>
      </c>
      <c r="P593">
        <f>IFERROR(VLOOKUP(C593,Customers!$A:$C,3,FALSE()),"")</f>
        <v>59</v>
      </c>
      <c r="Q593" t="str">
        <f t="shared" si="9"/>
        <v>Oct-24</v>
      </c>
      <c r="R593">
        <f>IFERROR((VLOOKUP(D593,Products!$A:$E,5,FALSE())-VLOOKUP(D593,Products!$A:$E,4,FALSE()))/VLOOKUP(D593,Products!$A:$E,5,FALSE()),"")</f>
        <v>0.5926512968299712</v>
      </c>
    </row>
    <row r="594" spans="1:18" x14ac:dyDescent="0.3">
      <c r="A594" s="22" t="s">
        <v>1064</v>
      </c>
      <c r="B594" s="23">
        <v>45402</v>
      </c>
      <c r="C594" s="22" t="s">
        <v>227</v>
      </c>
      <c r="D594" s="22" t="s">
        <v>293</v>
      </c>
      <c r="E594" s="22" t="s">
        <v>1625</v>
      </c>
      <c r="F594" s="24">
        <v>1</v>
      </c>
      <c r="G594" s="24">
        <v>3870</v>
      </c>
      <c r="H594" s="24">
        <v>22.6</v>
      </c>
      <c r="I594" s="24">
        <v>2995.38</v>
      </c>
      <c r="J594" s="22" t="s">
        <v>104</v>
      </c>
      <c r="K594" s="22" t="s">
        <v>105</v>
      </c>
      <c r="L594" t="str">
        <f>VLOOKUP(D594,Products!A:F,3,FALSE())</f>
        <v>Electronics</v>
      </c>
      <c r="M594" t="str">
        <f>VLOOKUP(C594,Customers!A:F,5,FALSE())</f>
        <v>Corporate</v>
      </c>
      <c r="O594" t="str">
        <f>IFERROR(VLOOKUP(E594,Sales_Reps!$A:$C,3,FALSE()),"")</f>
        <v/>
      </c>
      <c r="P594">
        <f>IFERROR(VLOOKUP(C594,Customers!$A:$C,3,FALSE()),"")</f>
        <v>47</v>
      </c>
      <c r="Q594" t="str">
        <f t="shared" si="9"/>
        <v>Apr-24</v>
      </c>
      <c r="R594">
        <f>IFERROR((VLOOKUP(D594,Products!$A:$E,5,FALSE())-VLOOKUP(D594,Products!$A:$E,4,FALSE()))/VLOOKUP(D594,Products!$A:$E,5,FALSE()),"")</f>
        <v>0.59715762273901807</v>
      </c>
    </row>
    <row r="595" spans="1:18" x14ac:dyDescent="0.3">
      <c r="A595" s="22" t="s">
        <v>1626</v>
      </c>
      <c r="B595" s="23">
        <v>45503</v>
      </c>
      <c r="C595" s="22" t="s">
        <v>1627</v>
      </c>
      <c r="D595" s="22" t="s">
        <v>674</v>
      </c>
      <c r="E595" s="22" t="s">
        <v>1628</v>
      </c>
      <c r="F595" s="24">
        <v>3</v>
      </c>
      <c r="G595" s="24">
        <v>1090</v>
      </c>
      <c r="H595" s="24">
        <v>28.1</v>
      </c>
      <c r="I595" s="24">
        <v>2351.13</v>
      </c>
      <c r="J595" s="22" t="s">
        <v>104</v>
      </c>
      <c r="K595" s="22" t="s">
        <v>151</v>
      </c>
      <c r="L595" t="str">
        <f>VLOOKUP(D595,Products!A:F,3,FALSE())</f>
        <v>Home</v>
      </c>
      <c r="M595" t="str">
        <f>VLOOKUP(C595,Customers!A:F,5,FALSE())</f>
        <v>Retail</v>
      </c>
      <c r="O595" t="str">
        <f>IFERROR(VLOOKUP(E595,Sales_Reps!$A:$C,3,FALSE()),"")</f>
        <v/>
      </c>
      <c r="P595">
        <f>IFERROR(VLOOKUP(C595,Customers!$A:$C,3,FALSE()),"")</f>
        <v>41</v>
      </c>
      <c r="Q595" t="str">
        <f t="shared" si="9"/>
        <v>Jul-24</v>
      </c>
      <c r="R595">
        <f>IFERROR((VLOOKUP(D595,Products!$A:$E,5,FALSE())-VLOOKUP(D595,Products!$A:$E,4,FALSE()))/VLOOKUP(D595,Products!$A:$E,5,FALSE()),"")</f>
        <v>0.57431192660550456</v>
      </c>
    </row>
    <row r="596" spans="1:18" x14ac:dyDescent="0.3">
      <c r="A596" s="22" t="s">
        <v>1629</v>
      </c>
      <c r="B596" s="23">
        <v>45524</v>
      </c>
      <c r="C596" s="22" t="s">
        <v>611</v>
      </c>
      <c r="D596" s="22" t="s">
        <v>157</v>
      </c>
      <c r="E596" s="22" t="s">
        <v>1630</v>
      </c>
      <c r="F596" s="24">
        <v>2</v>
      </c>
      <c r="G596" s="24">
        <v>2600</v>
      </c>
      <c r="H596" s="24">
        <v>5.6</v>
      </c>
      <c r="I596" s="24">
        <v>4908.8</v>
      </c>
      <c r="J596" s="22" t="s">
        <v>104</v>
      </c>
      <c r="K596" s="22" t="s">
        <v>129</v>
      </c>
      <c r="L596" t="str">
        <f>VLOOKUP(D596,Products!A:F,3,FALSE())</f>
        <v>Electronics</v>
      </c>
      <c r="M596" t="str">
        <f>VLOOKUP(C596,Customers!A:F,5,FALSE())</f>
        <v>Retail</v>
      </c>
      <c r="O596" t="str">
        <f>IFERROR(VLOOKUP(E596,Sales_Reps!$A:$C,3,FALSE()),"")</f>
        <v/>
      </c>
      <c r="P596">
        <f>IFERROR(VLOOKUP(C596,Customers!$A:$C,3,FALSE()),"")</f>
        <v>61</v>
      </c>
      <c r="Q596" t="str">
        <f t="shared" si="9"/>
        <v>Aug-24</v>
      </c>
      <c r="R596">
        <f>IFERROR((VLOOKUP(D596,Products!$A:$E,5,FALSE())-VLOOKUP(D596,Products!$A:$E,4,FALSE()))/VLOOKUP(D596,Products!$A:$E,5,FALSE()),"")</f>
        <v>0.5953846153846154</v>
      </c>
    </row>
    <row r="597" spans="1:18" x14ac:dyDescent="0.3">
      <c r="A597" s="22" t="s">
        <v>1631</v>
      </c>
      <c r="B597" s="23">
        <v>45425</v>
      </c>
      <c r="C597" s="22" t="s">
        <v>1281</v>
      </c>
      <c r="D597" s="22" t="s">
        <v>132</v>
      </c>
      <c r="E597" s="22" t="s">
        <v>1632</v>
      </c>
      <c r="F597" s="24">
        <v>4</v>
      </c>
      <c r="G597" s="24">
        <v>960</v>
      </c>
      <c r="H597" s="24">
        <v>21.7</v>
      </c>
      <c r="I597" s="24">
        <v>3006.72</v>
      </c>
      <c r="J597" s="22" t="s">
        <v>104</v>
      </c>
      <c r="K597" s="22" t="s">
        <v>105</v>
      </c>
      <c r="L597" t="str">
        <f>VLOOKUP(D597,Products!A:F,3,FALSE())</f>
        <v>Sports</v>
      </c>
      <c r="M597" t="str">
        <f>VLOOKUP(C597,Customers!A:F,5,FALSE())</f>
        <v>SMB</v>
      </c>
      <c r="O597" t="str">
        <f>IFERROR(VLOOKUP(E597,Sales_Reps!$A:$C,3,FALSE()),"")</f>
        <v/>
      </c>
      <c r="P597">
        <f>IFERROR(VLOOKUP(C597,Customers!$A:$C,3,FALSE()),"")</f>
        <v>59</v>
      </c>
      <c r="Q597" t="str">
        <f t="shared" si="9"/>
        <v>May-24</v>
      </c>
      <c r="R597">
        <f>IFERROR((VLOOKUP(D597,Products!$A:$E,5,FALSE())-VLOOKUP(D597,Products!$A:$E,4,FALSE()))/VLOOKUP(D597,Products!$A:$E,5,FALSE()),"")</f>
        <v>0.265625</v>
      </c>
    </row>
    <row r="598" spans="1:18" x14ac:dyDescent="0.3">
      <c r="A598" s="22" t="s">
        <v>1633</v>
      </c>
      <c r="B598" s="23">
        <v>45533</v>
      </c>
      <c r="C598" s="22" t="s">
        <v>1634</v>
      </c>
      <c r="D598" s="22" t="s">
        <v>127</v>
      </c>
      <c r="E598" s="22" t="s">
        <v>1635</v>
      </c>
      <c r="F598" s="24">
        <v>6</v>
      </c>
      <c r="G598" s="24">
        <v>370</v>
      </c>
      <c r="H598" s="24">
        <v>22.5</v>
      </c>
      <c r="I598" s="24">
        <v>1720.5</v>
      </c>
      <c r="J598" s="22" t="s">
        <v>104</v>
      </c>
      <c r="K598" s="22" t="s">
        <v>129</v>
      </c>
      <c r="L598" t="str">
        <f>VLOOKUP(D598,Products!A:F,3,FALSE())</f>
        <v>Home</v>
      </c>
      <c r="M598" t="str">
        <f>VLOOKUP(C598,Customers!A:F,5,FALSE())</f>
        <v>Retail</v>
      </c>
      <c r="O598" t="str">
        <f>IFERROR(VLOOKUP(E598,Sales_Reps!$A:$C,3,FALSE()),"")</f>
        <v/>
      </c>
      <c r="P598">
        <f>IFERROR(VLOOKUP(C598,Customers!$A:$C,3,FALSE()),"")</f>
        <v>54</v>
      </c>
      <c r="Q598" t="str">
        <f t="shared" si="9"/>
        <v>Aug-24</v>
      </c>
      <c r="R598">
        <f>IFERROR((VLOOKUP(D598,Products!$A:$E,5,FALSE())-VLOOKUP(D598,Products!$A:$E,4,FALSE()))/VLOOKUP(D598,Products!$A:$E,5,FALSE()),"")</f>
        <v>0.22162162162162163</v>
      </c>
    </row>
    <row r="599" spans="1:18" x14ac:dyDescent="0.3">
      <c r="A599" s="22" t="s">
        <v>1636</v>
      </c>
      <c r="B599" s="23">
        <v>45649</v>
      </c>
      <c r="C599" s="22" t="s">
        <v>296</v>
      </c>
      <c r="D599" s="22" t="s">
        <v>577</v>
      </c>
      <c r="E599" s="22" t="s">
        <v>1637</v>
      </c>
      <c r="F599" s="24">
        <v>5</v>
      </c>
      <c r="G599" s="24">
        <v>5080</v>
      </c>
      <c r="H599" s="24">
        <v>23.8</v>
      </c>
      <c r="I599" s="24">
        <v>19354.8</v>
      </c>
      <c r="J599" s="22" t="s">
        <v>104</v>
      </c>
      <c r="K599" s="22" t="s">
        <v>134</v>
      </c>
      <c r="L599" t="str">
        <f>VLOOKUP(D599,Products!A:F,3,FALSE())</f>
        <v>Home</v>
      </c>
      <c r="M599" t="str">
        <f>VLOOKUP(C599,Customers!A:F,5,FALSE())</f>
        <v>SMB</v>
      </c>
      <c r="O599" t="str">
        <f>IFERROR(VLOOKUP(E599,Sales_Reps!$A:$C,3,FALSE()),"")</f>
        <v/>
      </c>
      <c r="P599">
        <f>IFERROR(VLOOKUP(C599,Customers!$A:$C,3,FALSE()),"")</f>
        <v>34</v>
      </c>
      <c r="Q599" t="str">
        <f t="shared" si="9"/>
        <v>Dec-24</v>
      </c>
      <c r="R599">
        <f>IFERROR((VLOOKUP(D599,Products!$A:$E,5,FALSE())-VLOOKUP(D599,Products!$A:$E,4,FALSE()))/VLOOKUP(D599,Products!$A:$E,5,FALSE()),"")</f>
        <v>0.51594488188976373</v>
      </c>
    </row>
    <row r="600" spans="1:18" x14ac:dyDescent="0.3">
      <c r="A600" s="22" t="s">
        <v>1638</v>
      </c>
      <c r="B600" s="23">
        <v>45375</v>
      </c>
      <c r="C600" s="22" t="s">
        <v>766</v>
      </c>
      <c r="D600" s="22" t="s">
        <v>308</v>
      </c>
      <c r="E600" s="22" t="s">
        <v>1639</v>
      </c>
      <c r="F600" s="24">
        <v>5</v>
      </c>
      <c r="G600" s="24">
        <v>1540</v>
      </c>
      <c r="H600" s="24">
        <v>6.1</v>
      </c>
      <c r="I600" s="24">
        <v>7230.3</v>
      </c>
      <c r="J600" s="22" t="s">
        <v>104</v>
      </c>
      <c r="K600" s="22" t="s">
        <v>105</v>
      </c>
      <c r="L600" t="str">
        <f>VLOOKUP(D600,Products!A:F,3,FALSE())</f>
        <v>Beauty</v>
      </c>
      <c r="M600" t="str">
        <f>VLOOKUP(C600,Customers!A:F,5,FALSE())</f>
        <v>Retail</v>
      </c>
      <c r="O600" t="str">
        <f>IFERROR(VLOOKUP(E600,Sales_Reps!$A:$C,3,FALSE()),"")</f>
        <v/>
      </c>
      <c r="P600">
        <f>IFERROR(VLOOKUP(C600,Customers!$A:$C,3,FALSE()),"")</f>
        <v>62</v>
      </c>
      <c r="Q600" t="str">
        <f t="shared" si="9"/>
        <v>Mar-24</v>
      </c>
      <c r="R600">
        <f>IFERROR((VLOOKUP(D600,Products!$A:$E,5,FALSE())-VLOOKUP(D600,Products!$A:$E,4,FALSE()))/VLOOKUP(D600,Products!$A:$E,5,FALSE()),"")</f>
        <v>0.57987012987012987</v>
      </c>
    </row>
    <row r="601" spans="1:18" x14ac:dyDescent="0.3">
      <c r="A601" s="22" t="s">
        <v>1640</v>
      </c>
      <c r="B601" s="23">
        <v>45342</v>
      </c>
      <c r="C601" s="22" t="s">
        <v>1641</v>
      </c>
      <c r="D601" s="22" t="s">
        <v>149</v>
      </c>
      <c r="E601" s="22" t="s">
        <v>1642</v>
      </c>
      <c r="F601" s="24">
        <v>7</v>
      </c>
      <c r="G601" s="24">
        <v>2270</v>
      </c>
      <c r="H601" s="24">
        <v>0.4</v>
      </c>
      <c r="I601" s="24">
        <v>15826.44</v>
      </c>
      <c r="J601" s="22" t="s">
        <v>104</v>
      </c>
      <c r="K601" s="22" t="s">
        <v>129</v>
      </c>
      <c r="L601" t="str">
        <f>VLOOKUP(D601,Products!A:F,3,FALSE())</f>
        <v>Grocery</v>
      </c>
      <c r="M601" t="str">
        <f>VLOOKUP(C601,Customers!A:F,5,FALSE())</f>
        <v>Retail</v>
      </c>
      <c r="O601" t="str">
        <f>IFERROR(VLOOKUP(E601,Sales_Reps!$A:$C,3,FALSE()),"")</f>
        <v/>
      </c>
      <c r="P601">
        <f>IFERROR(VLOOKUP(C601,Customers!$A:$C,3,FALSE()),"")</f>
        <v>37</v>
      </c>
      <c r="Q601" t="str">
        <f t="shared" si="9"/>
        <v>Feb-24</v>
      </c>
      <c r="R601">
        <f>IFERROR((VLOOKUP(D601,Products!$A:$E,5,FALSE())-VLOOKUP(D601,Products!$A:$E,4,FALSE()))/VLOOKUP(D601,Products!$A:$E,5,FALSE()),"")</f>
        <v>0.47004405286343615</v>
      </c>
    </row>
    <row r="602" spans="1:18" x14ac:dyDescent="0.3">
      <c r="A602" s="22" t="s">
        <v>1643</v>
      </c>
      <c r="B602" s="23">
        <v>45441</v>
      </c>
      <c r="C602" s="22" t="s">
        <v>1230</v>
      </c>
      <c r="D602" s="22" t="s">
        <v>132</v>
      </c>
      <c r="E602" s="22" t="s">
        <v>1644</v>
      </c>
      <c r="F602" s="24">
        <v>2</v>
      </c>
      <c r="G602" s="24">
        <v>960</v>
      </c>
      <c r="H602" s="24">
        <v>3.7</v>
      </c>
      <c r="I602" s="24">
        <v>1848.96</v>
      </c>
      <c r="J602" s="22" t="s">
        <v>104</v>
      </c>
      <c r="K602" s="22" t="s">
        <v>151</v>
      </c>
      <c r="L602" t="str">
        <f>VLOOKUP(D602,Products!A:F,3,FALSE())</f>
        <v>Sports</v>
      </c>
      <c r="M602" t="str">
        <f>VLOOKUP(C602,Customers!A:F,5,FALSE())</f>
        <v>Retail</v>
      </c>
      <c r="O602" t="str">
        <f>IFERROR(VLOOKUP(E602,Sales_Reps!$A:$C,3,FALSE()),"")</f>
        <v/>
      </c>
      <c r="P602">
        <f>IFERROR(VLOOKUP(C602,Customers!$A:$C,3,FALSE()),"")</f>
        <v>52</v>
      </c>
      <c r="Q602" t="str">
        <f t="shared" si="9"/>
        <v>May-24</v>
      </c>
      <c r="R602">
        <f>IFERROR((VLOOKUP(D602,Products!$A:$E,5,FALSE())-VLOOKUP(D602,Products!$A:$E,4,FALSE()))/VLOOKUP(D602,Products!$A:$E,5,FALSE()),"")</f>
        <v>0.265625</v>
      </c>
    </row>
    <row r="603" spans="1:18" x14ac:dyDescent="0.3">
      <c r="A603" s="22" t="s">
        <v>1645</v>
      </c>
      <c r="B603" s="23">
        <v>45410</v>
      </c>
      <c r="C603" s="22" t="s">
        <v>520</v>
      </c>
      <c r="D603" s="22" t="s">
        <v>137</v>
      </c>
      <c r="E603" s="22" t="s">
        <v>1646</v>
      </c>
      <c r="F603" s="24">
        <v>6</v>
      </c>
      <c r="G603" s="24">
        <v>1430</v>
      </c>
      <c r="H603" s="24">
        <v>2</v>
      </c>
      <c r="I603" s="24">
        <v>8408.4</v>
      </c>
      <c r="J603" s="22" t="s">
        <v>110</v>
      </c>
      <c r="K603" s="22" t="s">
        <v>105</v>
      </c>
      <c r="L603" t="str">
        <f>VLOOKUP(D603,Products!A:F,3,FALSE())</f>
        <v>Electronics</v>
      </c>
      <c r="M603" t="str">
        <f>VLOOKUP(C603,Customers!A:F,5,FALSE())</f>
        <v>SMB</v>
      </c>
      <c r="O603" t="str">
        <f>IFERROR(VLOOKUP(E603,Sales_Reps!$A:$C,3,FALSE()),"")</f>
        <v/>
      </c>
      <c r="P603">
        <f>IFERROR(VLOOKUP(C603,Customers!$A:$C,3,FALSE()),"")</f>
        <v>53</v>
      </c>
      <c r="Q603" t="str">
        <f t="shared" si="9"/>
        <v>Apr-24</v>
      </c>
      <c r="R603">
        <f>IFERROR((VLOOKUP(D603,Products!$A:$E,5,FALSE())-VLOOKUP(D603,Products!$A:$E,4,FALSE()))/VLOOKUP(D603,Products!$A:$E,5,FALSE()),"")</f>
        <v>0.39790209790209791</v>
      </c>
    </row>
    <row r="604" spans="1:18" x14ac:dyDescent="0.3">
      <c r="A604" s="22" t="s">
        <v>1647</v>
      </c>
      <c r="B604" s="23">
        <v>45588</v>
      </c>
      <c r="C604" s="22" t="s">
        <v>361</v>
      </c>
      <c r="D604" s="22" t="s">
        <v>178</v>
      </c>
      <c r="E604" s="22" t="s">
        <v>1648</v>
      </c>
      <c r="F604" s="24">
        <v>10</v>
      </c>
      <c r="G604" s="24">
        <v>3450</v>
      </c>
      <c r="H604" s="24">
        <v>19.100000000000001</v>
      </c>
      <c r="I604" s="24">
        <v>27910.5</v>
      </c>
      <c r="J604" s="22" t="s">
        <v>104</v>
      </c>
      <c r="K604" s="22" t="s">
        <v>151</v>
      </c>
      <c r="L604" t="str">
        <f>VLOOKUP(D604,Products!A:F,3,FALSE())</f>
        <v>Beauty</v>
      </c>
      <c r="M604" t="str">
        <f>VLOOKUP(C604,Customers!A:F,5,FALSE())</f>
        <v>Retail</v>
      </c>
      <c r="O604" t="str">
        <f>IFERROR(VLOOKUP(E604,Sales_Reps!$A:$C,3,FALSE()),"")</f>
        <v/>
      </c>
      <c r="P604">
        <f>IFERROR(VLOOKUP(C604,Customers!$A:$C,3,FALSE()),"")</f>
        <v>29</v>
      </c>
      <c r="Q604" t="str">
        <f t="shared" si="9"/>
        <v>Oct-24</v>
      </c>
      <c r="R604">
        <f>IFERROR((VLOOKUP(D604,Products!$A:$E,5,FALSE())-VLOOKUP(D604,Products!$A:$E,4,FALSE()))/VLOOKUP(D604,Products!$A:$E,5,FALSE()),"")</f>
        <v>0.29855072463768118</v>
      </c>
    </row>
    <row r="605" spans="1:18" x14ac:dyDescent="0.3">
      <c r="A605" s="22" t="s">
        <v>1649</v>
      </c>
      <c r="B605" s="23">
        <v>45412</v>
      </c>
      <c r="C605" s="22" t="s">
        <v>573</v>
      </c>
      <c r="D605" s="22" t="s">
        <v>319</v>
      </c>
      <c r="E605" s="22" t="s">
        <v>1650</v>
      </c>
      <c r="F605" s="24">
        <v>8</v>
      </c>
      <c r="G605" s="24">
        <v>1220</v>
      </c>
      <c r="H605" s="24">
        <v>16.899999999999999</v>
      </c>
      <c r="I605" s="24">
        <v>8110.56</v>
      </c>
      <c r="J605" s="22" t="s">
        <v>104</v>
      </c>
      <c r="K605" s="22" t="s">
        <v>105</v>
      </c>
      <c r="L605" t="str">
        <f>VLOOKUP(D605,Products!A:F,3,FALSE())</f>
        <v>Electronics</v>
      </c>
      <c r="M605" t="str">
        <f>VLOOKUP(C605,Customers!A:F,5,FALSE())</f>
        <v>SMB</v>
      </c>
      <c r="O605" t="str">
        <f>IFERROR(VLOOKUP(E605,Sales_Reps!$A:$C,3,FALSE()),"")</f>
        <v/>
      </c>
      <c r="P605">
        <f>IFERROR(VLOOKUP(C605,Customers!$A:$C,3,FALSE()),"")</f>
        <v>30</v>
      </c>
      <c r="Q605" t="str">
        <f t="shared" si="9"/>
        <v>Apr-24</v>
      </c>
      <c r="R605">
        <f>IFERROR((VLOOKUP(D605,Products!$A:$E,5,FALSE())-VLOOKUP(D605,Products!$A:$E,4,FALSE()))/VLOOKUP(D605,Products!$A:$E,5,FALSE()),"")</f>
        <v>0.57622950819672136</v>
      </c>
    </row>
    <row r="606" spans="1:18" x14ac:dyDescent="0.3">
      <c r="A606" s="22" t="s">
        <v>1651</v>
      </c>
      <c r="B606" s="23">
        <v>45439</v>
      </c>
      <c r="C606" s="22" t="s">
        <v>1481</v>
      </c>
      <c r="D606" s="22" t="s">
        <v>231</v>
      </c>
      <c r="E606" s="22" t="s">
        <v>1652</v>
      </c>
      <c r="F606" s="24">
        <v>9</v>
      </c>
      <c r="G606" s="24">
        <v>2760</v>
      </c>
      <c r="H606" s="24">
        <v>16.899999999999999</v>
      </c>
      <c r="I606" s="24">
        <v>20642.04</v>
      </c>
      <c r="J606" s="22" t="s">
        <v>104</v>
      </c>
      <c r="K606" s="22" t="s">
        <v>116</v>
      </c>
      <c r="L606" t="str">
        <f>VLOOKUP(D606,Products!A:F,3,FALSE())</f>
        <v>Grocery</v>
      </c>
      <c r="M606" t="str">
        <f>VLOOKUP(C606,Customers!A:F,5,FALSE())</f>
        <v>Retail</v>
      </c>
      <c r="O606" t="str">
        <f>IFERROR(VLOOKUP(E606,Sales_Reps!$A:$C,3,FALSE()),"")</f>
        <v/>
      </c>
      <c r="P606">
        <f>IFERROR(VLOOKUP(C606,Customers!$A:$C,3,FALSE()),"")</f>
        <v>47</v>
      </c>
      <c r="Q606" t="str">
        <f t="shared" si="9"/>
        <v>May-24</v>
      </c>
      <c r="R606">
        <f>IFERROR((VLOOKUP(D606,Products!$A:$E,5,FALSE())-VLOOKUP(D606,Products!$A:$E,4,FALSE()))/VLOOKUP(D606,Products!$A:$E,5,FALSE()),"")</f>
        <v>0.48007246376811596</v>
      </c>
    </row>
    <row r="607" spans="1:18" x14ac:dyDescent="0.3">
      <c r="A607" s="22" t="s">
        <v>1653</v>
      </c>
      <c r="B607" s="23">
        <v>45593</v>
      </c>
      <c r="C607" s="22" t="s">
        <v>1654</v>
      </c>
      <c r="D607" s="22" t="s">
        <v>205</v>
      </c>
      <c r="E607" s="22" t="s">
        <v>1655</v>
      </c>
      <c r="F607" s="24">
        <v>6</v>
      </c>
      <c r="G607" s="24">
        <v>3350</v>
      </c>
      <c r="H607" s="24">
        <v>11.8</v>
      </c>
      <c r="I607" s="24">
        <v>17728.2</v>
      </c>
      <c r="J607" s="22" t="s">
        <v>110</v>
      </c>
      <c r="K607" s="22" t="s">
        <v>129</v>
      </c>
      <c r="L607" t="str">
        <f>VLOOKUP(D607,Products!A:F,3,FALSE())</f>
        <v>Beauty</v>
      </c>
      <c r="M607" t="str">
        <f>VLOOKUP(C607,Customers!A:F,5,FALSE())</f>
        <v>SMB</v>
      </c>
      <c r="O607" t="str">
        <f>IFERROR(VLOOKUP(E607,Sales_Reps!$A:$C,3,FALSE()),"")</f>
        <v/>
      </c>
      <c r="P607">
        <f>IFERROR(VLOOKUP(C607,Customers!$A:$C,3,FALSE()),"")</f>
        <v>54</v>
      </c>
      <c r="Q607" t="str">
        <f t="shared" si="9"/>
        <v>Oct-24</v>
      </c>
      <c r="R607">
        <f>IFERROR((VLOOKUP(D607,Products!$A:$E,5,FALSE())-VLOOKUP(D607,Products!$A:$E,4,FALSE()))/VLOOKUP(D607,Products!$A:$E,5,FALSE()),"")</f>
        <v>0.48417910447761192</v>
      </c>
    </row>
    <row r="608" spans="1:18" x14ac:dyDescent="0.3">
      <c r="A608" s="22" t="s">
        <v>1656</v>
      </c>
      <c r="B608" s="23">
        <v>45570</v>
      </c>
      <c r="C608" s="22" t="s">
        <v>296</v>
      </c>
      <c r="D608" s="22" t="s">
        <v>220</v>
      </c>
      <c r="E608" s="22" t="s">
        <v>1657</v>
      </c>
      <c r="F608" s="24">
        <v>6</v>
      </c>
      <c r="G608" s="24">
        <v>5100</v>
      </c>
      <c r="H608" s="24">
        <v>13.2</v>
      </c>
      <c r="I608" s="24">
        <v>26560.799999999999</v>
      </c>
      <c r="J608" s="22" t="s">
        <v>104</v>
      </c>
      <c r="K608" s="22" t="s">
        <v>134</v>
      </c>
      <c r="L608" t="str">
        <f>VLOOKUP(D608,Products!A:F,3,FALSE())</f>
        <v>Beauty</v>
      </c>
      <c r="M608" t="str">
        <f>VLOOKUP(C608,Customers!A:F,5,FALSE())</f>
        <v>SMB</v>
      </c>
      <c r="O608" t="str">
        <f>IFERROR(VLOOKUP(E608,Sales_Reps!$A:$C,3,FALSE()),"")</f>
        <v/>
      </c>
      <c r="P608">
        <f>IFERROR(VLOOKUP(C608,Customers!$A:$C,3,FALSE()),"")</f>
        <v>34</v>
      </c>
      <c r="Q608" t="str">
        <f t="shared" si="9"/>
        <v>Oct-24</v>
      </c>
      <c r="R608">
        <f>IFERROR((VLOOKUP(D608,Products!$A:$E,5,FALSE())-VLOOKUP(D608,Products!$A:$E,4,FALSE()))/VLOOKUP(D608,Products!$A:$E,5,FALSE()),"")</f>
        <v>0.56137254901960787</v>
      </c>
    </row>
    <row r="609" spans="1:18" x14ac:dyDescent="0.3">
      <c r="A609" s="22" t="s">
        <v>1658</v>
      </c>
      <c r="B609" s="23">
        <v>45474</v>
      </c>
      <c r="C609" s="22" t="s">
        <v>1659</v>
      </c>
      <c r="D609" s="22" t="s">
        <v>153</v>
      </c>
      <c r="E609" s="22" t="s">
        <v>1660</v>
      </c>
      <c r="F609" s="24">
        <v>6</v>
      </c>
      <c r="G609" s="24">
        <v>2640</v>
      </c>
      <c r="H609" s="24">
        <v>26.2</v>
      </c>
      <c r="I609" s="24">
        <v>11689.92</v>
      </c>
      <c r="J609" s="22" t="s">
        <v>104</v>
      </c>
      <c r="K609" s="22" t="s">
        <v>111</v>
      </c>
      <c r="L609" t="str">
        <f>VLOOKUP(D609,Products!A:F,3,FALSE())</f>
        <v>Electronics</v>
      </c>
      <c r="M609" t="str">
        <f>VLOOKUP(C609,Customers!A:F,5,FALSE())</f>
        <v>Retail</v>
      </c>
      <c r="O609" t="str">
        <f>IFERROR(VLOOKUP(E609,Sales_Reps!$A:$C,3,FALSE()),"")</f>
        <v/>
      </c>
      <c r="P609">
        <f>IFERROR(VLOOKUP(C609,Customers!$A:$C,3,FALSE()),"")</f>
        <v>49</v>
      </c>
      <c r="Q609" t="str">
        <f t="shared" si="9"/>
        <v>Jul-24</v>
      </c>
      <c r="R609">
        <f>IFERROR((VLOOKUP(D609,Products!$A:$E,5,FALSE())-VLOOKUP(D609,Products!$A:$E,4,FALSE()))/VLOOKUP(D609,Products!$A:$E,5,FALSE()),"")</f>
        <v>0.56477272727272732</v>
      </c>
    </row>
    <row r="610" spans="1:18" x14ac:dyDescent="0.3">
      <c r="A610" s="22" t="s">
        <v>1661</v>
      </c>
      <c r="B610" s="23">
        <v>45524</v>
      </c>
      <c r="C610" s="22" t="s">
        <v>830</v>
      </c>
      <c r="D610" s="22" t="s">
        <v>119</v>
      </c>
      <c r="E610" s="22" t="s">
        <v>1662</v>
      </c>
      <c r="F610" s="24">
        <v>1</v>
      </c>
      <c r="G610" s="24">
        <v>3660</v>
      </c>
      <c r="H610" s="24">
        <v>19.7</v>
      </c>
      <c r="I610" s="24">
        <v>2938.98</v>
      </c>
      <c r="J610" s="22" t="s">
        <v>104</v>
      </c>
      <c r="K610" s="22" t="s">
        <v>129</v>
      </c>
      <c r="L610" t="str">
        <f>VLOOKUP(D610,Products!A:F,3,FALSE())</f>
        <v>Grocery</v>
      </c>
      <c r="M610" t="str">
        <f>VLOOKUP(C610,Customers!A:F,5,FALSE())</f>
        <v>Retail</v>
      </c>
      <c r="O610" t="str">
        <f>IFERROR(VLOOKUP(E610,Sales_Reps!$A:$C,3,FALSE()),"")</f>
        <v/>
      </c>
      <c r="P610">
        <f>IFERROR(VLOOKUP(C610,Customers!$A:$C,3,FALSE()),"")</f>
        <v>39</v>
      </c>
      <c r="Q610" t="str">
        <f t="shared" si="9"/>
        <v>Aug-24</v>
      </c>
      <c r="R610">
        <f>IFERROR((VLOOKUP(D610,Products!$A:$E,5,FALSE())-VLOOKUP(D610,Products!$A:$E,4,FALSE()))/VLOOKUP(D610,Products!$A:$E,5,FALSE()),"")</f>
        <v>0.39508196721311473</v>
      </c>
    </row>
    <row r="611" spans="1:18" x14ac:dyDescent="0.3">
      <c r="A611" s="22" t="s">
        <v>1663</v>
      </c>
      <c r="B611" s="23">
        <v>45468</v>
      </c>
      <c r="C611" s="22" t="s">
        <v>855</v>
      </c>
      <c r="D611" s="22" t="s">
        <v>127</v>
      </c>
      <c r="E611" s="22" t="s">
        <v>1664</v>
      </c>
      <c r="F611" s="24">
        <v>5</v>
      </c>
      <c r="G611" s="24">
        <v>370</v>
      </c>
      <c r="H611" s="24">
        <v>21.7</v>
      </c>
      <c r="I611" s="24">
        <v>1448.55</v>
      </c>
      <c r="J611" s="22" t="s">
        <v>104</v>
      </c>
      <c r="K611" s="22" t="s">
        <v>129</v>
      </c>
      <c r="L611" t="str">
        <f>VLOOKUP(D611,Products!A:F,3,FALSE())</f>
        <v>Home</v>
      </c>
      <c r="M611" t="str">
        <f>VLOOKUP(C611,Customers!A:F,5,FALSE())</f>
        <v>Retail</v>
      </c>
      <c r="O611" t="str">
        <f>IFERROR(VLOOKUP(E611,Sales_Reps!$A:$C,3,FALSE()),"")</f>
        <v/>
      </c>
      <c r="P611">
        <f>IFERROR(VLOOKUP(C611,Customers!$A:$C,3,FALSE()),"")</f>
        <v>44</v>
      </c>
      <c r="Q611" t="str">
        <f t="shared" si="9"/>
        <v>Jun-24</v>
      </c>
      <c r="R611">
        <f>IFERROR((VLOOKUP(D611,Products!$A:$E,5,FALSE())-VLOOKUP(D611,Products!$A:$E,4,FALSE()))/VLOOKUP(D611,Products!$A:$E,5,FALSE()),"")</f>
        <v>0.22162162162162163</v>
      </c>
    </row>
    <row r="612" spans="1:18" x14ac:dyDescent="0.3">
      <c r="A612" s="22" t="s">
        <v>1665</v>
      </c>
      <c r="B612" s="23">
        <v>45336</v>
      </c>
      <c r="C612" s="22" t="s">
        <v>500</v>
      </c>
      <c r="D612" s="22" t="s">
        <v>352</v>
      </c>
      <c r="E612" s="22" t="s">
        <v>1666</v>
      </c>
      <c r="F612" s="24">
        <v>5</v>
      </c>
      <c r="G612" s="24">
        <v>620</v>
      </c>
      <c r="H612" s="24">
        <v>10.199999999999999</v>
      </c>
      <c r="I612" s="24">
        <v>2783.8</v>
      </c>
      <c r="J612" s="22" t="s">
        <v>104</v>
      </c>
      <c r="K612" s="22" t="s">
        <v>134</v>
      </c>
      <c r="L612" t="str">
        <f>VLOOKUP(D612,Products!A:F,3,FALSE())</f>
        <v>Apparel</v>
      </c>
      <c r="M612" t="str">
        <f>VLOOKUP(C612,Customers!A:F,5,FALSE())</f>
        <v>SMB</v>
      </c>
      <c r="O612" t="str">
        <f>IFERROR(VLOOKUP(E612,Sales_Reps!$A:$C,3,FALSE()),"")</f>
        <v/>
      </c>
      <c r="P612">
        <f>IFERROR(VLOOKUP(C612,Customers!$A:$C,3,FALSE()),"")</f>
        <v>28</v>
      </c>
      <c r="Q612" t="str">
        <f t="shared" si="9"/>
        <v>Feb-24</v>
      </c>
      <c r="R612">
        <f>IFERROR((VLOOKUP(D612,Products!$A:$E,5,FALSE())-VLOOKUP(D612,Products!$A:$E,4,FALSE()))/VLOOKUP(D612,Products!$A:$E,5,FALSE()),"")</f>
        <v>0.36129032258064514</v>
      </c>
    </row>
    <row r="613" spans="1:18" x14ac:dyDescent="0.3">
      <c r="A613" s="22" t="s">
        <v>1667</v>
      </c>
      <c r="B613" s="23">
        <v>45392</v>
      </c>
      <c r="C613" s="22" t="s">
        <v>1002</v>
      </c>
      <c r="D613" s="22" t="s">
        <v>114</v>
      </c>
      <c r="E613" s="22" t="s">
        <v>1668</v>
      </c>
      <c r="F613" s="24">
        <v>8</v>
      </c>
      <c r="G613" s="24">
        <v>470</v>
      </c>
      <c r="H613" s="24">
        <v>2.4</v>
      </c>
      <c r="I613" s="24">
        <v>3669.76</v>
      </c>
      <c r="J613" s="22" t="s">
        <v>104</v>
      </c>
      <c r="K613" s="22" t="s">
        <v>151</v>
      </c>
      <c r="L613" t="str">
        <f>VLOOKUP(D613,Products!A:F,3,FALSE())</f>
        <v>Sports</v>
      </c>
      <c r="M613" t="str">
        <f>VLOOKUP(C613,Customers!A:F,5,FALSE())</f>
        <v>Retail</v>
      </c>
      <c r="O613" t="str">
        <f>IFERROR(VLOOKUP(E613,Sales_Reps!$A:$C,3,FALSE()),"")</f>
        <v/>
      </c>
      <c r="P613">
        <f>IFERROR(VLOOKUP(C613,Customers!$A:$C,3,FALSE()),"")</f>
        <v>65</v>
      </c>
      <c r="Q613" t="str">
        <f t="shared" si="9"/>
        <v>Apr-24</v>
      </c>
      <c r="R613">
        <f>IFERROR((VLOOKUP(D613,Products!$A:$E,5,FALSE())-VLOOKUP(D613,Products!$A:$E,4,FALSE()))/VLOOKUP(D613,Products!$A:$E,5,FALSE()),"")</f>
        <v>0.35744680851063831</v>
      </c>
    </row>
    <row r="614" spans="1:18" x14ac:dyDescent="0.3">
      <c r="A614" s="22" t="s">
        <v>1669</v>
      </c>
      <c r="B614" s="23">
        <v>45610</v>
      </c>
      <c r="C614" s="22" t="s">
        <v>876</v>
      </c>
      <c r="D614" s="22" t="s">
        <v>488</v>
      </c>
      <c r="E614" s="22" t="s">
        <v>1670</v>
      </c>
      <c r="F614" s="24">
        <v>3</v>
      </c>
      <c r="G614" s="24">
        <v>2290</v>
      </c>
      <c r="H614" s="24">
        <v>20.8</v>
      </c>
      <c r="I614" s="24">
        <v>5441.04</v>
      </c>
      <c r="J614" s="22" t="s">
        <v>104</v>
      </c>
      <c r="K614" s="22" t="s">
        <v>116</v>
      </c>
      <c r="L614" t="str">
        <f>VLOOKUP(D614,Products!A:F,3,FALSE())</f>
        <v>Beauty</v>
      </c>
      <c r="M614" t="str">
        <f>VLOOKUP(C614,Customers!A:F,5,FALSE())</f>
        <v>Retail</v>
      </c>
      <c r="O614" t="str">
        <f>IFERROR(VLOOKUP(E614,Sales_Reps!$A:$C,3,FALSE()),"")</f>
        <v/>
      </c>
      <c r="P614">
        <f>IFERROR(VLOOKUP(C614,Customers!$A:$C,3,FALSE()),"")</f>
        <v>40</v>
      </c>
      <c r="Q614" t="str">
        <f t="shared" si="9"/>
        <v>Nov-24</v>
      </c>
      <c r="R614">
        <f>IFERROR((VLOOKUP(D614,Products!$A:$E,5,FALSE())-VLOOKUP(D614,Products!$A:$E,4,FALSE()))/VLOOKUP(D614,Products!$A:$E,5,FALSE()),"")</f>
        <v>0.46768558951965067</v>
      </c>
    </row>
    <row r="615" spans="1:18" x14ac:dyDescent="0.3">
      <c r="A615" s="22" t="s">
        <v>1671</v>
      </c>
      <c r="B615" s="23">
        <v>45297</v>
      </c>
      <c r="C615" s="22" t="s">
        <v>1672</v>
      </c>
      <c r="D615" s="22" t="s">
        <v>132</v>
      </c>
      <c r="E615" s="22" t="s">
        <v>1673</v>
      </c>
      <c r="F615" s="24">
        <v>4</v>
      </c>
      <c r="G615" s="24">
        <v>960</v>
      </c>
      <c r="H615" s="24">
        <v>28.8</v>
      </c>
      <c r="I615" s="24">
        <v>2734.08</v>
      </c>
      <c r="J615" s="22" t="s">
        <v>110</v>
      </c>
      <c r="K615" s="22" t="s">
        <v>129</v>
      </c>
      <c r="L615" t="str">
        <f>VLOOKUP(D615,Products!A:F,3,FALSE())</f>
        <v>Sports</v>
      </c>
      <c r="M615" t="str">
        <f>VLOOKUP(C615,Customers!A:F,5,FALSE())</f>
        <v>SMB</v>
      </c>
      <c r="O615" t="str">
        <f>IFERROR(VLOOKUP(E615,Sales_Reps!$A:$C,3,FALSE()),"")</f>
        <v/>
      </c>
      <c r="P615">
        <f>IFERROR(VLOOKUP(C615,Customers!$A:$C,3,FALSE()),"")</f>
        <v>53</v>
      </c>
      <c r="Q615" t="str">
        <f t="shared" si="9"/>
        <v>Jan-24</v>
      </c>
      <c r="R615">
        <f>IFERROR((VLOOKUP(D615,Products!$A:$E,5,FALSE())-VLOOKUP(D615,Products!$A:$E,4,FALSE()))/VLOOKUP(D615,Products!$A:$E,5,FALSE()),"")</f>
        <v>0.265625</v>
      </c>
    </row>
    <row r="616" spans="1:18" x14ac:dyDescent="0.3">
      <c r="A616" s="22" t="s">
        <v>1674</v>
      </c>
      <c r="B616" s="23">
        <v>45558</v>
      </c>
      <c r="C616" s="22" t="s">
        <v>576</v>
      </c>
      <c r="D616" s="22" t="s">
        <v>119</v>
      </c>
      <c r="E616" s="22" t="s">
        <v>1675</v>
      </c>
      <c r="F616" s="24">
        <v>5</v>
      </c>
      <c r="G616" s="24">
        <v>3660</v>
      </c>
      <c r="H616" s="24">
        <v>11.9</v>
      </c>
      <c r="I616" s="24">
        <v>16122.3</v>
      </c>
      <c r="J616" s="22" t="s">
        <v>110</v>
      </c>
      <c r="K616" s="22" t="s">
        <v>105</v>
      </c>
      <c r="L616" t="str">
        <f>VLOOKUP(D616,Products!A:F,3,FALSE())</f>
        <v>Grocery</v>
      </c>
      <c r="M616" t="str">
        <f>VLOOKUP(C616,Customers!A:F,5,FALSE())</f>
        <v>Retail</v>
      </c>
      <c r="O616" t="str">
        <f>IFERROR(VLOOKUP(E616,Sales_Reps!$A:$C,3,FALSE()),"")</f>
        <v/>
      </c>
      <c r="P616">
        <f>IFERROR(VLOOKUP(C616,Customers!$A:$C,3,FALSE()),"")</f>
        <v>65</v>
      </c>
      <c r="Q616" t="str">
        <f t="shared" si="9"/>
        <v>Sep-24</v>
      </c>
      <c r="R616">
        <f>IFERROR((VLOOKUP(D616,Products!$A:$E,5,FALSE())-VLOOKUP(D616,Products!$A:$E,4,FALSE()))/VLOOKUP(D616,Products!$A:$E,5,FALSE()),"")</f>
        <v>0.39508196721311473</v>
      </c>
    </row>
    <row r="617" spans="1:18" x14ac:dyDescent="0.3">
      <c r="A617" s="22" t="s">
        <v>1676</v>
      </c>
      <c r="B617" s="23">
        <v>45487</v>
      </c>
      <c r="C617" s="22" t="s">
        <v>411</v>
      </c>
      <c r="D617" s="22" t="s">
        <v>216</v>
      </c>
      <c r="E617" s="22" t="s">
        <v>1677</v>
      </c>
      <c r="F617" s="24">
        <v>5</v>
      </c>
      <c r="G617" s="24">
        <v>3570</v>
      </c>
      <c r="H617" s="24">
        <v>12.4</v>
      </c>
      <c r="I617" s="24">
        <v>15636.6</v>
      </c>
      <c r="J617" s="22" t="s">
        <v>104</v>
      </c>
      <c r="K617" s="22" t="s">
        <v>151</v>
      </c>
      <c r="L617" t="str">
        <f>VLOOKUP(D617,Products!A:F,3,FALSE())</f>
        <v>Electronics</v>
      </c>
      <c r="M617" t="str">
        <f>VLOOKUP(C617,Customers!A:F,5,FALSE())</f>
        <v>SMB</v>
      </c>
      <c r="O617" t="str">
        <f>IFERROR(VLOOKUP(E617,Sales_Reps!$A:$C,3,FALSE()),"")</f>
        <v/>
      </c>
      <c r="P617">
        <f>IFERROR(VLOOKUP(C617,Customers!$A:$C,3,FALSE()),"")</f>
        <v>65</v>
      </c>
      <c r="Q617" t="str">
        <f t="shared" si="9"/>
        <v>Jul-24</v>
      </c>
      <c r="R617">
        <f>IFERROR((VLOOKUP(D617,Products!$A:$E,5,FALSE())-VLOOKUP(D617,Products!$A:$E,4,FALSE()))/VLOOKUP(D617,Products!$A:$E,5,FALSE()),"")</f>
        <v>0.53361344537815125</v>
      </c>
    </row>
    <row r="618" spans="1:18" x14ac:dyDescent="0.3">
      <c r="A618" s="22" t="s">
        <v>1678</v>
      </c>
      <c r="B618" s="23">
        <v>45307</v>
      </c>
      <c r="C618" s="22" t="s">
        <v>126</v>
      </c>
      <c r="D618" s="22" t="s">
        <v>356</v>
      </c>
      <c r="E618" s="22" t="s">
        <v>1679</v>
      </c>
      <c r="F618" s="24">
        <v>9</v>
      </c>
      <c r="G618" s="24">
        <v>2030</v>
      </c>
      <c r="H618" s="24">
        <v>23.4</v>
      </c>
      <c r="I618" s="24">
        <v>13994.82</v>
      </c>
      <c r="J618" s="22" t="s">
        <v>104</v>
      </c>
      <c r="K618" s="22" t="s">
        <v>129</v>
      </c>
      <c r="L618" t="str">
        <f>VLOOKUP(D618,Products!A:F,3,FALSE())</f>
        <v>Home</v>
      </c>
      <c r="M618" t="str">
        <f>VLOOKUP(C618,Customers!A:F,5,FALSE())</f>
        <v>Retail</v>
      </c>
      <c r="O618" t="str">
        <f>IFERROR(VLOOKUP(E618,Sales_Reps!$A:$C,3,FALSE()),"")</f>
        <v/>
      </c>
      <c r="P618">
        <f>IFERROR(VLOOKUP(C618,Customers!$A:$C,3,FALSE()),"")</f>
        <v>36</v>
      </c>
      <c r="Q618" t="str">
        <f t="shared" si="9"/>
        <v>Jan-24</v>
      </c>
      <c r="R618">
        <f>IFERROR((VLOOKUP(D618,Products!$A:$E,5,FALSE())-VLOOKUP(D618,Products!$A:$E,4,FALSE()))/VLOOKUP(D618,Products!$A:$E,5,FALSE()),"")</f>
        <v>0.43694581280788175</v>
      </c>
    </row>
    <row r="619" spans="1:18" x14ac:dyDescent="0.3">
      <c r="A619" s="22" t="s">
        <v>1680</v>
      </c>
      <c r="B619" s="23">
        <v>45328</v>
      </c>
      <c r="C619" s="22" t="s">
        <v>223</v>
      </c>
      <c r="D619" s="22" t="s">
        <v>197</v>
      </c>
      <c r="E619" s="22" t="s">
        <v>1681</v>
      </c>
      <c r="F619" s="24">
        <v>7</v>
      </c>
      <c r="G619" s="24">
        <v>2720</v>
      </c>
      <c r="H619" s="24">
        <v>11.2</v>
      </c>
      <c r="I619" s="24">
        <v>16907.52</v>
      </c>
      <c r="J619" s="22" t="s">
        <v>164</v>
      </c>
      <c r="K619" s="22" t="s">
        <v>105</v>
      </c>
      <c r="L619" t="str">
        <f>VLOOKUP(D619,Products!A:F,3,FALSE())</f>
        <v>Apparel</v>
      </c>
      <c r="M619" t="str">
        <f>VLOOKUP(C619,Customers!A:F,5,FALSE())</f>
        <v>SMB</v>
      </c>
      <c r="O619" t="str">
        <f>IFERROR(VLOOKUP(E619,Sales_Reps!$A:$C,3,FALSE()),"")</f>
        <v/>
      </c>
      <c r="P619">
        <f>IFERROR(VLOOKUP(C619,Customers!$A:$C,3,FALSE()),"")</f>
        <v>44</v>
      </c>
      <c r="Q619" t="str">
        <f t="shared" si="9"/>
        <v>Feb-24</v>
      </c>
      <c r="R619">
        <f>IFERROR((VLOOKUP(D619,Products!$A:$E,5,FALSE())-VLOOKUP(D619,Products!$A:$E,4,FALSE()))/VLOOKUP(D619,Products!$A:$E,5,FALSE()),"")</f>
        <v>0.2786764705882353</v>
      </c>
    </row>
    <row r="620" spans="1:18" x14ac:dyDescent="0.3">
      <c r="A620" s="22" t="s">
        <v>1682</v>
      </c>
      <c r="B620" s="23">
        <v>45627</v>
      </c>
      <c r="C620" s="22" t="s">
        <v>1056</v>
      </c>
      <c r="D620" s="22" t="s">
        <v>216</v>
      </c>
      <c r="E620" s="22" t="s">
        <v>1683</v>
      </c>
      <c r="F620" s="24">
        <v>2</v>
      </c>
      <c r="G620" s="24">
        <v>3570</v>
      </c>
      <c r="H620" s="24">
        <v>6.1</v>
      </c>
      <c r="I620" s="24">
        <v>6704.46</v>
      </c>
      <c r="J620" s="22" t="s">
        <v>159</v>
      </c>
      <c r="K620" s="22" t="s">
        <v>129</v>
      </c>
      <c r="L620" t="str">
        <f>VLOOKUP(D620,Products!A:F,3,FALSE())</f>
        <v>Electronics</v>
      </c>
      <c r="M620" t="str">
        <f>VLOOKUP(C620,Customers!A:F,5,FALSE())</f>
        <v>Retail</v>
      </c>
      <c r="O620" t="str">
        <f>IFERROR(VLOOKUP(E620,Sales_Reps!$A:$C,3,FALSE()),"")</f>
        <v/>
      </c>
      <c r="P620">
        <f>IFERROR(VLOOKUP(C620,Customers!$A:$C,3,FALSE()),"")</f>
        <v>56</v>
      </c>
      <c r="Q620" t="str">
        <f t="shared" si="9"/>
        <v>Dec-24</v>
      </c>
      <c r="R620">
        <f>IFERROR((VLOOKUP(D620,Products!$A:$E,5,FALSE())-VLOOKUP(D620,Products!$A:$E,4,FALSE()))/VLOOKUP(D620,Products!$A:$E,5,FALSE()),"")</f>
        <v>0.53361344537815125</v>
      </c>
    </row>
    <row r="621" spans="1:18" x14ac:dyDescent="0.3">
      <c r="A621" s="22" t="s">
        <v>1684</v>
      </c>
      <c r="B621" s="23">
        <v>45574</v>
      </c>
      <c r="C621" s="22" t="s">
        <v>1208</v>
      </c>
      <c r="D621" s="22" t="s">
        <v>171</v>
      </c>
      <c r="E621" s="22" t="s">
        <v>1685</v>
      </c>
      <c r="F621" s="24">
        <v>5</v>
      </c>
      <c r="G621" s="24">
        <v>2400</v>
      </c>
      <c r="H621" s="24">
        <v>16.100000000000001</v>
      </c>
      <c r="I621" s="24">
        <v>10068</v>
      </c>
      <c r="J621" s="22" t="s">
        <v>104</v>
      </c>
      <c r="K621" s="22" t="s">
        <v>105</v>
      </c>
      <c r="L621" t="str">
        <f>VLOOKUP(D621,Products!A:F,3,FALSE())</f>
        <v>Sports</v>
      </c>
      <c r="M621" t="str">
        <f>VLOOKUP(C621,Customers!A:F,5,FALSE())</f>
        <v>Retail</v>
      </c>
      <c r="O621" t="str">
        <f>IFERROR(VLOOKUP(E621,Sales_Reps!$A:$C,3,FALSE()),"")</f>
        <v/>
      </c>
      <c r="P621">
        <f>IFERROR(VLOOKUP(C621,Customers!$A:$C,3,FALSE()),"")</f>
        <v>36</v>
      </c>
      <c r="Q621" t="str">
        <f t="shared" si="9"/>
        <v>Oct-24</v>
      </c>
      <c r="R621">
        <f>IFERROR((VLOOKUP(D621,Products!$A:$E,5,FALSE())-VLOOKUP(D621,Products!$A:$E,4,FALSE()))/VLOOKUP(D621,Products!$A:$E,5,FALSE()),"")</f>
        <v>0.59416666666666662</v>
      </c>
    </row>
    <row r="622" spans="1:18" x14ac:dyDescent="0.3">
      <c r="A622" s="22" t="s">
        <v>1686</v>
      </c>
      <c r="B622" s="23">
        <v>45592</v>
      </c>
      <c r="C622" s="22" t="s">
        <v>1672</v>
      </c>
      <c r="D622" s="22" t="s">
        <v>149</v>
      </c>
      <c r="E622" s="22" t="s">
        <v>1687</v>
      </c>
      <c r="F622" s="24">
        <v>4</v>
      </c>
      <c r="G622" s="24">
        <v>2270</v>
      </c>
      <c r="H622" s="24">
        <v>27.5</v>
      </c>
      <c r="I622" s="24">
        <v>6583</v>
      </c>
      <c r="J622" s="22" t="s">
        <v>110</v>
      </c>
      <c r="K622" s="22" t="s">
        <v>129</v>
      </c>
      <c r="L622" t="str">
        <f>VLOOKUP(D622,Products!A:F,3,FALSE())</f>
        <v>Grocery</v>
      </c>
      <c r="M622" t="str">
        <f>VLOOKUP(C622,Customers!A:F,5,FALSE())</f>
        <v>SMB</v>
      </c>
      <c r="O622" t="str">
        <f>IFERROR(VLOOKUP(E622,Sales_Reps!$A:$C,3,FALSE()),"")</f>
        <v/>
      </c>
      <c r="P622">
        <f>IFERROR(VLOOKUP(C622,Customers!$A:$C,3,FALSE()),"")</f>
        <v>53</v>
      </c>
      <c r="Q622" t="str">
        <f t="shared" si="9"/>
        <v>Oct-24</v>
      </c>
      <c r="R622">
        <f>IFERROR((VLOOKUP(D622,Products!$A:$E,5,FALSE())-VLOOKUP(D622,Products!$A:$E,4,FALSE()))/VLOOKUP(D622,Products!$A:$E,5,FALSE()),"")</f>
        <v>0.47004405286343615</v>
      </c>
    </row>
    <row r="623" spans="1:18" x14ac:dyDescent="0.3">
      <c r="A623" s="22" t="s">
        <v>1688</v>
      </c>
      <c r="B623" s="23">
        <v>45509</v>
      </c>
      <c r="C623" s="22" t="s">
        <v>118</v>
      </c>
      <c r="D623" s="22" t="s">
        <v>145</v>
      </c>
      <c r="E623" s="22" t="s">
        <v>1689</v>
      </c>
      <c r="F623" s="24">
        <v>1</v>
      </c>
      <c r="G623" s="24">
        <v>970</v>
      </c>
      <c r="H623" s="24">
        <v>12.7</v>
      </c>
      <c r="I623" s="24">
        <v>846.81</v>
      </c>
      <c r="J623" s="22" t="s">
        <v>104</v>
      </c>
      <c r="K623" s="22" t="s">
        <v>116</v>
      </c>
      <c r="L623" t="str">
        <f>VLOOKUP(D623,Products!A:F,3,FALSE())</f>
        <v>Grocery</v>
      </c>
      <c r="M623" t="str">
        <f>VLOOKUP(C623,Customers!A:F,5,FALSE())</f>
        <v>Corporate</v>
      </c>
      <c r="O623" t="str">
        <f>IFERROR(VLOOKUP(E623,Sales_Reps!$A:$C,3,FALSE()),"")</f>
        <v/>
      </c>
      <c r="P623">
        <f>IFERROR(VLOOKUP(C623,Customers!$A:$C,3,FALSE()),"")</f>
        <v>46</v>
      </c>
      <c r="Q623" t="str">
        <f t="shared" si="9"/>
        <v>Aug-24</v>
      </c>
      <c r="R623">
        <f>IFERROR((VLOOKUP(D623,Products!$A:$E,5,FALSE())-VLOOKUP(D623,Products!$A:$E,4,FALSE()))/VLOOKUP(D623,Products!$A:$E,5,FALSE()),"")</f>
        <v>0.5525773195876289</v>
      </c>
    </row>
    <row r="624" spans="1:18" x14ac:dyDescent="0.3">
      <c r="A624" s="22" t="s">
        <v>1690</v>
      </c>
      <c r="B624" s="23">
        <v>45307</v>
      </c>
      <c r="C624" s="22" t="s">
        <v>618</v>
      </c>
      <c r="D624" s="22" t="s">
        <v>695</v>
      </c>
      <c r="E624" s="22" t="s">
        <v>1691</v>
      </c>
      <c r="F624" s="24">
        <v>5</v>
      </c>
      <c r="G624" s="24">
        <v>6940</v>
      </c>
      <c r="H624" s="24">
        <v>16.2</v>
      </c>
      <c r="I624" s="24">
        <v>29078.6</v>
      </c>
      <c r="J624" s="22" t="s">
        <v>104</v>
      </c>
      <c r="K624" s="22" t="s">
        <v>134</v>
      </c>
      <c r="L624" t="str">
        <f>VLOOKUP(D624,Products!A:F,3,FALSE())</f>
        <v>Sports</v>
      </c>
      <c r="M624" t="str">
        <f>VLOOKUP(C624,Customers!A:F,5,FALSE())</f>
        <v>SMB</v>
      </c>
      <c r="O624" t="str">
        <f>IFERROR(VLOOKUP(E624,Sales_Reps!$A:$C,3,FALSE()),"")</f>
        <v/>
      </c>
      <c r="P624">
        <f>IFERROR(VLOOKUP(C624,Customers!$A:$C,3,FALSE()),"")</f>
        <v>43</v>
      </c>
      <c r="Q624" t="str">
        <f t="shared" si="9"/>
        <v>Jan-24</v>
      </c>
      <c r="R624">
        <f>IFERROR((VLOOKUP(D624,Products!$A:$E,5,FALSE())-VLOOKUP(D624,Products!$A:$E,4,FALSE()))/VLOOKUP(D624,Products!$A:$E,5,FALSE()),"")</f>
        <v>0.5926512968299712</v>
      </c>
    </row>
    <row r="625" spans="1:18" x14ac:dyDescent="0.3">
      <c r="A625" s="22" t="s">
        <v>1692</v>
      </c>
      <c r="B625" s="23">
        <v>45586</v>
      </c>
      <c r="C625" s="22" t="s">
        <v>230</v>
      </c>
      <c r="D625" s="22" t="s">
        <v>695</v>
      </c>
      <c r="E625" s="22" t="s">
        <v>1693</v>
      </c>
      <c r="F625" s="24">
        <v>4</v>
      </c>
      <c r="G625" s="24">
        <v>6940</v>
      </c>
      <c r="H625" s="24">
        <v>15.1</v>
      </c>
      <c r="I625" s="24">
        <v>23568.240000000002</v>
      </c>
      <c r="J625" s="22" t="s">
        <v>104</v>
      </c>
      <c r="K625" s="22" t="s">
        <v>151</v>
      </c>
      <c r="L625" t="str">
        <f>VLOOKUP(D625,Products!A:F,3,FALSE())</f>
        <v>Sports</v>
      </c>
      <c r="M625" t="str">
        <f>VLOOKUP(C625,Customers!A:F,5,FALSE())</f>
        <v>Retail</v>
      </c>
      <c r="O625" t="str">
        <f>IFERROR(VLOOKUP(E625,Sales_Reps!$A:$C,3,FALSE()),"")</f>
        <v/>
      </c>
      <c r="P625">
        <f>IFERROR(VLOOKUP(C625,Customers!$A:$C,3,FALSE()),"")</f>
        <v>53</v>
      </c>
      <c r="Q625" t="str">
        <f t="shared" si="9"/>
        <v>Oct-24</v>
      </c>
      <c r="R625">
        <f>IFERROR((VLOOKUP(D625,Products!$A:$E,5,FALSE())-VLOOKUP(D625,Products!$A:$E,4,FALSE()))/VLOOKUP(D625,Products!$A:$E,5,FALSE()),"")</f>
        <v>0.5926512968299712</v>
      </c>
    </row>
    <row r="626" spans="1:18" x14ac:dyDescent="0.3">
      <c r="A626" s="22" t="s">
        <v>1694</v>
      </c>
      <c r="B626" s="23">
        <v>45587</v>
      </c>
      <c r="C626" s="22" t="s">
        <v>422</v>
      </c>
      <c r="D626" s="22" t="s">
        <v>209</v>
      </c>
      <c r="E626" s="22" t="s">
        <v>1695</v>
      </c>
      <c r="F626" s="24">
        <v>1</v>
      </c>
      <c r="G626" s="24">
        <v>1010</v>
      </c>
      <c r="H626" s="24">
        <v>1.7</v>
      </c>
      <c r="I626" s="24">
        <v>992.83</v>
      </c>
      <c r="J626" s="22" t="s">
        <v>104</v>
      </c>
      <c r="K626" s="22" t="s">
        <v>105</v>
      </c>
      <c r="L626" t="str">
        <f>VLOOKUP(D626,Products!A:F,3,FALSE())</f>
        <v>Sports</v>
      </c>
      <c r="M626" t="str">
        <f>VLOOKUP(C626,Customers!A:F,5,FALSE())</f>
        <v>Retail</v>
      </c>
      <c r="O626" t="str">
        <f>IFERROR(VLOOKUP(E626,Sales_Reps!$A:$C,3,FALSE()),"")</f>
        <v/>
      </c>
      <c r="P626">
        <f>IFERROR(VLOOKUP(C626,Customers!$A:$C,3,FALSE()),"")</f>
        <v>25</v>
      </c>
      <c r="Q626" t="str">
        <f t="shared" si="9"/>
        <v>Oct-24</v>
      </c>
      <c r="R626">
        <f>IFERROR((VLOOKUP(D626,Products!$A:$E,5,FALSE())-VLOOKUP(D626,Products!$A:$E,4,FALSE()))/VLOOKUP(D626,Products!$A:$E,5,FALSE()),"")</f>
        <v>0.4891089108910891</v>
      </c>
    </row>
    <row r="627" spans="1:18" x14ac:dyDescent="0.3">
      <c r="A627" s="22" t="s">
        <v>1696</v>
      </c>
      <c r="B627" s="23">
        <v>45609</v>
      </c>
      <c r="C627" s="22" t="s">
        <v>351</v>
      </c>
      <c r="D627" s="22" t="s">
        <v>293</v>
      </c>
      <c r="E627" s="22" t="s">
        <v>1697</v>
      </c>
      <c r="F627" s="24">
        <v>6</v>
      </c>
      <c r="G627" s="24">
        <v>3870</v>
      </c>
      <c r="H627" s="24">
        <v>12.2</v>
      </c>
      <c r="I627" s="24">
        <v>20387.16</v>
      </c>
      <c r="J627" s="22" t="s">
        <v>104</v>
      </c>
      <c r="K627" s="22" t="s">
        <v>116</v>
      </c>
      <c r="L627" t="str">
        <f>VLOOKUP(D627,Products!A:F,3,FALSE())</f>
        <v>Electronics</v>
      </c>
      <c r="M627" t="str">
        <f>VLOOKUP(C627,Customers!A:F,5,FALSE())</f>
        <v>Retail</v>
      </c>
      <c r="O627" t="str">
        <f>IFERROR(VLOOKUP(E627,Sales_Reps!$A:$C,3,FALSE()),"")</f>
        <v/>
      </c>
      <c r="P627">
        <f>IFERROR(VLOOKUP(C627,Customers!$A:$C,3,FALSE()),"")</f>
        <v>35</v>
      </c>
      <c r="Q627" t="str">
        <f t="shared" si="9"/>
        <v>Nov-24</v>
      </c>
      <c r="R627">
        <f>IFERROR((VLOOKUP(D627,Products!$A:$E,5,FALSE())-VLOOKUP(D627,Products!$A:$E,4,FALSE()))/VLOOKUP(D627,Products!$A:$E,5,FALSE()),"")</f>
        <v>0.59715762273901807</v>
      </c>
    </row>
    <row r="628" spans="1:18" x14ac:dyDescent="0.3">
      <c r="A628" s="22" t="s">
        <v>1698</v>
      </c>
      <c r="B628" s="23">
        <v>45316</v>
      </c>
      <c r="C628" s="22" t="s">
        <v>731</v>
      </c>
      <c r="D628" s="22" t="s">
        <v>220</v>
      </c>
      <c r="E628" s="22" t="s">
        <v>1699</v>
      </c>
      <c r="F628" s="24">
        <v>9</v>
      </c>
      <c r="G628" s="24">
        <v>5100</v>
      </c>
      <c r="H628" s="24">
        <v>26.4</v>
      </c>
      <c r="I628" s="24">
        <v>33782.400000000001</v>
      </c>
      <c r="J628" s="22" t="s">
        <v>104</v>
      </c>
      <c r="K628" s="22" t="s">
        <v>151</v>
      </c>
      <c r="L628" t="str">
        <f>VLOOKUP(D628,Products!A:F,3,FALSE())</f>
        <v>Beauty</v>
      </c>
      <c r="M628" t="str">
        <f>VLOOKUP(C628,Customers!A:F,5,FALSE())</f>
        <v>SMB</v>
      </c>
      <c r="O628" t="str">
        <f>IFERROR(VLOOKUP(E628,Sales_Reps!$A:$C,3,FALSE()),"")</f>
        <v/>
      </c>
      <c r="P628">
        <f>IFERROR(VLOOKUP(C628,Customers!$A:$C,3,FALSE()),"")</f>
        <v>48</v>
      </c>
      <c r="Q628" t="str">
        <f t="shared" si="9"/>
        <v>Jan-24</v>
      </c>
      <c r="R628">
        <f>IFERROR((VLOOKUP(D628,Products!$A:$E,5,FALSE())-VLOOKUP(D628,Products!$A:$E,4,FALSE()))/VLOOKUP(D628,Products!$A:$E,5,FALSE()),"")</f>
        <v>0.56137254901960787</v>
      </c>
    </row>
    <row r="629" spans="1:18" x14ac:dyDescent="0.3">
      <c r="A629" s="22" t="s">
        <v>1700</v>
      </c>
      <c r="B629" s="23">
        <v>45451</v>
      </c>
      <c r="C629" s="22" t="s">
        <v>1447</v>
      </c>
      <c r="D629" s="22" t="s">
        <v>123</v>
      </c>
      <c r="E629" s="22" t="s">
        <v>1701</v>
      </c>
      <c r="F629" s="24">
        <v>2</v>
      </c>
      <c r="G629" s="24">
        <v>3160</v>
      </c>
      <c r="H629" s="24">
        <v>13.4</v>
      </c>
      <c r="I629" s="24">
        <v>5473.12</v>
      </c>
      <c r="J629" s="22" t="s">
        <v>164</v>
      </c>
      <c r="K629" s="22" t="s">
        <v>105</v>
      </c>
      <c r="L629" t="str">
        <f>VLOOKUP(D629,Products!A:F,3,FALSE())</f>
        <v>Apparel</v>
      </c>
      <c r="M629" t="str">
        <f>VLOOKUP(C629,Customers!A:F,5,FALSE())</f>
        <v>Retail</v>
      </c>
      <c r="O629" t="str">
        <f>IFERROR(VLOOKUP(E629,Sales_Reps!$A:$C,3,FALSE()),"")</f>
        <v/>
      </c>
      <c r="P629">
        <f>IFERROR(VLOOKUP(C629,Customers!$A:$C,3,FALSE()),"")</f>
        <v>65</v>
      </c>
      <c r="Q629" t="str">
        <f t="shared" si="9"/>
        <v>Jun-24</v>
      </c>
      <c r="R629">
        <f>IFERROR((VLOOKUP(D629,Products!$A:$E,5,FALSE())-VLOOKUP(D629,Products!$A:$E,4,FALSE()))/VLOOKUP(D629,Products!$A:$E,5,FALSE()),"")</f>
        <v>0.4031645569620253</v>
      </c>
    </row>
    <row r="630" spans="1:18" x14ac:dyDescent="0.3">
      <c r="A630" s="22" t="s">
        <v>1702</v>
      </c>
      <c r="B630" s="23">
        <v>45554</v>
      </c>
      <c r="C630" s="22" t="s">
        <v>1589</v>
      </c>
      <c r="D630" s="22" t="s">
        <v>419</v>
      </c>
      <c r="E630" s="22" t="s">
        <v>1703</v>
      </c>
      <c r="F630" s="24">
        <v>8</v>
      </c>
      <c r="G630" s="24">
        <v>2210</v>
      </c>
      <c r="H630" s="24">
        <v>26</v>
      </c>
      <c r="I630" s="24">
        <v>13083.2</v>
      </c>
      <c r="J630" s="22" t="s">
        <v>104</v>
      </c>
      <c r="K630" s="22" t="s">
        <v>129</v>
      </c>
      <c r="L630" t="str">
        <f>VLOOKUP(D630,Products!A:F,3,FALSE())</f>
        <v>Grocery</v>
      </c>
      <c r="M630" t="str">
        <f>VLOOKUP(C630,Customers!A:F,5,FALSE())</f>
        <v>SMB</v>
      </c>
      <c r="O630" t="str">
        <f>IFERROR(VLOOKUP(E630,Sales_Reps!$A:$C,3,FALSE()),"")</f>
        <v/>
      </c>
      <c r="P630">
        <f>IFERROR(VLOOKUP(C630,Customers!$A:$C,3,FALSE()),"")</f>
        <v>47</v>
      </c>
      <c r="Q630" t="str">
        <f t="shared" si="9"/>
        <v>Sep-24</v>
      </c>
      <c r="R630">
        <f>IFERROR((VLOOKUP(D630,Products!$A:$E,5,FALSE())-VLOOKUP(D630,Products!$A:$E,4,FALSE()))/VLOOKUP(D630,Products!$A:$E,5,FALSE()),"")</f>
        <v>0.54298642533936647</v>
      </c>
    </row>
    <row r="631" spans="1:18" x14ac:dyDescent="0.3">
      <c r="A631" s="22" t="s">
        <v>1704</v>
      </c>
      <c r="B631" s="23">
        <v>45567</v>
      </c>
      <c r="C631" s="22" t="s">
        <v>508</v>
      </c>
      <c r="D631" s="22" t="s">
        <v>935</v>
      </c>
      <c r="E631" s="22" t="s">
        <v>1705</v>
      </c>
      <c r="F631" s="24">
        <v>5</v>
      </c>
      <c r="G631" s="24">
        <v>3560</v>
      </c>
      <c r="H631" s="24">
        <v>15</v>
      </c>
      <c r="I631" s="24">
        <v>15130</v>
      </c>
      <c r="J631" s="22" t="s">
        <v>104</v>
      </c>
      <c r="K631" s="22" t="s">
        <v>116</v>
      </c>
      <c r="L631" t="str">
        <f>VLOOKUP(D631,Products!A:F,3,FALSE())</f>
        <v>Apparel</v>
      </c>
      <c r="M631" t="str">
        <f>VLOOKUP(C631,Customers!A:F,5,FALSE())</f>
        <v>SMB</v>
      </c>
      <c r="O631" t="str">
        <f>IFERROR(VLOOKUP(E631,Sales_Reps!$A:$C,3,FALSE()),"")</f>
        <v/>
      </c>
      <c r="P631">
        <f>IFERROR(VLOOKUP(C631,Customers!$A:$C,3,FALSE()),"")</f>
        <v>53</v>
      </c>
      <c r="Q631" t="str">
        <f t="shared" si="9"/>
        <v>Oct-24</v>
      </c>
      <c r="R631">
        <f>IFERROR((VLOOKUP(D631,Products!$A:$E,5,FALSE())-VLOOKUP(D631,Products!$A:$E,4,FALSE()))/VLOOKUP(D631,Products!$A:$E,5,FALSE()),"")</f>
        <v>0.26151685393258428</v>
      </c>
    </row>
    <row r="632" spans="1:18" x14ac:dyDescent="0.3">
      <c r="A632" s="22" t="s">
        <v>1706</v>
      </c>
      <c r="B632" s="23">
        <v>45633</v>
      </c>
      <c r="C632" s="22" t="s">
        <v>1539</v>
      </c>
      <c r="D632" s="22" t="s">
        <v>352</v>
      </c>
      <c r="E632" s="22" t="s">
        <v>1707</v>
      </c>
      <c r="F632" s="24">
        <v>10</v>
      </c>
      <c r="G632" s="24">
        <v>620</v>
      </c>
      <c r="H632" s="24">
        <v>15.8</v>
      </c>
      <c r="I632" s="24">
        <v>5220.3999999999996</v>
      </c>
      <c r="J632" s="22" t="s">
        <v>164</v>
      </c>
      <c r="K632" s="22" t="s">
        <v>134</v>
      </c>
      <c r="L632" t="str">
        <f>VLOOKUP(D632,Products!A:F,3,FALSE())</f>
        <v>Apparel</v>
      </c>
      <c r="M632" t="str">
        <f>VLOOKUP(C632,Customers!A:F,5,FALSE())</f>
        <v>Retail</v>
      </c>
      <c r="O632" t="str">
        <f>IFERROR(VLOOKUP(E632,Sales_Reps!$A:$C,3,FALSE()),"")</f>
        <v/>
      </c>
      <c r="P632">
        <f>IFERROR(VLOOKUP(C632,Customers!$A:$C,3,FALSE()),"")</f>
        <v>27</v>
      </c>
      <c r="Q632" t="str">
        <f t="shared" si="9"/>
        <v>Dec-24</v>
      </c>
      <c r="R632">
        <f>IFERROR((VLOOKUP(D632,Products!$A:$E,5,FALSE())-VLOOKUP(D632,Products!$A:$E,4,FALSE()))/VLOOKUP(D632,Products!$A:$E,5,FALSE()),"")</f>
        <v>0.36129032258064514</v>
      </c>
    </row>
    <row r="633" spans="1:18" x14ac:dyDescent="0.3">
      <c r="A633" s="22" t="s">
        <v>1708</v>
      </c>
      <c r="B633" s="23">
        <v>45588</v>
      </c>
      <c r="C633" s="22" t="s">
        <v>763</v>
      </c>
      <c r="D633" s="22" t="s">
        <v>231</v>
      </c>
      <c r="E633" s="22" t="s">
        <v>1709</v>
      </c>
      <c r="F633" s="24">
        <v>3</v>
      </c>
      <c r="G633" s="24">
        <v>2760</v>
      </c>
      <c r="H633" s="24">
        <v>1.9</v>
      </c>
      <c r="I633" s="24">
        <v>8122.68</v>
      </c>
      <c r="J633" s="22" t="s">
        <v>159</v>
      </c>
      <c r="K633" s="22" t="s">
        <v>129</v>
      </c>
      <c r="L633" t="str">
        <f>VLOOKUP(D633,Products!A:F,3,FALSE())</f>
        <v>Grocery</v>
      </c>
      <c r="M633" t="str">
        <f>VLOOKUP(C633,Customers!A:F,5,FALSE())</f>
        <v>Retail</v>
      </c>
      <c r="O633" t="str">
        <f>IFERROR(VLOOKUP(E633,Sales_Reps!$A:$C,3,FALSE()),"")</f>
        <v/>
      </c>
      <c r="P633">
        <f>IFERROR(VLOOKUP(C633,Customers!$A:$C,3,FALSE()),"")</f>
        <v>65</v>
      </c>
      <c r="Q633" t="str">
        <f t="shared" si="9"/>
        <v>Oct-24</v>
      </c>
      <c r="R633">
        <f>IFERROR((VLOOKUP(D633,Products!$A:$E,5,FALSE())-VLOOKUP(D633,Products!$A:$E,4,FALSE()))/VLOOKUP(D633,Products!$A:$E,5,FALSE()),"")</f>
        <v>0.48007246376811596</v>
      </c>
    </row>
    <row r="634" spans="1:18" x14ac:dyDescent="0.3">
      <c r="A634" s="22" t="s">
        <v>1710</v>
      </c>
      <c r="B634" s="23">
        <v>45634</v>
      </c>
      <c r="C634" s="22" t="s">
        <v>255</v>
      </c>
      <c r="D634" s="22" t="s">
        <v>209</v>
      </c>
      <c r="E634" s="22" t="s">
        <v>1711</v>
      </c>
      <c r="F634" s="24">
        <v>10</v>
      </c>
      <c r="G634" s="24">
        <v>1010</v>
      </c>
      <c r="H634" s="24">
        <v>28.9</v>
      </c>
      <c r="I634" s="24">
        <v>7181.1</v>
      </c>
      <c r="J634" s="22" t="s">
        <v>104</v>
      </c>
      <c r="K634" s="22" t="s">
        <v>116</v>
      </c>
      <c r="L634" t="str">
        <f>VLOOKUP(D634,Products!A:F,3,FALSE())</f>
        <v>Sports</v>
      </c>
      <c r="M634" t="str">
        <f>VLOOKUP(C634,Customers!A:F,5,FALSE())</f>
        <v>SMB</v>
      </c>
      <c r="O634" t="str">
        <f>IFERROR(VLOOKUP(E634,Sales_Reps!$A:$C,3,FALSE()),"")</f>
        <v/>
      </c>
      <c r="P634">
        <f>IFERROR(VLOOKUP(C634,Customers!$A:$C,3,FALSE()),"")</f>
        <v>50</v>
      </c>
      <c r="Q634" t="str">
        <f t="shared" si="9"/>
        <v>Dec-24</v>
      </c>
      <c r="R634">
        <f>IFERROR((VLOOKUP(D634,Products!$A:$E,5,FALSE())-VLOOKUP(D634,Products!$A:$E,4,FALSE()))/VLOOKUP(D634,Products!$A:$E,5,FALSE()),"")</f>
        <v>0.4891089108910891</v>
      </c>
    </row>
    <row r="635" spans="1:18" x14ac:dyDescent="0.3">
      <c r="A635" s="22" t="s">
        <v>1712</v>
      </c>
      <c r="B635" s="23">
        <v>45352</v>
      </c>
      <c r="C635" s="22" t="s">
        <v>237</v>
      </c>
      <c r="D635" s="22" t="s">
        <v>279</v>
      </c>
      <c r="E635" s="22" t="s">
        <v>1713</v>
      </c>
      <c r="F635" s="24">
        <v>1</v>
      </c>
      <c r="G635" s="24">
        <v>3640</v>
      </c>
      <c r="H635" s="24">
        <v>9.6999999999999993</v>
      </c>
      <c r="I635" s="24">
        <v>3286.92</v>
      </c>
      <c r="J635" s="22" t="s">
        <v>104</v>
      </c>
      <c r="K635" s="22" t="s">
        <v>151</v>
      </c>
      <c r="L635" t="str">
        <f>VLOOKUP(D635,Products!A:F,3,FALSE())</f>
        <v>Apparel</v>
      </c>
      <c r="M635" t="str">
        <f>VLOOKUP(C635,Customers!A:F,5,FALSE())</f>
        <v>SMB</v>
      </c>
      <c r="O635" t="str">
        <f>IFERROR(VLOOKUP(E635,Sales_Reps!$A:$C,3,FALSE()),"")</f>
        <v/>
      </c>
      <c r="P635">
        <f>IFERROR(VLOOKUP(C635,Customers!$A:$C,3,FALSE()),"")</f>
        <v>40</v>
      </c>
      <c r="Q635" t="str">
        <f t="shared" si="9"/>
        <v>Mar-24</v>
      </c>
      <c r="R635">
        <f>IFERROR((VLOOKUP(D635,Products!$A:$E,5,FALSE())-VLOOKUP(D635,Products!$A:$E,4,FALSE()))/VLOOKUP(D635,Products!$A:$E,5,FALSE()),"")</f>
        <v>0.28269230769230769</v>
      </c>
    </row>
    <row r="636" spans="1:18" x14ac:dyDescent="0.3">
      <c r="A636" s="22" t="s">
        <v>1714</v>
      </c>
      <c r="B636" s="23">
        <v>45489</v>
      </c>
      <c r="C636" s="22" t="s">
        <v>215</v>
      </c>
      <c r="D636" s="22" t="s">
        <v>108</v>
      </c>
      <c r="E636" s="22" t="s">
        <v>1715</v>
      </c>
      <c r="F636" s="24">
        <v>1</v>
      </c>
      <c r="G636" s="24">
        <v>820</v>
      </c>
      <c r="H636" s="24">
        <v>15</v>
      </c>
      <c r="I636" s="24">
        <v>697</v>
      </c>
      <c r="J636" s="22" t="s">
        <v>104</v>
      </c>
      <c r="K636" s="22" t="s">
        <v>111</v>
      </c>
      <c r="L636" t="str">
        <f>VLOOKUP(D636,Products!A:F,3,FALSE())</f>
        <v>Apparel</v>
      </c>
      <c r="M636" t="str">
        <f>VLOOKUP(C636,Customers!A:F,5,FALSE())</f>
        <v>SMB</v>
      </c>
      <c r="O636" t="str">
        <f>IFERROR(VLOOKUP(E636,Sales_Reps!$A:$C,3,FALSE()),"")</f>
        <v/>
      </c>
      <c r="P636">
        <f>IFERROR(VLOOKUP(C636,Customers!$A:$C,3,FALSE()),"")</f>
        <v>52</v>
      </c>
      <c r="Q636" t="str">
        <f t="shared" si="9"/>
        <v>Jul-24</v>
      </c>
      <c r="R636">
        <f>IFERROR((VLOOKUP(D636,Products!$A:$E,5,FALSE())-VLOOKUP(D636,Products!$A:$E,4,FALSE()))/VLOOKUP(D636,Products!$A:$E,5,FALSE()),"")</f>
        <v>0.52317073170731709</v>
      </c>
    </row>
    <row r="637" spans="1:18" x14ac:dyDescent="0.3">
      <c r="A637" s="22" t="s">
        <v>1716</v>
      </c>
      <c r="B637" s="23">
        <v>45342</v>
      </c>
      <c r="C637" s="22" t="s">
        <v>185</v>
      </c>
      <c r="D637" s="22" t="s">
        <v>279</v>
      </c>
      <c r="E637" s="22" t="s">
        <v>1717</v>
      </c>
      <c r="F637" s="24">
        <v>4</v>
      </c>
      <c r="G637" s="24">
        <v>3640</v>
      </c>
      <c r="H637" s="24">
        <v>17</v>
      </c>
      <c r="I637" s="24">
        <v>12084.8</v>
      </c>
      <c r="J637" s="22" t="s">
        <v>104</v>
      </c>
      <c r="K637" s="22" t="s">
        <v>111</v>
      </c>
      <c r="L637" t="str">
        <f>VLOOKUP(D637,Products!A:F,3,FALSE())</f>
        <v>Apparel</v>
      </c>
      <c r="M637" t="str">
        <f>VLOOKUP(C637,Customers!A:F,5,FALSE())</f>
        <v>Retail</v>
      </c>
      <c r="O637" t="str">
        <f>IFERROR(VLOOKUP(E637,Sales_Reps!$A:$C,3,FALSE()),"")</f>
        <v/>
      </c>
      <c r="P637">
        <f>IFERROR(VLOOKUP(C637,Customers!$A:$C,3,FALSE()),"")</f>
        <v>49</v>
      </c>
      <c r="Q637" t="str">
        <f t="shared" si="9"/>
        <v>Feb-24</v>
      </c>
      <c r="R637">
        <f>IFERROR((VLOOKUP(D637,Products!$A:$E,5,FALSE())-VLOOKUP(D637,Products!$A:$E,4,FALSE()))/VLOOKUP(D637,Products!$A:$E,5,FALSE()),"")</f>
        <v>0.28269230769230769</v>
      </c>
    </row>
    <row r="638" spans="1:18" x14ac:dyDescent="0.3">
      <c r="A638" s="22" t="s">
        <v>1718</v>
      </c>
      <c r="B638" s="23">
        <v>45425</v>
      </c>
      <c r="C638" s="22" t="s">
        <v>1719</v>
      </c>
      <c r="D638" s="22" t="s">
        <v>459</v>
      </c>
      <c r="E638" s="22" t="s">
        <v>1720</v>
      </c>
      <c r="F638" s="24">
        <v>7</v>
      </c>
      <c r="G638" s="24">
        <v>2380</v>
      </c>
      <c r="H638" s="24">
        <v>25.5</v>
      </c>
      <c r="I638" s="24">
        <v>12411.7</v>
      </c>
      <c r="J638" s="22" t="s">
        <v>104</v>
      </c>
      <c r="K638" s="22" t="s">
        <v>105</v>
      </c>
      <c r="L638" t="str">
        <f>VLOOKUP(D638,Products!A:F,3,FALSE())</f>
        <v>Grocery</v>
      </c>
      <c r="M638" t="str">
        <f>VLOOKUP(C638,Customers!A:F,5,FALSE())</f>
        <v>Corporate</v>
      </c>
      <c r="O638" t="str">
        <f>IFERROR(VLOOKUP(E638,Sales_Reps!$A:$C,3,FALSE()),"")</f>
        <v/>
      </c>
      <c r="P638">
        <f>IFERROR(VLOOKUP(C638,Customers!$A:$C,3,FALSE()),"")</f>
        <v>42</v>
      </c>
      <c r="Q638" t="str">
        <f t="shared" si="9"/>
        <v>May-24</v>
      </c>
      <c r="R638">
        <f>IFERROR((VLOOKUP(D638,Products!$A:$E,5,FALSE())-VLOOKUP(D638,Products!$A:$E,4,FALSE()))/VLOOKUP(D638,Products!$A:$E,5,FALSE()),"")</f>
        <v>0.50336134453781511</v>
      </c>
    </row>
    <row r="639" spans="1:18" x14ac:dyDescent="0.3">
      <c r="A639" s="22" t="s">
        <v>1721</v>
      </c>
      <c r="B639" s="23">
        <v>45598</v>
      </c>
      <c r="C639" s="22" t="s">
        <v>1192</v>
      </c>
      <c r="D639" s="22" t="s">
        <v>234</v>
      </c>
      <c r="E639" s="22" t="s">
        <v>1722</v>
      </c>
      <c r="F639" s="24">
        <v>1</v>
      </c>
      <c r="G639" s="24">
        <v>660</v>
      </c>
      <c r="H639" s="24">
        <v>2.5</v>
      </c>
      <c r="I639" s="24">
        <v>643.5</v>
      </c>
      <c r="J639" s="22" t="s">
        <v>104</v>
      </c>
      <c r="K639" s="22" t="s">
        <v>105</v>
      </c>
      <c r="L639" t="str">
        <f>VLOOKUP(D639,Products!A:F,3,FALSE())</f>
        <v>Home</v>
      </c>
      <c r="M639" t="str">
        <f>VLOOKUP(C639,Customers!A:F,5,FALSE())</f>
        <v>Retail</v>
      </c>
      <c r="O639" t="str">
        <f>IFERROR(VLOOKUP(E639,Sales_Reps!$A:$C,3,FALSE()),"")</f>
        <v/>
      </c>
      <c r="P639">
        <f>IFERROR(VLOOKUP(C639,Customers!$A:$C,3,FALSE()),"")</f>
        <v>36</v>
      </c>
      <c r="Q639" t="str">
        <f t="shared" si="9"/>
        <v>Nov-24</v>
      </c>
      <c r="R639">
        <f>IFERROR((VLOOKUP(D639,Products!$A:$E,5,FALSE())-VLOOKUP(D639,Products!$A:$E,4,FALSE()))/VLOOKUP(D639,Products!$A:$E,5,FALSE()),"")</f>
        <v>0.50151515151515147</v>
      </c>
    </row>
    <row r="640" spans="1:18" x14ac:dyDescent="0.3">
      <c r="A640" s="22" t="s">
        <v>1723</v>
      </c>
      <c r="B640" s="23">
        <v>45353</v>
      </c>
      <c r="C640" s="22" t="s">
        <v>1127</v>
      </c>
      <c r="D640" s="22" t="s">
        <v>293</v>
      </c>
      <c r="E640" s="22" t="s">
        <v>1724</v>
      </c>
      <c r="F640" s="24">
        <v>7</v>
      </c>
      <c r="G640" s="24">
        <v>3870</v>
      </c>
      <c r="H640" s="24">
        <v>20.3</v>
      </c>
      <c r="I640" s="24">
        <v>21590.73</v>
      </c>
      <c r="J640" s="22" t="s">
        <v>110</v>
      </c>
      <c r="K640" s="22" t="s">
        <v>105</v>
      </c>
      <c r="L640" t="str">
        <f>VLOOKUP(D640,Products!A:F,3,FALSE())</f>
        <v>Electronics</v>
      </c>
      <c r="M640" t="str">
        <f>VLOOKUP(C640,Customers!A:F,5,FALSE())</f>
        <v>Retail</v>
      </c>
      <c r="O640" t="str">
        <f>IFERROR(VLOOKUP(E640,Sales_Reps!$A:$C,3,FALSE()),"")</f>
        <v/>
      </c>
      <c r="P640">
        <f>IFERROR(VLOOKUP(C640,Customers!$A:$C,3,FALSE()),"")</f>
        <v>35</v>
      </c>
      <c r="Q640" t="str">
        <f t="shared" si="9"/>
        <v>Mar-24</v>
      </c>
      <c r="R640">
        <f>IFERROR((VLOOKUP(D640,Products!$A:$E,5,FALSE())-VLOOKUP(D640,Products!$A:$E,4,FALSE()))/VLOOKUP(D640,Products!$A:$E,5,FALSE()),"")</f>
        <v>0.59715762273901807</v>
      </c>
    </row>
    <row r="641" spans="1:18" x14ac:dyDescent="0.3">
      <c r="A641" s="22" t="s">
        <v>1725</v>
      </c>
      <c r="B641" s="23">
        <v>45542</v>
      </c>
      <c r="C641" s="22" t="s">
        <v>301</v>
      </c>
      <c r="D641" s="22" t="s">
        <v>127</v>
      </c>
      <c r="E641" s="22" t="s">
        <v>1726</v>
      </c>
      <c r="F641" s="24">
        <v>10</v>
      </c>
      <c r="G641" s="24">
        <v>370</v>
      </c>
      <c r="H641" s="24">
        <v>1.3</v>
      </c>
      <c r="I641" s="24">
        <v>3651.9</v>
      </c>
      <c r="J641" s="22" t="s">
        <v>164</v>
      </c>
      <c r="K641" s="22" t="s">
        <v>111</v>
      </c>
      <c r="L641" t="str">
        <f>VLOOKUP(D641,Products!A:F,3,FALSE())</f>
        <v>Home</v>
      </c>
      <c r="M641" t="str">
        <f>VLOOKUP(C641,Customers!A:F,5,FALSE())</f>
        <v>Retail</v>
      </c>
      <c r="O641" t="str">
        <f>IFERROR(VLOOKUP(E641,Sales_Reps!$A:$C,3,FALSE()),"")</f>
        <v/>
      </c>
      <c r="P641">
        <f>IFERROR(VLOOKUP(C641,Customers!$A:$C,3,FALSE()),"")</f>
        <v>24</v>
      </c>
      <c r="Q641" t="str">
        <f t="shared" si="9"/>
        <v>Sep-24</v>
      </c>
      <c r="R641">
        <f>IFERROR((VLOOKUP(D641,Products!$A:$E,5,FALSE())-VLOOKUP(D641,Products!$A:$E,4,FALSE()))/VLOOKUP(D641,Products!$A:$E,5,FALSE()),"")</f>
        <v>0.22162162162162163</v>
      </c>
    </row>
    <row r="642" spans="1:18" x14ac:dyDescent="0.3">
      <c r="A642" s="22" t="s">
        <v>1727</v>
      </c>
      <c r="B642" s="23">
        <v>45365</v>
      </c>
      <c r="C642" s="22" t="s">
        <v>237</v>
      </c>
      <c r="D642" s="22" t="s">
        <v>102</v>
      </c>
      <c r="E642" s="22" t="s">
        <v>1728</v>
      </c>
      <c r="F642" s="24">
        <v>1</v>
      </c>
      <c r="G642" s="24">
        <v>3620</v>
      </c>
      <c r="H642" s="24">
        <v>1.4</v>
      </c>
      <c r="I642" s="24">
        <v>3569.32</v>
      </c>
      <c r="J642" s="22" t="s">
        <v>104</v>
      </c>
      <c r="K642" s="22" t="s">
        <v>151</v>
      </c>
      <c r="L642" t="str">
        <f>VLOOKUP(D642,Products!A:F,3,FALSE())</f>
        <v>Apparel</v>
      </c>
      <c r="M642" t="str">
        <f>VLOOKUP(C642,Customers!A:F,5,FALSE())</f>
        <v>SMB</v>
      </c>
      <c r="O642" t="str">
        <f>IFERROR(VLOOKUP(E642,Sales_Reps!$A:$C,3,FALSE()),"")</f>
        <v/>
      </c>
      <c r="P642">
        <f>IFERROR(VLOOKUP(C642,Customers!$A:$C,3,FALSE()),"")</f>
        <v>40</v>
      </c>
      <c r="Q642" t="str">
        <f t="shared" ref="Q642:Q705" si="10">TEXT(B642,"mmm-yy")</f>
        <v>Mar-24</v>
      </c>
      <c r="R642">
        <f>IFERROR((VLOOKUP(D642,Products!$A:$E,5,FALSE())-VLOOKUP(D642,Products!$A:$E,4,FALSE()))/VLOOKUP(D642,Products!$A:$E,5,FALSE()),"")</f>
        <v>0.3069060773480663</v>
      </c>
    </row>
    <row r="643" spans="1:18" x14ac:dyDescent="0.3">
      <c r="A643" s="22" t="s">
        <v>1729</v>
      </c>
      <c r="B643" s="23">
        <v>45574</v>
      </c>
      <c r="C643" s="22" t="s">
        <v>554</v>
      </c>
      <c r="D643" s="22" t="s">
        <v>334</v>
      </c>
      <c r="E643" s="22" t="s">
        <v>1730</v>
      </c>
      <c r="F643" s="24">
        <v>10</v>
      </c>
      <c r="G643" s="24">
        <v>2660</v>
      </c>
      <c r="H643" s="24">
        <v>20.2</v>
      </c>
      <c r="I643" s="24">
        <v>21226.799999999999</v>
      </c>
      <c r="J643" s="22" t="s">
        <v>104</v>
      </c>
      <c r="K643" s="22" t="s">
        <v>134</v>
      </c>
      <c r="L643" t="str">
        <f>VLOOKUP(D643,Products!A:F,3,FALSE())</f>
        <v>Electronics</v>
      </c>
      <c r="M643" t="str">
        <f>VLOOKUP(C643,Customers!A:F,5,FALSE())</f>
        <v>Retail</v>
      </c>
      <c r="O643" t="str">
        <f>IFERROR(VLOOKUP(E643,Sales_Reps!$A:$C,3,FALSE()),"")</f>
        <v/>
      </c>
      <c r="P643">
        <f>IFERROR(VLOOKUP(C643,Customers!$A:$C,3,FALSE()),"")</f>
        <v>55</v>
      </c>
      <c r="Q643" t="str">
        <f t="shared" si="10"/>
        <v>Oct-24</v>
      </c>
      <c r="R643">
        <f>IFERROR((VLOOKUP(D643,Products!$A:$E,5,FALSE())-VLOOKUP(D643,Products!$A:$E,4,FALSE()))/VLOOKUP(D643,Products!$A:$E,5,FALSE()),"")</f>
        <v>0.52669172932330832</v>
      </c>
    </row>
    <row r="644" spans="1:18" x14ac:dyDescent="0.3">
      <c r="A644" s="22" t="s">
        <v>1731</v>
      </c>
      <c r="B644" s="23">
        <v>45614</v>
      </c>
      <c r="C644" s="22" t="s">
        <v>318</v>
      </c>
      <c r="D644" s="22" t="s">
        <v>182</v>
      </c>
      <c r="E644" s="22" t="s">
        <v>1732</v>
      </c>
      <c r="F644" s="24">
        <v>10</v>
      </c>
      <c r="G644" s="24">
        <v>3450</v>
      </c>
      <c r="H644" s="24">
        <v>25.1</v>
      </c>
      <c r="I644" s="24">
        <v>25840.5</v>
      </c>
      <c r="J644" s="22" t="s">
        <v>104</v>
      </c>
      <c r="K644" s="22" t="s">
        <v>116</v>
      </c>
      <c r="L644" t="str">
        <f>VLOOKUP(D644,Products!A:F,3,FALSE())</f>
        <v>Sports</v>
      </c>
      <c r="M644" t="str">
        <f>VLOOKUP(C644,Customers!A:F,5,FALSE())</f>
        <v>Corporate</v>
      </c>
      <c r="O644" t="str">
        <f>IFERROR(VLOOKUP(E644,Sales_Reps!$A:$C,3,FALSE()),"")</f>
        <v/>
      </c>
      <c r="P644">
        <f>IFERROR(VLOOKUP(C644,Customers!$A:$C,3,FALSE()),"")</f>
        <v>55</v>
      </c>
      <c r="Q644" t="str">
        <f t="shared" si="10"/>
        <v>Nov-24</v>
      </c>
      <c r="R644">
        <f>IFERROR((VLOOKUP(D644,Products!$A:$E,5,FALSE())-VLOOKUP(D644,Products!$A:$E,4,FALSE()))/VLOOKUP(D644,Products!$A:$E,5,FALSE()),"")</f>
        <v>0.28492753623188405</v>
      </c>
    </row>
    <row r="645" spans="1:18" x14ac:dyDescent="0.3">
      <c r="A645" s="22" t="s">
        <v>1733</v>
      </c>
      <c r="B645" s="23">
        <v>45629</v>
      </c>
      <c r="C645" s="22" t="s">
        <v>1734</v>
      </c>
      <c r="D645" s="22" t="s">
        <v>436</v>
      </c>
      <c r="E645" s="22" t="s">
        <v>1735</v>
      </c>
      <c r="F645" s="24">
        <v>3</v>
      </c>
      <c r="G645" s="24">
        <v>4060</v>
      </c>
      <c r="H645" s="24">
        <v>2.5</v>
      </c>
      <c r="I645" s="24">
        <v>11875.5</v>
      </c>
      <c r="J645" s="22" t="s">
        <v>164</v>
      </c>
      <c r="K645" s="22" t="s">
        <v>134</v>
      </c>
      <c r="L645" t="str">
        <f>VLOOKUP(D645,Products!A:F,3,FALSE())</f>
        <v>Grocery</v>
      </c>
      <c r="M645" t="str">
        <f>VLOOKUP(C645,Customers!A:F,5,FALSE())</f>
        <v>Corporate</v>
      </c>
      <c r="O645" t="str">
        <f>IFERROR(VLOOKUP(E645,Sales_Reps!$A:$C,3,FALSE()),"")</f>
        <v/>
      </c>
      <c r="P645">
        <f>IFERROR(VLOOKUP(C645,Customers!$A:$C,3,FALSE()),"")</f>
        <v>31</v>
      </c>
      <c r="Q645" t="str">
        <f t="shared" si="10"/>
        <v>Dec-24</v>
      </c>
      <c r="R645">
        <f>IFERROR((VLOOKUP(D645,Products!$A:$E,5,FALSE())-VLOOKUP(D645,Products!$A:$E,4,FALSE()))/VLOOKUP(D645,Products!$A:$E,5,FALSE()),"")</f>
        <v>0.28300492610837441</v>
      </c>
    </row>
    <row r="646" spans="1:18" x14ac:dyDescent="0.3">
      <c r="A646" s="22" t="s">
        <v>1736</v>
      </c>
      <c r="B646" s="23">
        <v>45294</v>
      </c>
      <c r="C646" s="22" t="s">
        <v>204</v>
      </c>
      <c r="D646" s="22" t="s">
        <v>132</v>
      </c>
      <c r="E646" s="22" t="s">
        <v>1737</v>
      </c>
      <c r="F646" s="24">
        <v>3</v>
      </c>
      <c r="G646" s="24">
        <v>960</v>
      </c>
      <c r="H646" s="24">
        <v>6.6</v>
      </c>
      <c r="I646" s="24">
        <v>2689.92</v>
      </c>
      <c r="J646" s="22" t="s">
        <v>159</v>
      </c>
      <c r="K646" s="22" t="s">
        <v>111</v>
      </c>
      <c r="L646" t="str">
        <f>VLOOKUP(D646,Products!A:F,3,FALSE())</f>
        <v>Sports</v>
      </c>
      <c r="M646" t="str">
        <f>VLOOKUP(C646,Customers!A:F,5,FALSE())</f>
        <v>Corporate</v>
      </c>
      <c r="O646" t="str">
        <f>IFERROR(VLOOKUP(E646,Sales_Reps!$A:$C,3,FALSE()),"")</f>
        <v/>
      </c>
      <c r="P646">
        <f>IFERROR(VLOOKUP(C646,Customers!$A:$C,3,FALSE()),"")</f>
        <v>55</v>
      </c>
      <c r="Q646" t="str">
        <f t="shared" si="10"/>
        <v>Jan-24</v>
      </c>
      <c r="R646">
        <f>IFERROR((VLOOKUP(D646,Products!$A:$E,5,FALSE())-VLOOKUP(D646,Products!$A:$E,4,FALSE()))/VLOOKUP(D646,Products!$A:$E,5,FALSE()),"")</f>
        <v>0.265625</v>
      </c>
    </row>
    <row r="647" spans="1:18" x14ac:dyDescent="0.3">
      <c r="A647" s="22" t="s">
        <v>1738</v>
      </c>
      <c r="B647" s="23">
        <v>45418</v>
      </c>
      <c r="C647" s="22" t="s">
        <v>769</v>
      </c>
      <c r="D647" s="22" t="s">
        <v>334</v>
      </c>
      <c r="E647" s="22" t="s">
        <v>1739</v>
      </c>
      <c r="F647" s="24">
        <v>4</v>
      </c>
      <c r="G647" s="24">
        <v>2660</v>
      </c>
      <c r="H647" s="24">
        <v>16.899999999999999</v>
      </c>
      <c r="I647" s="24">
        <v>8841.84</v>
      </c>
      <c r="J647" s="22" t="s">
        <v>104</v>
      </c>
      <c r="K647" s="22" t="s">
        <v>151</v>
      </c>
      <c r="L647" t="str">
        <f>VLOOKUP(D647,Products!A:F,3,FALSE())</f>
        <v>Electronics</v>
      </c>
      <c r="M647" t="str">
        <f>VLOOKUP(C647,Customers!A:F,5,FALSE())</f>
        <v>SMB</v>
      </c>
      <c r="O647" t="str">
        <f>IFERROR(VLOOKUP(E647,Sales_Reps!$A:$C,3,FALSE()),"")</f>
        <v/>
      </c>
      <c r="P647">
        <f>IFERROR(VLOOKUP(C647,Customers!$A:$C,3,FALSE()),"")</f>
        <v>43</v>
      </c>
      <c r="Q647" t="str">
        <f t="shared" si="10"/>
        <v>May-24</v>
      </c>
      <c r="R647">
        <f>IFERROR((VLOOKUP(D647,Products!$A:$E,5,FALSE())-VLOOKUP(D647,Products!$A:$E,4,FALSE()))/VLOOKUP(D647,Products!$A:$E,5,FALSE()),"")</f>
        <v>0.52669172932330832</v>
      </c>
    </row>
    <row r="648" spans="1:18" x14ac:dyDescent="0.3">
      <c r="A648" s="22" t="s">
        <v>1740</v>
      </c>
      <c r="B648" s="23">
        <v>45369</v>
      </c>
      <c r="C648" s="22" t="s">
        <v>673</v>
      </c>
      <c r="D648" s="22" t="s">
        <v>149</v>
      </c>
      <c r="E648" s="22" t="s">
        <v>1741</v>
      </c>
      <c r="F648" s="24">
        <v>6</v>
      </c>
      <c r="G648" s="24">
        <v>2270</v>
      </c>
      <c r="H648" s="24">
        <v>16.7</v>
      </c>
      <c r="I648" s="24">
        <v>11345.46</v>
      </c>
      <c r="J648" s="22" t="s">
        <v>104</v>
      </c>
      <c r="K648" s="22" t="s">
        <v>151</v>
      </c>
      <c r="L648" t="str">
        <f>VLOOKUP(D648,Products!A:F,3,FALSE())</f>
        <v>Grocery</v>
      </c>
      <c r="M648" t="str">
        <f>VLOOKUP(C648,Customers!A:F,5,FALSE())</f>
        <v>SMB</v>
      </c>
      <c r="O648" t="str">
        <f>IFERROR(VLOOKUP(E648,Sales_Reps!$A:$C,3,FALSE()),"")</f>
        <v/>
      </c>
      <c r="P648">
        <f>IFERROR(VLOOKUP(C648,Customers!$A:$C,3,FALSE()),"")</f>
        <v>65</v>
      </c>
      <c r="Q648" t="str">
        <f t="shared" si="10"/>
        <v>Mar-24</v>
      </c>
      <c r="R648">
        <f>IFERROR((VLOOKUP(D648,Products!$A:$E,5,FALSE())-VLOOKUP(D648,Products!$A:$E,4,FALSE()))/VLOOKUP(D648,Products!$A:$E,5,FALSE()),"")</f>
        <v>0.47004405286343615</v>
      </c>
    </row>
    <row r="649" spans="1:18" x14ac:dyDescent="0.3">
      <c r="A649" s="22" t="s">
        <v>1742</v>
      </c>
      <c r="B649" s="23">
        <v>45549</v>
      </c>
      <c r="C649" s="22" t="s">
        <v>500</v>
      </c>
      <c r="D649" s="22" t="s">
        <v>275</v>
      </c>
      <c r="E649" s="22" t="s">
        <v>1743</v>
      </c>
      <c r="F649" s="24">
        <v>5</v>
      </c>
      <c r="G649" s="24">
        <v>3780</v>
      </c>
      <c r="H649" s="24">
        <v>21.5</v>
      </c>
      <c r="I649" s="24">
        <v>14836.5</v>
      </c>
      <c r="J649" s="22" t="s">
        <v>104</v>
      </c>
      <c r="K649" s="22" t="s">
        <v>134</v>
      </c>
      <c r="L649" t="str">
        <f>VLOOKUP(D649,Products!A:F,3,FALSE())</f>
        <v>Grocery</v>
      </c>
      <c r="M649" t="str">
        <f>VLOOKUP(C649,Customers!A:F,5,FALSE())</f>
        <v>SMB</v>
      </c>
      <c r="O649" t="str">
        <f>IFERROR(VLOOKUP(E649,Sales_Reps!$A:$C,3,FALSE()),"")</f>
        <v/>
      </c>
      <c r="P649">
        <f>IFERROR(VLOOKUP(C649,Customers!$A:$C,3,FALSE()),"")</f>
        <v>28</v>
      </c>
      <c r="Q649" t="str">
        <f t="shared" si="10"/>
        <v>Sep-24</v>
      </c>
      <c r="R649">
        <f>IFERROR((VLOOKUP(D649,Products!$A:$E,5,FALSE())-VLOOKUP(D649,Products!$A:$E,4,FALSE()))/VLOOKUP(D649,Products!$A:$E,5,FALSE()),"")</f>
        <v>0.35555555555555557</v>
      </c>
    </row>
    <row r="650" spans="1:18" x14ac:dyDescent="0.3">
      <c r="A650" s="22" t="s">
        <v>1744</v>
      </c>
      <c r="B650" s="23">
        <v>45505</v>
      </c>
      <c r="C650" s="22" t="s">
        <v>1375</v>
      </c>
      <c r="D650" s="22" t="s">
        <v>234</v>
      </c>
      <c r="E650" s="22" t="s">
        <v>1745</v>
      </c>
      <c r="F650" s="24">
        <v>10</v>
      </c>
      <c r="G650" s="24">
        <v>660</v>
      </c>
      <c r="H650" s="24">
        <v>18.8</v>
      </c>
      <c r="I650" s="24">
        <v>5359.2</v>
      </c>
      <c r="J650" s="22" t="s">
        <v>104</v>
      </c>
      <c r="K650" s="22" t="s">
        <v>116</v>
      </c>
      <c r="L650" t="str">
        <f>VLOOKUP(D650,Products!A:F,3,FALSE())</f>
        <v>Home</v>
      </c>
      <c r="M650" t="str">
        <f>VLOOKUP(C650,Customers!A:F,5,FALSE())</f>
        <v>Retail</v>
      </c>
      <c r="O650" t="str">
        <f>IFERROR(VLOOKUP(E650,Sales_Reps!$A:$C,3,FALSE()),"")</f>
        <v/>
      </c>
      <c r="P650">
        <f>IFERROR(VLOOKUP(C650,Customers!$A:$C,3,FALSE()),"")</f>
        <v>55</v>
      </c>
      <c r="Q650" t="str">
        <f t="shared" si="10"/>
        <v>Aug-24</v>
      </c>
      <c r="R650">
        <f>IFERROR((VLOOKUP(D650,Products!$A:$E,5,FALSE())-VLOOKUP(D650,Products!$A:$E,4,FALSE()))/VLOOKUP(D650,Products!$A:$E,5,FALSE()),"")</f>
        <v>0.50151515151515147</v>
      </c>
    </row>
    <row r="651" spans="1:18" x14ac:dyDescent="0.3">
      <c r="A651" s="22" t="s">
        <v>1746</v>
      </c>
      <c r="B651" s="23">
        <v>45413</v>
      </c>
      <c r="C651" s="22" t="s">
        <v>847</v>
      </c>
      <c r="D651" s="22" t="s">
        <v>265</v>
      </c>
      <c r="E651" s="22" t="s">
        <v>1747</v>
      </c>
      <c r="F651" s="24">
        <v>10</v>
      </c>
      <c r="G651" s="24">
        <v>3730</v>
      </c>
      <c r="H651" s="24">
        <v>15.1</v>
      </c>
      <c r="I651" s="24">
        <v>31667.7</v>
      </c>
      <c r="J651" s="22" t="s">
        <v>104</v>
      </c>
      <c r="K651" s="22" t="s">
        <v>105</v>
      </c>
      <c r="L651" t="str">
        <f>VLOOKUP(D651,Products!A:F,3,FALSE())</f>
        <v>Home</v>
      </c>
      <c r="M651" t="str">
        <f>VLOOKUP(C651,Customers!A:F,5,FALSE())</f>
        <v>Corporate</v>
      </c>
      <c r="O651" t="str">
        <f>IFERROR(VLOOKUP(E651,Sales_Reps!$A:$C,3,FALSE()),"")</f>
        <v/>
      </c>
      <c r="P651">
        <f>IFERROR(VLOOKUP(C651,Customers!$A:$C,3,FALSE()),"")</f>
        <v>40</v>
      </c>
      <c r="Q651" t="str">
        <f t="shared" si="10"/>
        <v>May-24</v>
      </c>
      <c r="R651">
        <f>IFERROR((VLOOKUP(D651,Products!$A:$E,5,FALSE())-VLOOKUP(D651,Products!$A:$E,4,FALSE()))/VLOOKUP(D651,Products!$A:$E,5,FALSE()),"")</f>
        <v>0.42761394101876676</v>
      </c>
    </row>
    <row r="652" spans="1:18" x14ac:dyDescent="0.3">
      <c r="A652" s="22" t="s">
        <v>1748</v>
      </c>
      <c r="B652" s="23">
        <v>45559</v>
      </c>
      <c r="C652" s="22" t="s">
        <v>156</v>
      </c>
      <c r="D652" s="22" t="s">
        <v>436</v>
      </c>
      <c r="E652" s="22" t="s">
        <v>1749</v>
      </c>
      <c r="F652" s="24">
        <v>6</v>
      </c>
      <c r="G652" s="24">
        <v>4060</v>
      </c>
      <c r="H652" s="24">
        <v>20.100000000000001</v>
      </c>
      <c r="I652" s="24">
        <v>19463.64</v>
      </c>
      <c r="J652" s="22" t="s">
        <v>110</v>
      </c>
      <c r="K652" s="22" t="s">
        <v>1750</v>
      </c>
      <c r="L652" t="str">
        <f>VLOOKUP(D652,Products!A:F,3,FALSE())</f>
        <v>Grocery</v>
      </c>
      <c r="M652" t="str">
        <f>VLOOKUP(C652,Customers!A:F,5,FALSE())</f>
        <v>SMB</v>
      </c>
      <c r="O652" t="str">
        <f>IFERROR(VLOOKUP(E652,Sales_Reps!$A:$C,3,FALSE()),"")</f>
        <v/>
      </c>
      <c r="P652">
        <f>IFERROR(VLOOKUP(C652,Customers!$A:$C,3,FALSE()),"")</f>
        <v>27</v>
      </c>
      <c r="Q652" t="str">
        <f t="shared" si="10"/>
        <v>Sep-24</v>
      </c>
      <c r="R652">
        <f>IFERROR((VLOOKUP(D652,Products!$A:$E,5,FALSE())-VLOOKUP(D652,Products!$A:$E,4,FALSE()))/VLOOKUP(D652,Products!$A:$E,5,FALSE()),"")</f>
        <v>0.28300492610837441</v>
      </c>
    </row>
    <row r="653" spans="1:18" x14ac:dyDescent="0.3">
      <c r="A653" s="22" t="s">
        <v>1751</v>
      </c>
      <c r="B653" s="23">
        <v>45525</v>
      </c>
      <c r="C653" s="22" t="s">
        <v>1508</v>
      </c>
      <c r="D653" s="22" t="s">
        <v>149</v>
      </c>
      <c r="E653" s="22" t="s">
        <v>1752</v>
      </c>
      <c r="F653" s="24">
        <v>2</v>
      </c>
      <c r="G653" s="24">
        <v>2270</v>
      </c>
      <c r="H653" s="24">
        <v>17.7</v>
      </c>
      <c r="I653" s="24">
        <v>3736.42</v>
      </c>
      <c r="J653" s="22" t="s">
        <v>104</v>
      </c>
      <c r="K653" s="22" t="s">
        <v>134</v>
      </c>
      <c r="L653" t="str">
        <f>VLOOKUP(D653,Products!A:F,3,FALSE())</f>
        <v>Grocery</v>
      </c>
      <c r="M653" t="str">
        <f>VLOOKUP(C653,Customers!A:F,5,FALSE())</f>
        <v>SMB</v>
      </c>
      <c r="O653" t="str">
        <f>IFERROR(VLOOKUP(E653,Sales_Reps!$A:$C,3,FALSE()),"")</f>
        <v/>
      </c>
      <c r="P653">
        <f>IFERROR(VLOOKUP(C653,Customers!$A:$C,3,FALSE()),"")</f>
        <v>36</v>
      </c>
      <c r="Q653" t="str">
        <f t="shared" si="10"/>
        <v>Aug-24</v>
      </c>
      <c r="R653">
        <f>IFERROR((VLOOKUP(D653,Products!$A:$E,5,FALSE())-VLOOKUP(D653,Products!$A:$E,4,FALSE()))/VLOOKUP(D653,Products!$A:$E,5,FALSE()),"")</f>
        <v>0.47004405286343615</v>
      </c>
    </row>
    <row r="654" spans="1:18" x14ac:dyDescent="0.3">
      <c r="A654" s="22" t="s">
        <v>1753</v>
      </c>
      <c r="B654" s="23">
        <v>45610</v>
      </c>
      <c r="C654" s="22" t="s">
        <v>731</v>
      </c>
      <c r="D654" s="22" t="s">
        <v>216</v>
      </c>
      <c r="E654" s="22" t="s">
        <v>1754</v>
      </c>
      <c r="F654" s="24">
        <v>9</v>
      </c>
      <c r="G654" s="24">
        <v>3570</v>
      </c>
      <c r="H654" s="24">
        <v>29.9</v>
      </c>
      <c r="I654" s="24">
        <v>22523.13</v>
      </c>
      <c r="J654" s="22" t="s">
        <v>104</v>
      </c>
      <c r="K654" s="22" t="s">
        <v>151</v>
      </c>
      <c r="L654" t="str">
        <f>VLOOKUP(D654,Products!A:F,3,FALSE())</f>
        <v>Electronics</v>
      </c>
      <c r="M654" t="str">
        <f>VLOOKUP(C654,Customers!A:F,5,FALSE())</f>
        <v>SMB</v>
      </c>
      <c r="O654" t="str">
        <f>IFERROR(VLOOKUP(E654,Sales_Reps!$A:$C,3,FALSE()),"")</f>
        <v/>
      </c>
      <c r="P654">
        <f>IFERROR(VLOOKUP(C654,Customers!$A:$C,3,FALSE()),"")</f>
        <v>48</v>
      </c>
      <c r="Q654" t="str">
        <f t="shared" si="10"/>
        <v>Nov-24</v>
      </c>
      <c r="R654">
        <f>IFERROR((VLOOKUP(D654,Products!$A:$E,5,FALSE())-VLOOKUP(D654,Products!$A:$E,4,FALSE()))/VLOOKUP(D654,Products!$A:$E,5,FALSE()),"")</f>
        <v>0.53361344537815125</v>
      </c>
    </row>
    <row r="655" spans="1:18" x14ac:dyDescent="0.3">
      <c r="A655" s="22" t="s">
        <v>1755</v>
      </c>
      <c r="B655" s="23">
        <v>45521</v>
      </c>
      <c r="C655" s="22" t="s">
        <v>1230</v>
      </c>
      <c r="D655" s="22" t="s">
        <v>419</v>
      </c>
      <c r="E655" s="22" t="s">
        <v>1756</v>
      </c>
      <c r="F655" s="24">
        <v>7</v>
      </c>
      <c r="G655" s="24">
        <v>2210</v>
      </c>
      <c r="H655" s="24">
        <v>25</v>
      </c>
      <c r="I655" s="24">
        <v>11602.5</v>
      </c>
      <c r="J655" s="22" t="s">
        <v>104</v>
      </c>
      <c r="K655" s="22" t="s">
        <v>151</v>
      </c>
      <c r="L655" t="str">
        <f>VLOOKUP(D655,Products!A:F,3,FALSE())</f>
        <v>Grocery</v>
      </c>
      <c r="M655" t="str">
        <f>VLOOKUP(C655,Customers!A:F,5,FALSE())</f>
        <v>Retail</v>
      </c>
      <c r="O655" t="str">
        <f>IFERROR(VLOOKUP(E655,Sales_Reps!$A:$C,3,FALSE()),"")</f>
        <v/>
      </c>
      <c r="P655">
        <f>IFERROR(VLOOKUP(C655,Customers!$A:$C,3,FALSE()),"")</f>
        <v>52</v>
      </c>
      <c r="Q655" t="str">
        <f t="shared" si="10"/>
        <v>Aug-24</v>
      </c>
      <c r="R655">
        <f>IFERROR((VLOOKUP(D655,Products!$A:$E,5,FALSE())-VLOOKUP(D655,Products!$A:$E,4,FALSE()))/VLOOKUP(D655,Products!$A:$E,5,FALSE()),"")</f>
        <v>0.54298642533936647</v>
      </c>
    </row>
    <row r="656" spans="1:18" x14ac:dyDescent="0.3">
      <c r="A656" s="22" t="s">
        <v>1757</v>
      </c>
      <c r="B656" s="23">
        <v>45381</v>
      </c>
      <c r="C656" s="22" t="s">
        <v>1367</v>
      </c>
      <c r="D656" s="22" t="s">
        <v>132</v>
      </c>
      <c r="E656" s="22" t="s">
        <v>1758</v>
      </c>
      <c r="F656" s="24">
        <v>2</v>
      </c>
      <c r="G656" s="24">
        <v>960</v>
      </c>
      <c r="H656" s="24">
        <v>8.1999999999999993</v>
      </c>
      <c r="I656" s="24">
        <v>1762.56</v>
      </c>
      <c r="J656" s="22" t="s">
        <v>159</v>
      </c>
      <c r="K656" s="22" t="s">
        <v>129</v>
      </c>
      <c r="L656" t="str">
        <f>VLOOKUP(D656,Products!A:F,3,FALSE())</f>
        <v>Sports</v>
      </c>
      <c r="M656" t="str">
        <f>VLOOKUP(C656,Customers!A:F,5,FALSE())</f>
        <v>SMB</v>
      </c>
      <c r="O656" t="str">
        <f>IFERROR(VLOOKUP(E656,Sales_Reps!$A:$C,3,FALSE()),"")</f>
        <v/>
      </c>
      <c r="P656">
        <f>IFERROR(VLOOKUP(C656,Customers!$A:$C,3,FALSE()),"")</f>
        <v>43</v>
      </c>
      <c r="Q656" t="str">
        <f t="shared" si="10"/>
        <v>Mar-24</v>
      </c>
      <c r="R656">
        <f>IFERROR((VLOOKUP(D656,Products!$A:$E,5,FALSE())-VLOOKUP(D656,Products!$A:$E,4,FALSE()))/VLOOKUP(D656,Products!$A:$E,5,FALSE()),"")</f>
        <v>0.265625</v>
      </c>
    </row>
    <row r="657" spans="1:18" x14ac:dyDescent="0.3">
      <c r="A657" s="22" t="s">
        <v>1759</v>
      </c>
      <c r="B657" s="23">
        <v>45401</v>
      </c>
      <c r="C657" s="22" t="s">
        <v>879</v>
      </c>
      <c r="D657" s="22" t="s">
        <v>605</v>
      </c>
      <c r="E657" s="22" t="s">
        <v>1760</v>
      </c>
      <c r="F657" s="24">
        <v>9</v>
      </c>
      <c r="G657" s="24">
        <v>3780</v>
      </c>
      <c r="H657" s="24">
        <v>28.4</v>
      </c>
      <c r="I657" s="24">
        <v>24358.32</v>
      </c>
      <c r="J657" s="22" t="s">
        <v>110</v>
      </c>
      <c r="K657" s="22" t="s">
        <v>151</v>
      </c>
      <c r="L657" t="str">
        <f>VLOOKUP(D657,Products!A:F,3,FALSE())</f>
        <v>Sports</v>
      </c>
      <c r="M657" t="str">
        <f>VLOOKUP(C657,Customers!A:F,5,FALSE())</f>
        <v>Corporate</v>
      </c>
      <c r="O657" t="str">
        <f>IFERROR(VLOOKUP(E657,Sales_Reps!$A:$C,3,FALSE()),"")</f>
        <v/>
      </c>
      <c r="P657">
        <f>IFERROR(VLOOKUP(C657,Customers!$A:$C,3,FALSE()),"")</f>
        <v>22</v>
      </c>
      <c r="Q657" t="str">
        <f t="shared" si="10"/>
        <v>Apr-24</v>
      </c>
      <c r="R657">
        <f>IFERROR((VLOOKUP(D657,Products!$A:$E,5,FALSE())-VLOOKUP(D657,Products!$A:$E,4,FALSE()))/VLOOKUP(D657,Products!$A:$E,5,FALSE()),"")</f>
        <v>0.50793650793650791</v>
      </c>
    </row>
    <row r="658" spans="1:18" x14ac:dyDescent="0.3">
      <c r="A658" s="22" t="s">
        <v>1761</v>
      </c>
      <c r="B658" s="23">
        <v>45581</v>
      </c>
      <c r="C658" s="22" t="s">
        <v>1333</v>
      </c>
      <c r="D658" s="22" t="s">
        <v>220</v>
      </c>
      <c r="E658" s="22" t="s">
        <v>1762</v>
      </c>
      <c r="F658" s="24">
        <v>2</v>
      </c>
      <c r="G658" s="24">
        <v>5100</v>
      </c>
      <c r="H658" s="24">
        <v>8.6</v>
      </c>
      <c r="I658" s="24">
        <v>9322.7999999999993</v>
      </c>
      <c r="J658" s="22" t="s">
        <v>104</v>
      </c>
      <c r="K658" s="22" t="s">
        <v>111</v>
      </c>
      <c r="L658" t="str">
        <f>VLOOKUP(D658,Products!A:F,3,FALSE())</f>
        <v>Beauty</v>
      </c>
      <c r="M658" t="str">
        <f>VLOOKUP(C658,Customers!A:F,5,FALSE())</f>
        <v>Corporate</v>
      </c>
      <c r="O658" t="str">
        <f>IFERROR(VLOOKUP(E658,Sales_Reps!$A:$C,3,FALSE()),"")</f>
        <v/>
      </c>
      <c r="P658">
        <f>IFERROR(VLOOKUP(C658,Customers!$A:$C,3,FALSE()),"")</f>
        <v>44</v>
      </c>
      <c r="Q658" t="str">
        <f t="shared" si="10"/>
        <v>Oct-24</v>
      </c>
      <c r="R658">
        <f>IFERROR((VLOOKUP(D658,Products!$A:$E,5,FALSE())-VLOOKUP(D658,Products!$A:$E,4,FALSE()))/VLOOKUP(D658,Products!$A:$E,5,FALSE()),"")</f>
        <v>0.56137254901960787</v>
      </c>
    </row>
    <row r="659" spans="1:18" x14ac:dyDescent="0.3">
      <c r="A659" s="22" t="s">
        <v>1763</v>
      </c>
      <c r="B659" s="23">
        <v>45414</v>
      </c>
      <c r="C659" s="22" t="s">
        <v>687</v>
      </c>
      <c r="D659" s="22" t="s">
        <v>190</v>
      </c>
      <c r="E659" s="22" t="s">
        <v>1764</v>
      </c>
      <c r="F659" s="24">
        <v>4</v>
      </c>
      <c r="G659" s="24">
        <v>2480</v>
      </c>
      <c r="H659" s="24">
        <v>16.600000000000001</v>
      </c>
      <c r="I659" s="24">
        <v>8273.2800000000007</v>
      </c>
      <c r="J659" s="22" t="s">
        <v>104</v>
      </c>
      <c r="K659" s="22" t="s">
        <v>134</v>
      </c>
      <c r="L659" t="str">
        <f>VLOOKUP(D659,Products!A:F,3,FALSE())</f>
        <v>Apparel</v>
      </c>
      <c r="M659" t="str">
        <f>VLOOKUP(C659,Customers!A:F,5,FALSE())</f>
        <v>SMB</v>
      </c>
      <c r="O659" t="str">
        <f>IFERROR(VLOOKUP(E659,Sales_Reps!$A:$C,3,FALSE()),"")</f>
        <v/>
      </c>
      <c r="P659">
        <f>IFERROR(VLOOKUP(C659,Customers!$A:$C,3,FALSE()),"")</f>
        <v>26</v>
      </c>
      <c r="Q659" t="str">
        <f t="shared" si="10"/>
        <v>May-24</v>
      </c>
      <c r="R659">
        <f>IFERROR((VLOOKUP(D659,Products!$A:$E,5,FALSE())-VLOOKUP(D659,Products!$A:$E,4,FALSE()))/VLOOKUP(D659,Products!$A:$E,5,FALSE()),"")</f>
        <v>0.52701612903225803</v>
      </c>
    </row>
    <row r="660" spans="1:18" x14ac:dyDescent="0.3">
      <c r="A660" s="22" t="s">
        <v>1765</v>
      </c>
      <c r="B660" s="23">
        <v>45443</v>
      </c>
      <c r="C660" s="22" t="s">
        <v>1766</v>
      </c>
      <c r="D660" s="22" t="s">
        <v>186</v>
      </c>
      <c r="E660" s="22" t="s">
        <v>1767</v>
      </c>
      <c r="F660" s="24">
        <v>10</v>
      </c>
      <c r="G660" s="24">
        <v>1080</v>
      </c>
      <c r="H660" s="24">
        <v>14.5</v>
      </c>
      <c r="I660" s="24">
        <v>9234</v>
      </c>
      <c r="J660" s="22" t="s">
        <v>104</v>
      </c>
      <c r="K660" s="22" t="s">
        <v>129</v>
      </c>
      <c r="L660" t="str">
        <f>VLOOKUP(D660,Products!A:F,3,FALSE())</f>
        <v>Home</v>
      </c>
      <c r="M660" t="str">
        <f>VLOOKUP(C660,Customers!A:F,5,FALSE())</f>
        <v>Corporate</v>
      </c>
      <c r="O660" t="str">
        <f>IFERROR(VLOOKUP(E660,Sales_Reps!$A:$C,3,FALSE()),"")</f>
        <v/>
      </c>
      <c r="P660">
        <f>IFERROR(VLOOKUP(C660,Customers!$A:$C,3,FALSE()),"")</f>
        <v>46</v>
      </c>
      <c r="Q660" t="str">
        <f t="shared" si="10"/>
        <v>May-24</v>
      </c>
      <c r="R660">
        <f>IFERROR((VLOOKUP(D660,Products!$A:$E,5,FALSE())-VLOOKUP(D660,Products!$A:$E,4,FALSE()))/VLOOKUP(D660,Products!$A:$E,5,FALSE()),"")</f>
        <v>0.51944444444444449</v>
      </c>
    </row>
    <row r="661" spans="1:18" x14ac:dyDescent="0.3">
      <c r="A661" s="22" t="s">
        <v>1768</v>
      </c>
      <c r="B661" s="23">
        <v>45377</v>
      </c>
      <c r="C661" s="22" t="s">
        <v>876</v>
      </c>
      <c r="D661" s="22" t="s">
        <v>157</v>
      </c>
      <c r="E661" s="22" t="s">
        <v>1769</v>
      </c>
      <c r="F661" s="24">
        <v>7</v>
      </c>
      <c r="G661" s="24">
        <v>2600</v>
      </c>
      <c r="H661" s="24">
        <v>21</v>
      </c>
      <c r="I661" s="24">
        <v>14378</v>
      </c>
      <c r="J661" s="22" t="s">
        <v>104</v>
      </c>
      <c r="K661" s="22" t="s">
        <v>116</v>
      </c>
      <c r="L661" t="str">
        <f>VLOOKUP(D661,Products!A:F,3,FALSE())</f>
        <v>Electronics</v>
      </c>
      <c r="M661" t="str">
        <f>VLOOKUP(C661,Customers!A:F,5,FALSE())</f>
        <v>Retail</v>
      </c>
      <c r="O661" t="str">
        <f>IFERROR(VLOOKUP(E661,Sales_Reps!$A:$C,3,FALSE()),"")</f>
        <v/>
      </c>
      <c r="P661">
        <f>IFERROR(VLOOKUP(C661,Customers!$A:$C,3,FALSE()),"")</f>
        <v>40</v>
      </c>
      <c r="Q661" t="str">
        <f t="shared" si="10"/>
        <v>Mar-24</v>
      </c>
      <c r="R661">
        <f>IFERROR((VLOOKUP(D661,Products!$A:$E,5,FALSE())-VLOOKUP(D661,Products!$A:$E,4,FALSE()))/VLOOKUP(D661,Products!$A:$E,5,FALSE()),"")</f>
        <v>0.5953846153846154</v>
      </c>
    </row>
    <row r="662" spans="1:18" x14ac:dyDescent="0.3">
      <c r="A662" s="22" t="s">
        <v>1770</v>
      </c>
      <c r="B662" s="23">
        <v>45622</v>
      </c>
      <c r="C662" s="22" t="s">
        <v>122</v>
      </c>
      <c r="D662" s="22" t="s">
        <v>157</v>
      </c>
      <c r="E662" s="22" t="s">
        <v>1771</v>
      </c>
      <c r="F662" s="24">
        <v>7</v>
      </c>
      <c r="G662" s="24">
        <v>2600</v>
      </c>
      <c r="H662" s="24">
        <v>6.7</v>
      </c>
      <c r="I662" s="24">
        <v>16980.599999999999</v>
      </c>
      <c r="J662" s="22" t="s">
        <v>110</v>
      </c>
      <c r="K662" s="22" t="s">
        <v>111</v>
      </c>
      <c r="L662" t="str">
        <f>VLOOKUP(D662,Products!A:F,3,FALSE())</f>
        <v>Electronics</v>
      </c>
      <c r="M662" t="str">
        <f>VLOOKUP(C662,Customers!A:F,5,FALSE())</f>
        <v>Retail</v>
      </c>
      <c r="O662" t="str">
        <f>IFERROR(VLOOKUP(E662,Sales_Reps!$A:$C,3,FALSE()),"")</f>
        <v/>
      </c>
      <c r="P662">
        <f>IFERROR(VLOOKUP(C662,Customers!$A:$C,3,FALSE()),"")</f>
        <v>36</v>
      </c>
      <c r="Q662" t="str">
        <f t="shared" si="10"/>
        <v>Nov-24</v>
      </c>
      <c r="R662">
        <f>IFERROR((VLOOKUP(D662,Products!$A:$E,5,FALSE())-VLOOKUP(D662,Products!$A:$E,4,FALSE()))/VLOOKUP(D662,Products!$A:$E,5,FALSE()),"")</f>
        <v>0.5953846153846154</v>
      </c>
    </row>
    <row r="663" spans="1:18" x14ac:dyDescent="0.3">
      <c r="A663" s="22" t="s">
        <v>1772</v>
      </c>
      <c r="B663" s="23">
        <v>45403</v>
      </c>
      <c r="C663" s="22" t="s">
        <v>255</v>
      </c>
      <c r="D663" s="22" t="s">
        <v>108</v>
      </c>
      <c r="E663" s="22" t="s">
        <v>1773</v>
      </c>
      <c r="F663" s="24">
        <v>8</v>
      </c>
      <c r="G663" s="24">
        <v>820</v>
      </c>
      <c r="H663" s="24">
        <v>17.8</v>
      </c>
      <c r="I663" s="24">
        <v>5392.32</v>
      </c>
      <c r="J663" s="22" t="s">
        <v>110</v>
      </c>
      <c r="K663" s="22" t="s">
        <v>116</v>
      </c>
      <c r="L663" t="str">
        <f>VLOOKUP(D663,Products!A:F,3,FALSE())</f>
        <v>Apparel</v>
      </c>
      <c r="M663" t="str">
        <f>VLOOKUP(C663,Customers!A:F,5,FALSE())</f>
        <v>SMB</v>
      </c>
      <c r="O663" t="str">
        <f>IFERROR(VLOOKUP(E663,Sales_Reps!$A:$C,3,FALSE()),"")</f>
        <v/>
      </c>
      <c r="P663">
        <f>IFERROR(VLOOKUP(C663,Customers!$A:$C,3,FALSE()),"")</f>
        <v>50</v>
      </c>
      <c r="Q663" t="str">
        <f t="shared" si="10"/>
        <v>Apr-24</v>
      </c>
      <c r="R663">
        <f>IFERROR((VLOOKUP(D663,Products!$A:$E,5,FALSE())-VLOOKUP(D663,Products!$A:$E,4,FALSE()))/VLOOKUP(D663,Products!$A:$E,5,FALSE()),"")</f>
        <v>0.52317073170731709</v>
      </c>
    </row>
    <row r="664" spans="1:18" x14ac:dyDescent="0.3">
      <c r="A664" s="22" t="s">
        <v>1774</v>
      </c>
      <c r="B664" s="23">
        <v>45532</v>
      </c>
      <c r="C664" s="22" t="s">
        <v>700</v>
      </c>
      <c r="D664" s="22" t="s">
        <v>132</v>
      </c>
      <c r="E664" s="22" t="s">
        <v>1775</v>
      </c>
      <c r="F664" s="24">
        <v>3</v>
      </c>
      <c r="G664" s="24">
        <v>960</v>
      </c>
      <c r="H664" s="24">
        <v>17.8</v>
      </c>
      <c r="I664" s="24">
        <v>2367.36</v>
      </c>
      <c r="J664" s="22" t="s">
        <v>104</v>
      </c>
      <c r="K664" s="22" t="s">
        <v>105</v>
      </c>
      <c r="L664" t="str">
        <f>VLOOKUP(D664,Products!A:F,3,FALSE())</f>
        <v>Sports</v>
      </c>
      <c r="M664" t="str">
        <f>VLOOKUP(C664,Customers!A:F,5,FALSE())</f>
        <v>Retail</v>
      </c>
      <c r="O664" t="str">
        <f>IFERROR(VLOOKUP(E664,Sales_Reps!$A:$C,3,FALSE()),"")</f>
        <v/>
      </c>
      <c r="P664">
        <f>IFERROR(VLOOKUP(C664,Customers!$A:$C,3,FALSE()),"")</f>
        <v>49</v>
      </c>
      <c r="Q664" t="str">
        <f t="shared" si="10"/>
        <v>Aug-24</v>
      </c>
      <c r="R664">
        <f>IFERROR((VLOOKUP(D664,Products!$A:$E,5,FALSE())-VLOOKUP(D664,Products!$A:$E,4,FALSE()))/VLOOKUP(D664,Products!$A:$E,5,FALSE()),"")</f>
        <v>0.265625</v>
      </c>
    </row>
    <row r="665" spans="1:18" x14ac:dyDescent="0.3">
      <c r="A665" s="22" t="s">
        <v>1776</v>
      </c>
      <c r="B665" s="23">
        <v>45301</v>
      </c>
      <c r="C665" s="22" t="s">
        <v>318</v>
      </c>
      <c r="D665" s="22" t="s">
        <v>308</v>
      </c>
      <c r="E665" s="22" t="s">
        <v>1777</v>
      </c>
      <c r="F665" s="24">
        <v>2</v>
      </c>
      <c r="G665" s="24">
        <v>1540</v>
      </c>
      <c r="H665" s="24">
        <v>1.8</v>
      </c>
      <c r="I665" s="24">
        <v>3024.56</v>
      </c>
      <c r="J665" s="22" t="s">
        <v>159</v>
      </c>
      <c r="K665" s="22" t="s">
        <v>116</v>
      </c>
      <c r="L665" t="str">
        <f>VLOOKUP(D665,Products!A:F,3,FALSE())</f>
        <v>Beauty</v>
      </c>
      <c r="M665" t="str">
        <f>VLOOKUP(C665,Customers!A:F,5,FALSE())</f>
        <v>Corporate</v>
      </c>
      <c r="O665" t="str">
        <f>IFERROR(VLOOKUP(E665,Sales_Reps!$A:$C,3,FALSE()),"")</f>
        <v/>
      </c>
      <c r="P665">
        <f>IFERROR(VLOOKUP(C665,Customers!$A:$C,3,FALSE()),"")</f>
        <v>55</v>
      </c>
      <c r="Q665" t="str">
        <f t="shared" si="10"/>
        <v>Jan-24</v>
      </c>
      <c r="R665">
        <f>IFERROR((VLOOKUP(D665,Products!$A:$E,5,FALSE())-VLOOKUP(D665,Products!$A:$E,4,FALSE()))/VLOOKUP(D665,Products!$A:$E,5,FALSE()),"")</f>
        <v>0.57987012987012987</v>
      </c>
    </row>
    <row r="666" spans="1:18" x14ac:dyDescent="0.3">
      <c r="A666" s="22" t="s">
        <v>1778</v>
      </c>
      <c r="B666" s="23">
        <v>45622</v>
      </c>
      <c r="C666" s="22" t="s">
        <v>1549</v>
      </c>
      <c r="D666" s="22" t="s">
        <v>695</v>
      </c>
      <c r="E666" s="22" t="s">
        <v>1779</v>
      </c>
      <c r="F666" s="24">
        <v>5</v>
      </c>
      <c r="G666" s="24">
        <v>6940</v>
      </c>
      <c r="H666" s="24">
        <v>2.9</v>
      </c>
      <c r="I666" s="24">
        <v>33693.699999999997</v>
      </c>
      <c r="J666" s="22" t="s">
        <v>104</v>
      </c>
      <c r="K666" s="22" t="s">
        <v>134</v>
      </c>
      <c r="L666" t="str">
        <f>VLOOKUP(D666,Products!A:F,3,FALSE())</f>
        <v>Sports</v>
      </c>
      <c r="M666" t="str">
        <f>VLOOKUP(C666,Customers!A:F,5,FALSE())</f>
        <v>SMB</v>
      </c>
      <c r="O666" t="str">
        <f>IFERROR(VLOOKUP(E666,Sales_Reps!$A:$C,3,FALSE()),"")</f>
        <v/>
      </c>
      <c r="P666">
        <f>IFERROR(VLOOKUP(C666,Customers!$A:$C,3,FALSE()),"")</f>
        <v>44</v>
      </c>
      <c r="Q666" t="str">
        <f t="shared" si="10"/>
        <v>Nov-24</v>
      </c>
      <c r="R666">
        <f>IFERROR((VLOOKUP(D666,Products!$A:$E,5,FALSE())-VLOOKUP(D666,Products!$A:$E,4,FALSE()))/VLOOKUP(D666,Products!$A:$E,5,FALSE()),"")</f>
        <v>0.5926512968299712</v>
      </c>
    </row>
    <row r="667" spans="1:18" x14ac:dyDescent="0.3">
      <c r="A667" s="22" t="s">
        <v>1780</v>
      </c>
      <c r="B667" s="23">
        <v>45531</v>
      </c>
      <c r="C667" s="22" t="s">
        <v>476</v>
      </c>
      <c r="D667" s="22" t="s">
        <v>308</v>
      </c>
      <c r="E667" s="22" t="s">
        <v>1781</v>
      </c>
      <c r="F667" s="24">
        <v>5</v>
      </c>
      <c r="G667" s="24">
        <v>1540</v>
      </c>
      <c r="H667" s="24">
        <v>28.8</v>
      </c>
      <c r="I667" s="24">
        <v>5482.4</v>
      </c>
      <c r="J667" s="22" t="s">
        <v>104</v>
      </c>
      <c r="K667" s="22" t="s">
        <v>111</v>
      </c>
      <c r="L667" t="str">
        <f>VLOOKUP(D667,Products!A:F,3,FALSE())</f>
        <v>Beauty</v>
      </c>
      <c r="M667" t="str">
        <f>VLOOKUP(C667,Customers!A:F,5,FALSE())</f>
        <v>SMB</v>
      </c>
      <c r="O667" t="str">
        <f>IFERROR(VLOOKUP(E667,Sales_Reps!$A:$C,3,FALSE()),"")</f>
        <v/>
      </c>
      <c r="P667">
        <f>IFERROR(VLOOKUP(C667,Customers!$A:$C,3,FALSE()),"")</f>
        <v>53</v>
      </c>
      <c r="Q667" t="str">
        <f t="shared" si="10"/>
        <v>Aug-24</v>
      </c>
      <c r="R667">
        <f>IFERROR((VLOOKUP(D667,Products!$A:$E,5,FALSE())-VLOOKUP(D667,Products!$A:$E,4,FALSE()))/VLOOKUP(D667,Products!$A:$E,5,FALSE()),"")</f>
        <v>0.57987012987012987</v>
      </c>
    </row>
    <row r="668" spans="1:18" x14ac:dyDescent="0.3">
      <c r="A668" s="22" t="s">
        <v>1782</v>
      </c>
      <c r="B668" s="23">
        <v>45326</v>
      </c>
      <c r="C668" s="22" t="s">
        <v>1015</v>
      </c>
      <c r="D668" s="22" t="s">
        <v>265</v>
      </c>
      <c r="E668" s="22" t="s">
        <v>1783</v>
      </c>
      <c r="F668" s="24">
        <v>8</v>
      </c>
      <c r="G668" s="24">
        <v>3730</v>
      </c>
      <c r="H668" s="24">
        <v>21.1</v>
      </c>
      <c r="I668" s="24">
        <v>23543.759999999998</v>
      </c>
      <c r="J668" s="22" t="s">
        <v>104</v>
      </c>
      <c r="K668" s="22" t="s">
        <v>116</v>
      </c>
      <c r="L668" t="str">
        <f>VLOOKUP(D668,Products!A:F,3,FALSE())</f>
        <v>Home</v>
      </c>
      <c r="M668" t="str">
        <f>VLOOKUP(C668,Customers!A:F,5,FALSE())</f>
        <v>Retail</v>
      </c>
      <c r="O668" t="str">
        <f>IFERROR(VLOOKUP(E668,Sales_Reps!$A:$C,3,FALSE()),"")</f>
        <v/>
      </c>
      <c r="P668">
        <f>IFERROR(VLOOKUP(C668,Customers!$A:$C,3,FALSE()),"")</f>
        <v>53</v>
      </c>
      <c r="Q668" t="str">
        <f t="shared" si="10"/>
        <v>Feb-24</v>
      </c>
      <c r="R668">
        <f>IFERROR((VLOOKUP(D668,Products!$A:$E,5,FALSE())-VLOOKUP(D668,Products!$A:$E,4,FALSE()))/VLOOKUP(D668,Products!$A:$E,5,FALSE()),"")</f>
        <v>0.42761394101876676</v>
      </c>
    </row>
    <row r="669" spans="1:18" x14ac:dyDescent="0.3">
      <c r="A669" s="22" t="s">
        <v>1784</v>
      </c>
      <c r="B669" s="23">
        <v>45635</v>
      </c>
      <c r="C669" s="22" t="s">
        <v>292</v>
      </c>
      <c r="D669" s="22" t="s">
        <v>231</v>
      </c>
      <c r="E669" s="22" t="s">
        <v>1785</v>
      </c>
      <c r="F669" s="24">
        <v>7</v>
      </c>
      <c r="G669" s="24">
        <v>2760</v>
      </c>
      <c r="H669" s="24">
        <v>1.2</v>
      </c>
      <c r="I669" s="24">
        <v>19088.16</v>
      </c>
      <c r="J669" s="22" t="s">
        <v>159</v>
      </c>
      <c r="K669" s="22" t="s">
        <v>134</v>
      </c>
      <c r="L669" t="str">
        <f>VLOOKUP(D669,Products!A:F,3,FALSE())</f>
        <v>Grocery</v>
      </c>
      <c r="M669" t="str">
        <f>VLOOKUP(C669,Customers!A:F,5,FALSE())</f>
        <v>Retail</v>
      </c>
      <c r="O669" t="str">
        <f>IFERROR(VLOOKUP(E669,Sales_Reps!$A:$C,3,FALSE()),"")</f>
        <v/>
      </c>
      <c r="P669">
        <f>IFERROR(VLOOKUP(C669,Customers!$A:$C,3,FALSE()),"")</f>
        <v>34</v>
      </c>
      <c r="Q669" t="str">
        <f t="shared" si="10"/>
        <v>Dec-24</v>
      </c>
      <c r="R669">
        <f>IFERROR((VLOOKUP(D669,Products!$A:$E,5,FALSE())-VLOOKUP(D669,Products!$A:$E,4,FALSE()))/VLOOKUP(D669,Products!$A:$E,5,FALSE()),"")</f>
        <v>0.48007246376811596</v>
      </c>
    </row>
    <row r="670" spans="1:18" x14ac:dyDescent="0.3">
      <c r="A670" s="22" t="s">
        <v>1786</v>
      </c>
      <c r="B670" s="23">
        <v>45431</v>
      </c>
      <c r="C670" s="22" t="s">
        <v>452</v>
      </c>
      <c r="D670" s="22" t="s">
        <v>521</v>
      </c>
      <c r="E670" s="22" t="s">
        <v>1787</v>
      </c>
      <c r="F670" s="24">
        <v>3</v>
      </c>
      <c r="G670" s="24">
        <v>3970</v>
      </c>
      <c r="H670" s="24">
        <v>18.3</v>
      </c>
      <c r="I670" s="24">
        <v>9730.4699999999993</v>
      </c>
      <c r="J670" s="22" t="s">
        <v>104</v>
      </c>
      <c r="K670" s="22" t="s">
        <v>111</v>
      </c>
      <c r="L670" t="str">
        <f>VLOOKUP(D670,Products!A:F,3,FALSE())</f>
        <v>Electronics</v>
      </c>
      <c r="M670" t="str">
        <f>VLOOKUP(C670,Customers!A:F,5,FALSE())</f>
        <v>Corporate</v>
      </c>
      <c r="O670" t="str">
        <f>IFERROR(VLOOKUP(E670,Sales_Reps!$A:$C,3,FALSE()),"")</f>
        <v/>
      </c>
      <c r="P670">
        <f>IFERROR(VLOOKUP(C670,Customers!$A:$C,3,FALSE()),"")</f>
        <v>51</v>
      </c>
      <c r="Q670" t="str">
        <f t="shared" si="10"/>
        <v>May-24</v>
      </c>
      <c r="R670">
        <f>IFERROR((VLOOKUP(D670,Products!$A:$E,5,FALSE())-VLOOKUP(D670,Products!$A:$E,4,FALSE()))/VLOOKUP(D670,Products!$A:$E,5,FALSE()),"")</f>
        <v>0.27833753148614609</v>
      </c>
    </row>
    <row r="671" spans="1:18" x14ac:dyDescent="0.3">
      <c r="A671" s="22" t="s">
        <v>1788</v>
      </c>
      <c r="B671" s="23">
        <v>45393</v>
      </c>
      <c r="C671" s="22" t="s">
        <v>500</v>
      </c>
      <c r="D671" s="22" t="s">
        <v>275</v>
      </c>
      <c r="E671" s="22" t="s">
        <v>1789</v>
      </c>
      <c r="F671" s="24">
        <v>4</v>
      </c>
      <c r="G671" s="24">
        <v>3780</v>
      </c>
      <c r="H671" s="24">
        <v>24.6</v>
      </c>
      <c r="I671" s="24">
        <v>11400.48</v>
      </c>
      <c r="J671" s="22" t="s">
        <v>104</v>
      </c>
      <c r="K671" s="22" t="s">
        <v>134</v>
      </c>
      <c r="L671" t="str">
        <f>VLOOKUP(D671,Products!A:F,3,FALSE())</f>
        <v>Grocery</v>
      </c>
      <c r="M671" t="str">
        <f>VLOOKUP(C671,Customers!A:F,5,FALSE())</f>
        <v>SMB</v>
      </c>
      <c r="O671" t="str">
        <f>IFERROR(VLOOKUP(E671,Sales_Reps!$A:$C,3,FALSE()),"")</f>
        <v/>
      </c>
      <c r="P671">
        <f>IFERROR(VLOOKUP(C671,Customers!$A:$C,3,FALSE()),"")</f>
        <v>28</v>
      </c>
      <c r="Q671" t="str">
        <f t="shared" si="10"/>
        <v>Apr-24</v>
      </c>
      <c r="R671">
        <f>IFERROR((VLOOKUP(D671,Products!$A:$E,5,FALSE())-VLOOKUP(D671,Products!$A:$E,4,FALSE()))/VLOOKUP(D671,Products!$A:$E,5,FALSE()),"")</f>
        <v>0.35555555555555557</v>
      </c>
    </row>
    <row r="672" spans="1:18" x14ac:dyDescent="0.3">
      <c r="A672" s="22" t="s">
        <v>1790</v>
      </c>
      <c r="B672" s="23">
        <v>45295</v>
      </c>
      <c r="C672" s="22" t="s">
        <v>1243</v>
      </c>
      <c r="D672" s="22" t="s">
        <v>197</v>
      </c>
      <c r="E672" s="22" t="s">
        <v>1791</v>
      </c>
      <c r="F672" s="24">
        <v>10</v>
      </c>
      <c r="G672" s="24">
        <v>2720</v>
      </c>
      <c r="H672" s="24">
        <v>12.8</v>
      </c>
      <c r="I672" s="24">
        <v>23718.400000000001</v>
      </c>
      <c r="J672" s="22" t="s">
        <v>104</v>
      </c>
      <c r="K672" s="22" t="s">
        <v>134</v>
      </c>
      <c r="L672" t="str">
        <f>VLOOKUP(D672,Products!A:F,3,FALSE())</f>
        <v>Apparel</v>
      </c>
      <c r="M672" t="str">
        <f>VLOOKUP(C672,Customers!A:F,5,FALSE())</f>
        <v>Retail</v>
      </c>
      <c r="O672" t="str">
        <f>IFERROR(VLOOKUP(E672,Sales_Reps!$A:$C,3,FALSE()),"")</f>
        <v/>
      </c>
      <c r="P672">
        <f>IFERROR(VLOOKUP(C672,Customers!$A:$C,3,FALSE()),"")</f>
        <v>52</v>
      </c>
      <c r="Q672" t="str">
        <f t="shared" si="10"/>
        <v>Jan-24</v>
      </c>
      <c r="R672">
        <f>IFERROR((VLOOKUP(D672,Products!$A:$E,5,FALSE())-VLOOKUP(D672,Products!$A:$E,4,FALSE()))/VLOOKUP(D672,Products!$A:$E,5,FALSE()),"")</f>
        <v>0.2786764705882353</v>
      </c>
    </row>
    <row r="673" spans="1:18" x14ac:dyDescent="0.3">
      <c r="A673" s="22" t="s">
        <v>1792</v>
      </c>
      <c r="B673" s="23">
        <v>45371</v>
      </c>
      <c r="C673" s="22" t="s">
        <v>416</v>
      </c>
      <c r="D673" s="22" t="s">
        <v>521</v>
      </c>
      <c r="E673" s="22" t="s">
        <v>1793</v>
      </c>
      <c r="F673" s="24">
        <v>5</v>
      </c>
      <c r="G673" s="24">
        <v>3970</v>
      </c>
      <c r="H673" s="24">
        <v>5.9</v>
      </c>
      <c r="I673" s="24">
        <v>18678.849999999999</v>
      </c>
      <c r="J673" s="22" t="s">
        <v>104</v>
      </c>
      <c r="K673" s="22" t="s">
        <v>129</v>
      </c>
      <c r="L673" t="str">
        <f>VLOOKUP(D673,Products!A:F,3,FALSE())</f>
        <v>Electronics</v>
      </c>
      <c r="M673" t="str">
        <f>VLOOKUP(C673,Customers!A:F,5,FALSE())</f>
        <v>Retail</v>
      </c>
      <c r="O673" t="str">
        <f>IFERROR(VLOOKUP(E673,Sales_Reps!$A:$C,3,FALSE()),"")</f>
        <v/>
      </c>
      <c r="P673">
        <f>IFERROR(VLOOKUP(C673,Customers!$A:$C,3,FALSE()),"")</f>
        <v>49</v>
      </c>
      <c r="Q673" t="str">
        <f t="shared" si="10"/>
        <v>Mar-24</v>
      </c>
      <c r="R673">
        <f>IFERROR((VLOOKUP(D673,Products!$A:$E,5,FALSE())-VLOOKUP(D673,Products!$A:$E,4,FALSE()))/VLOOKUP(D673,Products!$A:$E,5,FALSE()),"")</f>
        <v>0.27833753148614609</v>
      </c>
    </row>
    <row r="674" spans="1:18" x14ac:dyDescent="0.3">
      <c r="A674" s="22" t="s">
        <v>1794</v>
      </c>
      <c r="B674" s="23">
        <v>45601</v>
      </c>
      <c r="C674" s="22" t="s">
        <v>161</v>
      </c>
      <c r="D674" s="22" t="s">
        <v>108</v>
      </c>
      <c r="E674" s="22" t="s">
        <v>1795</v>
      </c>
      <c r="F674" s="24">
        <v>3</v>
      </c>
      <c r="G674" s="24">
        <v>820</v>
      </c>
      <c r="H674" s="24">
        <v>19.399999999999999</v>
      </c>
      <c r="I674" s="24">
        <v>1982.76</v>
      </c>
      <c r="J674" s="22" t="s">
        <v>104</v>
      </c>
      <c r="K674" s="22" t="s">
        <v>105</v>
      </c>
      <c r="L674" t="str">
        <f>VLOOKUP(D674,Products!A:F,3,FALSE())</f>
        <v>Apparel</v>
      </c>
      <c r="M674" t="str">
        <f>VLOOKUP(C674,Customers!A:F,5,FALSE())</f>
        <v>SMB</v>
      </c>
      <c r="O674" t="str">
        <f>IFERROR(VLOOKUP(E674,Sales_Reps!$A:$C,3,FALSE()),"")</f>
        <v/>
      </c>
      <c r="P674">
        <f>IFERROR(VLOOKUP(C674,Customers!$A:$C,3,FALSE()),"")</f>
        <v>39</v>
      </c>
      <c r="Q674" t="str">
        <f t="shared" si="10"/>
        <v>Nov-24</v>
      </c>
      <c r="R674">
        <f>IFERROR((VLOOKUP(D674,Products!$A:$E,5,FALSE())-VLOOKUP(D674,Products!$A:$E,4,FALSE()))/VLOOKUP(D674,Products!$A:$E,5,FALSE()),"")</f>
        <v>0.52317073170731709</v>
      </c>
    </row>
    <row r="675" spans="1:18" x14ac:dyDescent="0.3">
      <c r="A675" s="22" t="s">
        <v>1796</v>
      </c>
      <c r="B675" s="23">
        <v>45471</v>
      </c>
      <c r="C675" s="22" t="s">
        <v>760</v>
      </c>
      <c r="D675" s="22" t="s">
        <v>352</v>
      </c>
      <c r="E675" s="22" t="s">
        <v>1797</v>
      </c>
      <c r="F675" s="24">
        <v>7</v>
      </c>
      <c r="G675" s="24">
        <v>620</v>
      </c>
      <c r="H675" s="24">
        <v>9.9</v>
      </c>
      <c r="I675" s="24">
        <v>3910.34</v>
      </c>
      <c r="J675" s="22" t="s">
        <v>104</v>
      </c>
      <c r="K675" s="22" t="s">
        <v>129</v>
      </c>
      <c r="L675" t="str">
        <f>VLOOKUP(D675,Products!A:F,3,FALSE())</f>
        <v>Apparel</v>
      </c>
      <c r="M675" t="str">
        <f>VLOOKUP(C675,Customers!A:F,5,FALSE())</f>
        <v>Retail</v>
      </c>
      <c r="O675" t="str">
        <f>IFERROR(VLOOKUP(E675,Sales_Reps!$A:$C,3,FALSE()),"")</f>
        <v/>
      </c>
      <c r="P675">
        <f>IFERROR(VLOOKUP(C675,Customers!$A:$C,3,FALSE()),"")</f>
        <v>37</v>
      </c>
      <c r="Q675" t="str">
        <f t="shared" si="10"/>
        <v>Jun-24</v>
      </c>
      <c r="R675">
        <f>IFERROR((VLOOKUP(D675,Products!$A:$E,5,FALSE())-VLOOKUP(D675,Products!$A:$E,4,FALSE()))/VLOOKUP(D675,Products!$A:$E,5,FALSE()),"")</f>
        <v>0.36129032258064514</v>
      </c>
    </row>
    <row r="676" spans="1:18" x14ac:dyDescent="0.3">
      <c r="A676" s="22" t="s">
        <v>1798</v>
      </c>
      <c r="B676" s="23">
        <v>45318</v>
      </c>
      <c r="C676" s="22" t="s">
        <v>953</v>
      </c>
      <c r="D676" s="22" t="s">
        <v>488</v>
      </c>
      <c r="E676" s="22" t="s">
        <v>1799</v>
      </c>
      <c r="F676" s="24">
        <v>8</v>
      </c>
      <c r="G676" s="24">
        <v>2290</v>
      </c>
      <c r="H676" s="24">
        <v>18.3</v>
      </c>
      <c r="I676" s="24">
        <v>14967.44</v>
      </c>
      <c r="J676" s="22" t="s">
        <v>104</v>
      </c>
      <c r="K676" s="22" t="s">
        <v>151</v>
      </c>
      <c r="L676" t="str">
        <f>VLOOKUP(D676,Products!A:F,3,FALSE())</f>
        <v>Beauty</v>
      </c>
      <c r="M676" t="str">
        <f>VLOOKUP(C676,Customers!A:F,5,FALSE())</f>
        <v>Retail</v>
      </c>
      <c r="O676" t="str">
        <f>IFERROR(VLOOKUP(E676,Sales_Reps!$A:$C,3,FALSE()),"")</f>
        <v/>
      </c>
      <c r="P676">
        <f>IFERROR(VLOOKUP(C676,Customers!$A:$C,3,FALSE()),"")</f>
        <v>31</v>
      </c>
      <c r="Q676" t="str">
        <f t="shared" si="10"/>
        <v>Jan-24</v>
      </c>
      <c r="R676">
        <f>IFERROR((VLOOKUP(D676,Products!$A:$E,5,FALSE())-VLOOKUP(D676,Products!$A:$E,4,FALSE()))/VLOOKUP(D676,Products!$A:$E,5,FALSE()),"")</f>
        <v>0.46768558951965067</v>
      </c>
    </row>
    <row r="677" spans="1:18" x14ac:dyDescent="0.3">
      <c r="A677" s="22" t="s">
        <v>1800</v>
      </c>
      <c r="B677" s="23">
        <v>45364</v>
      </c>
      <c r="C677" s="22" t="s">
        <v>778</v>
      </c>
      <c r="D677" s="22" t="s">
        <v>145</v>
      </c>
      <c r="E677" s="22" t="s">
        <v>1801</v>
      </c>
      <c r="F677" s="24">
        <v>3</v>
      </c>
      <c r="G677" s="24">
        <v>970</v>
      </c>
      <c r="H677" s="24">
        <v>18.399999999999999</v>
      </c>
      <c r="I677" s="24">
        <v>2374.56</v>
      </c>
      <c r="J677" s="22" t="s">
        <v>104</v>
      </c>
      <c r="K677" s="22" t="s">
        <v>134</v>
      </c>
      <c r="L677" t="str">
        <f>VLOOKUP(D677,Products!A:F,3,FALSE())</f>
        <v>Grocery</v>
      </c>
      <c r="M677" t="str">
        <f>VLOOKUP(C677,Customers!A:F,5,FALSE())</f>
        <v>Corporate</v>
      </c>
      <c r="O677" t="str">
        <f>IFERROR(VLOOKUP(E677,Sales_Reps!$A:$C,3,FALSE()),"")</f>
        <v/>
      </c>
      <c r="P677">
        <f>IFERROR(VLOOKUP(C677,Customers!$A:$C,3,FALSE()),"")</f>
        <v>41</v>
      </c>
      <c r="Q677" t="str">
        <f t="shared" si="10"/>
        <v>Mar-24</v>
      </c>
      <c r="R677">
        <f>IFERROR((VLOOKUP(D677,Products!$A:$E,5,FALSE())-VLOOKUP(D677,Products!$A:$E,4,FALSE()))/VLOOKUP(D677,Products!$A:$E,5,FALSE()),"")</f>
        <v>0.5525773195876289</v>
      </c>
    </row>
    <row r="678" spans="1:18" x14ac:dyDescent="0.3">
      <c r="A678" s="22" t="s">
        <v>1802</v>
      </c>
      <c r="B678" s="23">
        <v>45419</v>
      </c>
      <c r="C678" s="22" t="s">
        <v>1481</v>
      </c>
      <c r="D678" s="22" t="s">
        <v>127</v>
      </c>
      <c r="E678" s="22" t="s">
        <v>1803</v>
      </c>
      <c r="F678" s="24">
        <v>2</v>
      </c>
      <c r="G678" s="24">
        <v>370</v>
      </c>
      <c r="H678" s="24">
        <v>8.9</v>
      </c>
      <c r="I678" s="24">
        <v>674.14</v>
      </c>
      <c r="J678" s="22" t="s">
        <v>104</v>
      </c>
      <c r="K678" s="22" t="s">
        <v>116</v>
      </c>
      <c r="L678" t="str">
        <f>VLOOKUP(D678,Products!A:F,3,FALSE())</f>
        <v>Home</v>
      </c>
      <c r="M678" t="str">
        <f>VLOOKUP(C678,Customers!A:F,5,FALSE())</f>
        <v>Retail</v>
      </c>
      <c r="O678" t="str">
        <f>IFERROR(VLOOKUP(E678,Sales_Reps!$A:$C,3,FALSE()),"")</f>
        <v/>
      </c>
      <c r="P678">
        <f>IFERROR(VLOOKUP(C678,Customers!$A:$C,3,FALSE()),"")</f>
        <v>47</v>
      </c>
      <c r="Q678" t="str">
        <f t="shared" si="10"/>
        <v>May-24</v>
      </c>
      <c r="R678">
        <f>IFERROR((VLOOKUP(D678,Products!$A:$E,5,FALSE())-VLOOKUP(D678,Products!$A:$E,4,FALSE()))/VLOOKUP(D678,Products!$A:$E,5,FALSE()),"")</f>
        <v>0.22162162162162163</v>
      </c>
    </row>
    <row r="679" spans="1:18" x14ac:dyDescent="0.3">
      <c r="A679" s="22" t="s">
        <v>1804</v>
      </c>
      <c r="B679" s="23">
        <v>45632</v>
      </c>
      <c r="C679" s="22" t="s">
        <v>1049</v>
      </c>
      <c r="D679" s="22" t="s">
        <v>137</v>
      </c>
      <c r="E679" s="22" t="s">
        <v>1805</v>
      </c>
      <c r="F679" s="24">
        <v>1</v>
      </c>
      <c r="G679" s="24">
        <v>1430</v>
      </c>
      <c r="H679" s="24">
        <v>5.9</v>
      </c>
      <c r="I679" s="24">
        <v>1345.63</v>
      </c>
      <c r="J679" s="22" t="s">
        <v>159</v>
      </c>
      <c r="K679" s="22" t="s">
        <v>116</v>
      </c>
      <c r="L679" t="str">
        <f>VLOOKUP(D679,Products!A:F,3,FALSE())</f>
        <v>Electronics</v>
      </c>
      <c r="M679" t="str">
        <f>VLOOKUP(C679,Customers!A:F,5,FALSE())</f>
        <v>SMB</v>
      </c>
      <c r="O679" t="str">
        <f>IFERROR(VLOOKUP(E679,Sales_Reps!$A:$C,3,FALSE()),"")</f>
        <v/>
      </c>
      <c r="P679">
        <f>IFERROR(VLOOKUP(C679,Customers!$A:$C,3,FALSE()),"")</f>
        <v>26</v>
      </c>
      <c r="Q679" t="str">
        <f t="shared" si="10"/>
        <v>Dec-24</v>
      </c>
      <c r="R679">
        <f>IFERROR((VLOOKUP(D679,Products!$A:$E,5,FALSE())-VLOOKUP(D679,Products!$A:$E,4,FALSE()))/VLOOKUP(D679,Products!$A:$E,5,FALSE()),"")</f>
        <v>0.39790209790209791</v>
      </c>
    </row>
    <row r="680" spans="1:18" x14ac:dyDescent="0.3">
      <c r="A680" s="22" t="s">
        <v>1806</v>
      </c>
      <c r="B680" s="23">
        <v>45494</v>
      </c>
      <c r="C680" s="22" t="s">
        <v>1246</v>
      </c>
      <c r="D680" s="22" t="s">
        <v>171</v>
      </c>
      <c r="E680" s="22" t="s">
        <v>1807</v>
      </c>
      <c r="F680" s="24">
        <v>2</v>
      </c>
      <c r="G680" s="24">
        <v>2400</v>
      </c>
      <c r="H680" s="24">
        <v>29.1</v>
      </c>
      <c r="I680" s="24">
        <v>3403.2</v>
      </c>
      <c r="J680" s="22" t="s">
        <v>104</v>
      </c>
      <c r="K680" s="22" t="s">
        <v>134</v>
      </c>
      <c r="L680" t="str">
        <f>VLOOKUP(D680,Products!A:F,3,FALSE())</f>
        <v>Sports</v>
      </c>
      <c r="M680" t="str">
        <f>VLOOKUP(C680,Customers!A:F,5,FALSE())</f>
        <v>Retail</v>
      </c>
      <c r="O680" t="str">
        <f>IFERROR(VLOOKUP(E680,Sales_Reps!$A:$C,3,FALSE()),"")</f>
        <v/>
      </c>
      <c r="P680">
        <f>IFERROR(VLOOKUP(C680,Customers!$A:$C,3,FALSE()),"")</f>
        <v>37</v>
      </c>
      <c r="Q680" t="str">
        <f t="shared" si="10"/>
        <v>Jul-24</v>
      </c>
      <c r="R680">
        <f>IFERROR((VLOOKUP(D680,Products!$A:$E,5,FALSE())-VLOOKUP(D680,Products!$A:$E,4,FALSE()))/VLOOKUP(D680,Products!$A:$E,5,FALSE()),"")</f>
        <v>0.59416666666666662</v>
      </c>
    </row>
    <row r="681" spans="1:18" x14ac:dyDescent="0.3">
      <c r="A681" s="22" t="s">
        <v>1808</v>
      </c>
      <c r="B681" s="23">
        <v>45337</v>
      </c>
      <c r="C681" s="22" t="s">
        <v>508</v>
      </c>
      <c r="D681" s="22" t="s">
        <v>137</v>
      </c>
      <c r="E681" s="22" t="s">
        <v>1809</v>
      </c>
      <c r="F681" s="24">
        <v>9</v>
      </c>
      <c r="G681" s="24">
        <v>1430</v>
      </c>
      <c r="H681" s="24">
        <v>6</v>
      </c>
      <c r="I681" s="24">
        <v>12097.8</v>
      </c>
      <c r="J681" s="22" t="s">
        <v>104</v>
      </c>
      <c r="K681" s="22" t="s">
        <v>116</v>
      </c>
      <c r="L681" t="str">
        <f>VLOOKUP(D681,Products!A:F,3,FALSE())</f>
        <v>Electronics</v>
      </c>
      <c r="M681" t="str">
        <f>VLOOKUP(C681,Customers!A:F,5,FALSE())</f>
        <v>SMB</v>
      </c>
      <c r="O681" t="str">
        <f>IFERROR(VLOOKUP(E681,Sales_Reps!$A:$C,3,FALSE()),"")</f>
        <v/>
      </c>
      <c r="P681">
        <f>IFERROR(VLOOKUP(C681,Customers!$A:$C,3,FALSE()),"")</f>
        <v>53</v>
      </c>
      <c r="Q681" t="str">
        <f t="shared" si="10"/>
        <v>Feb-24</v>
      </c>
      <c r="R681">
        <f>IFERROR((VLOOKUP(D681,Products!$A:$E,5,FALSE())-VLOOKUP(D681,Products!$A:$E,4,FALSE()))/VLOOKUP(D681,Products!$A:$E,5,FALSE()),"")</f>
        <v>0.39790209790209791</v>
      </c>
    </row>
    <row r="682" spans="1:18" x14ac:dyDescent="0.3">
      <c r="A682" s="22" t="s">
        <v>1810</v>
      </c>
      <c r="B682" s="23">
        <v>45510</v>
      </c>
      <c r="C682" s="22" t="s">
        <v>827</v>
      </c>
      <c r="D682" s="22" t="s">
        <v>197</v>
      </c>
      <c r="E682" s="22" t="s">
        <v>1811</v>
      </c>
      <c r="F682" s="24">
        <v>8</v>
      </c>
      <c r="G682" s="24">
        <v>2720</v>
      </c>
      <c r="H682" s="24">
        <v>25.7</v>
      </c>
      <c r="I682" s="24">
        <v>16167.68</v>
      </c>
      <c r="J682" s="22" t="s">
        <v>104</v>
      </c>
      <c r="K682" s="22" t="s">
        <v>116</v>
      </c>
      <c r="L682" t="str">
        <f>VLOOKUP(D682,Products!A:F,3,FALSE())</f>
        <v>Apparel</v>
      </c>
      <c r="M682" t="str">
        <f>VLOOKUP(C682,Customers!A:F,5,FALSE())</f>
        <v>SMB</v>
      </c>
      <c r="O682" t="str">
        <f>IFERROR(VLOOKUP(E682,Sales_Reps!$A:$C,3,FALSE()),"")</f>
        <v/>
      </c>
      <c r="P682">
        <f>IFERROR(VLOOKUP(C682,Customers!$A:$C,3,FALSE()),"")</f>
        <v>48</v>
      </c>
      <c r="Q682" t="str">
        <f t="shared" si="10"/>
        <v>Aug-24</v>
      </c>
      <c r="R682">
        <f>IFERROR((VLOOKUP(D682,Products!$A:$E,5,FALSE())-VLOOKUP(D682,Products!$A:$E,4,FALSE()))/VLOOKUP(D682,Products!$A:$E,5,FALSE()),"")</f>
        <v>0.2786764705882353</v>
      </c>
    </row>
    <row r="683" spans="1:18" x14ac:dyDescent="0.3">
      <c r="A683" s="22" t="s">
        <v>1812</v>
      </c>
      <c r="B683" s="23">
        <v>45572</v>
      </c>
      <c r="C683" s="22" t="s">
        <v>1035</v>
      </c>
      <c r="D683" s="22" t="s">
        <v>695</v>
      </c>
      <c r="E683" s="22" t="s">
        <v>1813</v>
      </c>
      <c r="F683" s="24">
        <v>6</v>
      </c>
      <c r="G683" s="24">
        <v>6940</v>
      </c>
      <c r="H683" s="24">
        <v>25.7</v>
      </c>
      <c r="I683" s="24">
        <v>30938.52</v>
      </c>
      <c r="J683" s="22" t="s">
        <v>104</v>
      </c>
      <c r="K683" s="22" t="s">
        <v>111</v>
      </c>
      <c r="L683" t="str">
        <f>VLOOKUP(D683,Products!A:F,3,FALSE())</f>
        <v>Sports</v>
      </c>
      <c r="M683" t="str">
        <f>VLOOKUP(C683,Customers!A:F,5,FALSE())</f>
        <v>Retail</v>
      </c>
      <c r="O683" t="str">
        <f>IFERROR(VLOOKUP(E683,Sales_Reps!$A:$C,3,FALSE()),"")</f>
        <v/>
      </c>
      <c r="P683">
        <f>IFERROR(VLOOKUP(C683,Customers!$A:$C,3,FALSE()),"")</f>
        <v>24</v>
      </c>
      <c r="Q683" t="str">
        <f t="shared" si="10"/>
        <v>Oct-24</v>
      </c>
      <c r="R683">
        <f>IFERROR((VLOOKUP(D683,Products!$A:$E,5,FALSE())-VLOOKUP(D683,Products!$A:$E,4,FALSE()))/VLOOKUP(D683,Products!$A:$E,5,FALSE()),"")</f>
        <v>0.5926512968299712</v>
      </c>
    </row>
    <row r="684" spans="1:18" x14ac:dyDescent="0.3">
      <c r="A684" s="22" t="s">
        <v>1814</v>
      </c>
      <c r="B684" s="23">
        <v>45472</v>
      </c>
      <c r="C684" s="22" t="s">
        <v>1124</v>
      </c>
      <c r="D684" s="22" t="s">
        <v>102</v>
      </c>
      <c r="E684" s="22" t="s">
        <v>1815</v>
      </c>
      <c r="F684" s="24">
        <v>3</v>
      </c>
      <c r="G684" s="24">
        <v>3620</v>
      </c>
      <c r="H684" s="24">
        <v>29.7</v>
      </c>
      <c r="I684" s="24">
        <v>7634.58</v>
      </c>
      <c r="J684" s="22" t="s">
        <v>104</v>
      </c>
      <c r="K684" s="22" t="s">
        <v>105</v>
      </c>
      <c r="L684" t="str">
        <f>VLOOKUP(D684,Products!A:F,3,FALSE())</f>
        <v>Apparel</v>
      </c>
      <c r="M684" t="str">
        <f>VLOOKUP(C684,Customers!A:F,5,FALSE())</f>
        <v>Corporate</v>
      </c>
      <c r="O684" t="str">
        <f>IFERROR(VLOOKUP(E684,Sales_Reps!$A:$C,3,FALSE()),"")</f>
        <v/>
      </c>
      <c r="P684">
        <f>IFERROR(VLOOKUP(C684,Customers!$A:$C,3,FALSE()),"")</f>
        <v>42</v>
      </c>
      <c r="Q684" t="str">
        <f t="shared" si="10"/>
        <v>Jun-24</v>
      </c>
      <c r="R684">
        <f>IFERROR((VLOOKUP(D684,Products!$A:$E,5,FALSE())-VLOOKUP(D684,Products!$A:$E,4,FALSE()))/VLOOKUP(D684,Products!$A:$E,5,FALSE()),"")</f>
        <v>0.3069060773480663</v>
      </c>
    </row>
    <row r="685" spans="1:18" x14ac:dyDescent="0.3">
      <c r="A685" s="22" t="s">
        <v>1816</v>
      </c>
      <c r="B685" s="23">
        <v>45615</v>
      </c>
      <c r="C685" s="22" t="s">
        <v>476</v>
      </c>
      <c r="D685" s="22" t="s">
        <v>153</v>
      </c>
      <c r="E685" s="22" t="s">
        <v>1817</v>
      </c>
      <c r="F685" s="24">
        <v>8</v>
      </c>
      <c r="G685" s="24">
        <v>2640</v>
      </c>
      <c r="H685" s="24">
        <v>24.4</v>
      </c>
      <c r="I685" s="24">
        <v>15966.72</v>
      </c>
      <c r="J685" s="22" t="s">
        <v>104</v>
      </c>
      <c r="K685" s="22" t="s">
        <v>111</v>
      </c>
      <c r="L685" t="str">
        <f>VLOOKUP(D685,Products!A:F,3,FALSE())</f>
        <v>Electronics</v>
      </c>
      <c r="M685" t="str">
        <f>VLOOKUP(C685,Customers!A:F,5,FALSE())</f>
        <v>SMB</v>
      </c>
      <c r="O685" t="str">
        <f>IFERROR(VLOOKUP(E685,Sales_Reps!$A:$C,3,FALSE()),"")</f>
        <v/>
      </c>
      <c r="P685">
        <f>IFERROR(VLOOKUP(C685,Customers!$A:$C,3,FALSE()),"")</f>
        <v>53</v>
      </c>
      <c r="Q685" t="str">
        <f t="shared" si="10"/>
        <v>Nov-24</v>
      </c>
      <c r="R685">
        <f>IFERROR((VLOOKUP(D685,Products!$A:$E,5,FALSE())-VLOOKUP(D685,Products!$A:$E,4,FALSE()))/VLOOKUP(D685,Products!$A:$E,5,FALSE()),"")</f>
        <v>0.56477272727272732</v>
      </c>
    </row>
    <row r="686" spans="1:18" x14ac:dyDescent="0.3">
      <c r="A686" s="22" t="s">
        <v>1818</v>
      </c>
      <c r="B686" s="23">
        <v>45349</v>
      </c>
      <c r="C686" s="22" t="s">
        <v>1056</v>
      </c>
      <c r="D686" s="22" t="s">
        <v>141</v>
      </c>
      <c r="E686" s="22" t="s">
        <v>1819</v>
      </c>
      <c r="F686" s="24">
        <v>3</v>
      </c>
      <c r="G686" s="24">
        <v>5490</v>
      </c>
      <c r="H686" s="24">
        <v>13.5</v>
      </c>
      <c r="I686" s="24">
        <v>14246.55</v>
      </c>
      <c r="J686" s="22" t="s">
        <v>104</v>
      </c>
      <c r="K686" s="22" t="s">
        <v>129</v>
      </c>
      <c r="L686" t="str">
        <f>VLOOKUP(D686,Products!A:F,3,FALSE())</f>
        <v>Home</v>
      </c>
      <c r="M686" t="str">
        <f>VLOOKUP(C686,Customers!A:F,5,FALSE())</f>
        <v>Retail</v>
      </c>
      <c r="O686" t="str">
        <f>IFERROR(VLOOKUP(E686,Sales_Reps!$A:$C,3,FALSE()),"")</f>
        <v/>
      </c>
      <c r="P686">
        <f>IFERROR(VLOOKUP(C686,Customers!$A:$C,3,FALSE()),"")</f>
        <v>56</v>
      </c>
      <c r="Q686" t="str">
        <f t="shared" si="10"/>
        <v>Feb-24</v>
      </c>
      <c r="R686">
        <f>IFERROR((VLOOKUP(D686,Products!$A:$E,5,FALSE())-VLOOKUP(D686,Products!$A:$E,4,FALSE()))/VLOOKUP(D686,Products!$A:$E,5,FALSE()),"")</f>
        <v>0.53570127504553733</v>
      </c>
    </row>
    <row r="687" spans="1:18" x14ac:dyDescent="0.3">
      <c r="A687" s="22" t="s">
        <v>1820</v>
      </c>
      <c r="B687" s="23">
        <v>45413</v>
      </c>
      <c r="C687" s="22" t="s">
        <v>161</v>
      </c>
      <c r="D687" s="22" t="s">
        <v>577</v>
      </c>
      <c r="E687" s="22" t="s">
        <v>1821</v>
      </c>
      <c r="F687" s="24">
        <v>3</v>
      </c>
      <c r="G687" s="24">
        <v>5080</v>
      </c>
      <c r="H687" s="24">
        <v>9.3000000000000007</v>
      </c>
      <c r="I687" s="24">
        <v>13822.68</v>
      </c>
      <c r="J687" s="22" t="s">
        <v>104</v>
      </c>
      <c r="K687" s="22" t="s">
        <v>105</v>
      </c>
      <c r="L687" t="str">
        <f>VLOOKUP(D687,Products!A:F,3,FALSE())</f>
        <v>Home</v>
      </c>
      <c r="M687" t="str">
        <f>VLOOKUP(C687,Customers!A:F,5,FALSE())</f>
        <v>SMB</v>
      </c>
      <c r="O687" t="str">
        <f>IFERROR(VLOOKUP(E687,Sales_Reps!$A:$C,3,FALSE()),"")</f>
        <v/>
      </c>
      <c r="P687">
        <f>IFERROR(VLOOKUP(C687,Customers!$A:$C,3,FALSE()),"")</f>
        <v>39</v>
      </c>
      <c r="Q687" t="str">
        <f t="shared" si="10"/>
        <v>May-24</v>
      </c>
      <c r="R687">
        <f>IFERROR((VLOOKUP(D687,Products!$A:$E,5,FALSE())-VLOOKUP(D687,Products!$A:$E,4,FALSE()))/VLOOKUP(D687,Products!$A:$E,5,FALSE()),"")</f>
        <v>0.51594488188976373</v>
      </c>
    </row>
    <row r="688" spans="1:18" x14ac:dyDescent="0.3">
      <c r="A688" s="22" t="s">
        <v>1822</v>
      </c>
      <c r="B688" s="23">
        <v>45515</v>
      </c>
      <c r="C688" s="22" t="s">
        <v>500</v>
      </c>
      <c r="D688" s="22" t="s">
        <v>488</v>
      </c>
      <c r="E688" s="22" t="s">
        <v>1823</v>
      </c>
      <c r="F688" s="24">
        <v>4</v>
      </c>
      <c r="G688" s="24">
        <v>2290</v>
      </c>
      <c r="H688" s="24">
        <v>24.4</v>
      </c>
      <c r="I688" s="24">
        <v>6924.96</v>
      </c>
      <c r="J688" s="22" t="s">
        <v>104</v>
      </c>
      <c r="K688" s="22" t="s">
        <v>134</v>
      </c>
      <c r="L688" t="str">
        <f>VLOOKUP(D688,Products!A:F,3,FALSE())</f>
        <v>Beauty</v>
      </c>
      <c r="M688" t="str">
        <f>VLOOKUP(C688,Customers!A:F,5,FALSE())</f>
        <v>SMB</v>
      </c>
      <c r="O688" t="str">
        <f>IFERROR(VLOOKUP(E688,Sales_Reps!$A:$C,3,FALSE()),"")</f>
        <v/>
      </c>
      <c r="P688">
        <f>IFERROR(VLOOKUP(C688,Customers!$A:$C,3,FALSE()),"")</f>
        <v>28</v>
      </c>
      <c r="Q688" t="str">
        <f t="shared" si="10"/>
        <v>Aug-24</v>
      </c>
      <c r="R688">
        <f>IFERROR((VLOOKUP(D688,Products!$A:$E,5,FALSE())-VLOOKUP(D688,Products!$A:$E,4,FALSE()))/VLOOKUP(D688,Products!$A:$E,5,FALSE()),"")</f>
        <v>0.46768558951965067</v>
      </c>
    </row>
    <row r="689" spans="1:18" x14ac:dyDescent="0.3">
      <c r="A689" s="22" t="s">
        <v>1824</v>
      </c>
      <c r="B689" s="23">
        <v>45463</v>
      </c>
      <c r="C689" s="22" t="s">
        <v>529</v>
      </c>
      <c r="D689" s="22" t="s">
        <v>356</v>
      </c>
      <c r="E689" s="22" t="s">
        <v>1825</v>
      </c>
      <c r="F689" s="24">
        <v>10</v>
      </c>
      <c r="G689" s="24">
        <v>2030</v>
      </c>
      <c r="H689" s="24">
        <v>13.6</v>
      </c>
      <c r="I689" s="24">
        <v>17539.2</v>
      </c>
      <c r="J689" s="22" t="s">
        <v>110</v>
      </c>
      <c r="K689" s="22" t="s">
        <v>105</v>
      </c>
      <c r="L689" t="str">
        <f>VLOOKUP(D689,Products!A:F,3,FALSE())</f>
        <v>Home</v>
      </c>
      <c r="M689" t="str">
        <f>VLOOKUP(C689,Customers!A:F,5,FALSE())</f>
        <v>Retail</v>
      </c>
      <c r="O689" t="str">
        <f>IFERROR(VLOOKUP(E689,Sales_Reps!$A:$C,3,FALSE()),"")</f>
        <v/>
      </c>
      <c r="P689">
        <f>IFERROR(VLOOKUP(C689,Customers!$A:$C,3,FALSE()),"")</f>
        <v>22</v>
      </c>
      <c r="Q689" t="str">
        <f t="shared" si="10"/>
        <v>Jun-24</v>
      </c>
      <c r="R689">
        <f>IFERROR((VLOOKUP(D689,Products!$A:$E,5,FALSE())-VLOOKUP(D689,Products!$A:$E,4,FALSE()))/VLOOKUP(D689,Products!$A:$E,5,FALSE()),"")</f>
        <v>0.43694581280788175</v>
      </c>
    </row>
    <row r="690" spans="1:18" x14ac:dyDescent="0.3">
      <c r="A690" s="22" t="s">
        <v>1826</v>
      </c>
      <c r="B690" s="23">
        <v>45607</v>
      </c>
      <c r="C690" s="22" t="s">
        <v>775</v>
      </c>
      <c r="D690" s="22" t="s">
        <v>137</v>
      </c>
      <c r="E690" s="22" t="s">
        <v>1827</v>
      </c>
      <c r="F690" s="24">
        <v>10</v>
      </c>
      <c r="G690" s="24">
        <v>1430</v>
      </c>
      <c r="H690" s="24">
        <v>16.100000000000001</v>
      </c>
      <c r="I690" s="24">
        <v>11997.7</v>
      </c>
      <c r="J690" s="22" t="s">
        <v>159</v>
      </c>
      <c r="K690" s="22" t="s">
        <v>129</v>
      </c>
      <c r="L690" t="str">
        <f>VLOOKUP(D690,Products!A:F,3,FALSE())</f>
        <v>Electronics</v>
      </c>
      <c r="M690" t="str">
        <f>VLOOKUP(C690,Customers!A:F,5,FALSE())</f>
        <v>SMB</v>
      </c>
      <c r="O690" t="str">
        <f>IFERROR(VLOOKUP(E690,Sales_Reps!$A:$C,3,FALSE()),"")</f>
        <v/>
      </c>
      <c r="P690">
        <f>IFERROR(VLOOKUP(C690,Customers!$A:$C,3,FALSE()),"")</f>
        <v>61</v>
      </c>
      <c r="Q690" t="str">
        <f t="shared" si="10"/>
        <v>Nov-24</v>
      </c>
      <c r="R690">
        <f>IFERROR((VLOOKUP(D690,Products!$A:$E,5,FALSE())-VLOOKUP(D690,Products!$A:$E,4,FALSE()))/VLOOKUP(D690,Products!$A:$E,5,FALSE()),"")</f>
        <v>0.39790209790209791</v>
      </c>
    </row>
    <row r="691" spans="1:18" x14ac:dyDescent="0.3">
      <c r="A691" s="22" t="s">
        <v>1828</v>
      </c>
      <c r="B691" s="23">
        <v>45357</v>
      </c>
      <c r="C691" s="22" t="s">
        <v>1654</v>
      </c>
      <c r="D691" s="22" t="s">
        <v>275</v>
      </c>
      <c r="E691" s="22" t="s">
        <v>1829</v>
      </c>
      <c r="F691" s="24">
        <v>1</v>
      </c>
      <c r="G691" s="24">
        <v>3780</v>
      </c>
      <c r="H691" s="24">
        <v>22.7</v>
      </c>
      <c r="I691" s="24">
        <v>2921.94</v>
      </c>
      <c r="J691" s="22" t="s">
        <v>104</v>
      </c>
      <c r="K691" s="22" t="s">
        <v>129</v>
      </c>
      <c r="L691" t="str">
        <f>VLOOKUP(D691,Products!A:F,3,FALSE())</f>
        <v>Grocery</v>
      </c>
      <c r="M691" t="str">
        <f>VLOOKUP(C691,Customers!A:F,5,FALSE())</f>
        <v>SMB</v>
      </c>
      <c r="O691" t="str">
        <f>IFERROR(VLOOKUP(E691,Sales_Reps!$A:$C,3,FALSE()),"")</f>
        <v/>
      </c>
      <c r="P691">
        <f>IFERROR(VLOOKUP(C691,Customers!$A:$C,3,FALSE()),"")</f>
        <v>54</v>
      </c>
      <c r="Q691" t="str">
        <f t="shared" si="10"/>
        <v>Mar-24</v>
      </c>
      <c r="R691">
        <f>IFERROR((VLOOKUP(D691,Products!$A:$E,5,FALSE())-VLOOKUP(D691,Products!$A:$E,4,FALSE()))/VLOOKUP(D691,Products!$A:$E,5,FALSE()),"")</f>
        <v>0.35555555555555557</v>
      </c>
    </row>
    <row r="692" spans="1:18" x14ac:dyDescent="0.3">
      <c r="A692" s="22" t="s">
        <v>1830</v>
      </c>
      <c r="B692" s="23">
        <v>45443</v>
      </c>
      <c r="C692" s="22" t="s">
        <v>497</v>
      </c>
      <c r="D692" s="22" t="s">
        <v>123</v>
      </c>
      <c r="E692" s="22" t="s">
        <v>1831</v>
      </c>
      <c r="F692" s="24">
        <v>10</v>
      </c>
      <c r="G692" s="24">
        <v>3160</v>
      </c>
      <c r="H692" s="24">
        <v>13.4</v>
      </c>
      <c r="I692" s="24">
        <v>27365.599999999999</v>
      </c>
      <c r="J692" s="22" t="s">
        <v>104</v>
      </c>
      <c r="K692" s="22" t="s">
        <v>129</v>
      </c>
      <c r="L692" t="str">
        <f>VLOOKUP(D692,Products!A:F,3,FALSE())</f>
        <v>Apparel</v>
      </c>
      <c r="M692" t="str">
        <f>VLOOKUP(C692,Customers!A:F,5,FALSE())</f>
        <v>Retail</v>
      </c>
      <c r="O692" t="str">
        <f>IFERROR(VLOOKUP(E692,Sales_Reps!$A:$C,3,FALSE()),"")</f>
        <v/>
      </c>
      <c r="P692">
        <f>IFERROR(VLOOKUP(C692,Customers!$A:$C,3,FALSE()),"")</f>
        <v>50</v>
      </c>
      <c r="Q692" t="str">
        <f t="shared" si="10"/>
        <v>May-24</v>
      </c>
      <c r="R692">
        <f>IFERROR((VLOOKUP(D692,Products!$A:$E,5,FALSE())-VLOOKUP(D692,Products!$A:$E,4,FALSE()))/VLOOKUP(D692,Products!$A:$E,5,FALSE()),"")</f>
        <v>0.4031645569620253</v>
      </c>
    </row>
    <row r="693" spans="1:18" x14ac:dyDescent="0.3">
      <c r="A693" s="22" t="s">
        <v>1832</v>
      </c>
      <c r="B693" s="23">
        <v>45422</v>
      </c>
      <c r="C693" s="22" t="s">
        <v>576</v>
      </c>
      <c r="D693" s="22" t="s">
        <v>137</v>
      </c>
      <c r="E693" s="22" t="s">
        <v>1833</v>
      </c>
      <c r="F693" s="24">
        <v>2</v>
      </c>
      <c r="G693" s="24">
        <v>1430</v>
      </c>
      <c r="H693" s="24">
        <v>7.4</v>
      </c>
      <c r="I693" s="24">
        <v>2648.36</v>
      </c>
      <c r="J693" s="22" t="s">
        <v>104</v>
      </c>
      <c r="K693" s="22" t="s">
        <v>105</v>
      </c>
      <c r="L693" t="str">
        <f>VLOOKUP(D693,Products!A:F,3,FALSE())</f>
        <v>Electronics</v>
      </c>
      <c r="M693" t="str">
        <f>VLOOKUP(C693,Customers!A:F,5,FALSE())</f>
        <v>Retail</v>
      </c>
      <c r="O693" t="str">
        <f>IFERROR(VLOOKUP(E693,Sales_Reps!$A:$C,3,FALSE()),"")</f>
        <v/>
      </c>
      <c r="P693">
        <f>IFERROR(VLOOKUP(C693,Customers!$A:$C,3,FALSE()),"")</f>
        <v>65</v>
      </c>
      <c r="Q693" t="str">
        <f t="shared" si="10"/>
        <v>May-24</v>
      </c>
      <c r="R693">
        <f>IFERROR((VLOOKUP(D693,Products!$A:$E,5,FALSE())-VLOOKUP(D693,Products!$A:$E,4,FALSE()))/VLOOKUP(D693,Products!$A:$E,5,FALSE()),"")</f>
        <v>0.39790209790209791</v>
      </c>
    </row>
    <row r="694" spans="1:18" x14ac:dyDescent="0.3">
      <c r="A694" s="22" t="s">
        <v>1834</v>
      </c>
      <c r="B694" s="23">
        <v>45640</v>
      </c>
      <c r="C694" s="22" t="s">
        <v>271</v>
      </c>
      <c r="D694" s="22" t="s">
        <v>123</v>
      </c>
      <c r="E694" s="22" t="s">
        <v>1835</v>
      </c>
      <c r="F694" s="24">
        <v>5</v>
      </c>
      <c r="G694" s="24">
        <v>3160</v>
      </c>
      <c r="H694" s="24">
        <v>3.6</v>
      </c>
      <c r="I694" s="24">
        <v>15231.2</v>
      </c>
      <c r="J694" s="22" t="s">
        <v>110</v>
      </c>
      <c r="K694" s="22" t="s">
        <v>134</v>
      </c>
      <c r="L694" t="str">
        <f>VLOOKUP(D694,Products!A:F,3,FALSE())</f>
        <v>Apparel</v>
      </c>
      <c r="M694" t="str">
        <f>VLOOKUP(C694,Customers!A:F,5,FALSE())</f>
        <v>SMB</v>
      </c>
      <c r="O694" t="str">
        <f>IFERROR(VLOOKUP(E694,Sales_Reps!$A:$C,3,FALSE()),"")</f>
        <v/>
      </c>
      <c r="P694">
        <f>IFERROR(VLOOKUP(C694,Customers!$A:$C,3,FALSE()),"")</f>
        <v>64</v>
      </c>
      <c r="Q694" t="str">
        <f t="shared" si="10"/>
        <v>Dec-24</v>
      </c>
      <c r="R694">
        <f>IFERROR((VLOOKUP(D694,Products!$A:$E,5,FALSE())-VLOOKUP(D694,Products!$A:$E,4,FALSE()))/VLOOKUP(D694,Products!$A:$E,5,FALSE()),"")</f>
        <v>0.4031645569620253</v>
      </c>
    </row>
    <row r="695" spans="1:18" x14ac:dyDescent="0.3">
      <c r="A695" s="22" t="s">
        <v>1836</v>
      </c>
      <c r="B695" s="23">
        <v>45521</v>
      </c>
      <c r="C695" s="22" t="s">
        <v>1192</v>
      </c>
      <c r="D695" s="22" t="s">
        <v>488</v>
      </c>
      <c r="E695" s="22" t="s">
        <v>1837</v>
      </c>
      <c r="F695" s="24">
        <v>2</v>
      </c>
      <c r="G695" s="24">
        <v>2290</v>
      </c>
      <c r="H695" s="24">
        <v>28.2</v>
      </c>
      <c r="I695" s="24">
        <v>3288.44</v>
      </c>
      <c r="J695" s="22" t="s">
        <v>104</v>
      </c>
      <c r="K695" s="22" t="s">
        <v>105</v>
      </c>
      <c r="L695" t="str">
        <f>VLOOKUP(D695,Products!A:F,3,FALSE())</f>
        <v>Beauty</v>
      </c>
      <c r="M695" t="str">
        <f>VLOOKUP(C695,Customers!A:F,5,FALSE())</f>
        <v>Retail</v>
      </c>
      <c r="O695" t="str">
        <f>IFERROR(VLOOKUP(E695,Sales_Reps!$A:$C,3,FALSE()),"")</f>
        <v/>
      </c>
      <c r="P695">
        <f>IFERROR(VLOOKUP(C695,Customers!$A:$C,3,FALSE()),"")</f>
        <v>36</v>
      </c>
      <c r="Q695" t="str">
        <f t="shared" si="10"/>
        <v>Aug-24</v>
      </c>
      <c r="R695">
        <f>IFERROR((VLOOKUP(D695,Products!$A:$E,5,FALSE())-VLOOKUP(D695,Products!$A:$E,4,FALSE()))/VLOOKUP(D695,Products!$A:$E,5,FALSE()),"")</f>
        <v>0.46768558951965067</v>
      </c>
    </row>
    <row r="696" spans="1:18" x14ac:dyDescent="0.3">
      <c r="A696" s="22" t="s">
        <v>1838</v>
      </c>
      <c r="B696" s="23">
        <v>45366</v>
      </c>
      <c r="C696" s="22" t="s">
        <v>1072</v>
      </c>
      <c r="D696" s="22" t="s">
        <v>591</v>
      </c>
      <c r="E696" s="22" t="s">
        <v>1839</v>
      </c>
      <c r="F696" s="24">
        <v>5</v>
      </c>
      <c r="G696" s="24">
        <v>3450</v>
      </c>
      <c r="H696" s="24">
        <v>18.100000000000001</v>
      </c>
      <c r="I696" s="24">
        <v>14127.75</v>
      </c>
      <c r="J696" s="22" t="s">
        <v>159</v>
      </c>
      <c r="K696" s="22" t="s">
        <v>105</v>
      </c>
      <c r="L696" t="str">
        <f>VLOOKUP(D696,Products!A:F,3,FALSE())</f>
        <v>Apparel</v>
      </c>
      <c r="M696" t="str">
        <f>VLOOKUP(C696,Customers!A:F,5,FALSE())</f>
        <v>Retail</v>
      </c>
      <c r="O696" t="str">
        <f>IFERROR(VLOOKUP(E696,Sales_Reps!$A:$C,3,FALSE()),"")</f>
        <v/>
      </c>
      <c r="P696">
        <f>IFERROR(VLOOKUP(C696,Customers!$A:$C,3,FALSE()),"")</f>
        <v>36</v>
      </c>
      <c r="Q696" t="str">
        <f t="shared" si="10"/>
        <v>Mar-24</v>
      </c>
      <c r="R696">
        <f>IFERROR((VLOOKUP(D696,Products!$A:$E,5,FALSE())-VLOOKUP(D696,Products!$A:$E,4,FALSE()))/VLOOKUP(D696,Products!$A:$E,5,FALSE()),"")</f>
        <v>0.49333333333333335</v>
      </c>
    </row>
    <row r="697" spans="1:18" x14ac:dyDescent="0.3">
      <c r="A697" s="22" t="s">
        <v>1840</v>
      </c>
      <c r="B697" s="23">
        <v>45439</v>
      </c>
      <c r="C697" s="22" t="s">
        <v>252</v>
      </c>
      <c r="D697" s="22" t="s">
        <v>935</v>
      </c>
      <c r="E697" s="22" t="s">
        <v>1841</v>
      </c>
      <c r="F697" s="24">
        <v>1</v>
      </c>
      <c r="G697" s="24">
        <v>3560</v>
      </c>
      <c r="H697" s="24">
        <v>18.7</v>
      </c>
      <c r="I697" s="24">
        <v>2894.28</v>
      </c>
      <c r="J697" s="22" t="s">
        <v>104</v>
      </c>
      <c r="K697" s="22" t="s">
        <v>111</v>
      </c>
      <c r="L697" t="str">
        <f>VLOOKUP(D697,Products!A:F,3,FALSE())</f>
        <v>Apparel</v>
      </c>
      <c r="M697" t="str">
        <f>VLOOKUP(C697,Customers!A:F,5,FALSE())</f>
        <v>Retail</v>
      </c>
      <c r="O697" t="str">
        <f>IFERROR(VLOOKUP(E697,Sales_Reps!$A:$C,3,FALSE()),"")</f>
        <v/>
      </c>
      <c r="P697">
        <f>IFERROR(VLOOKUP(C697,Customers!$A:$C,3,FALSE()),"")</f>
        <v>51</v>
      </c>
      <c r="Q697" t="str">
        <f t="shared" si="10"/>
        <v>May-24</v>
      </c>
      <c r="R697">
        <f>IFERROR((VLOOKUP(D697,Products!$A:$E,5,FALSE())-VLOOKUP(D697,Products!$A:$E,4,FALSE()))/VLOOKUP(D697,Products!$A:$E,5,FALSE()),"")</f>
        <v>0.26151685393258428</v>
      </c>
    </row>
    <row r="698" spans="1:18" x14ac:dyDescent="0.3">
      <c r="A698" s="22" t="s">
        <v>1842</v>
      </c>
      <c r="B698" s="23">
        <v>45426</v>
      </c>
      <c r="C698" s="22" t="s">
        <v>369</v>
      </c>
      <c r="D698" s="22" t="s">
        <v>171</v>
      </c>
      <c r="E698" s="22" t="s">
        <v>1843</v>
      </c>
      <c r="F698" s="24">
        <v>9</v>
      </c>
      <c r="G698" s="24">
        <v>2400</v>
      </c>
      <c r="H698" s="24">
        <v>18.5</v>
      </c>
      <c r="I698" s="24">
        <v>17604</v>
      </c>
      <c r="J698" s="22" t="s">
        <v>104</v>
      </c>
      <c r="K698" s="22" t="s">
        <v>151</v>
      </c>
      <c r="L698" t="str">
        <f>VLOOKUP(D698,Products!A:F,3,FALSE())</f>
        <v>Sports</v>
      </c>
      <c r="M698" t="str">
        <f>VLOOKUP(C698,Customers!A:F,5,FALSE())</f>
        <v>Corporate</v>
      </c>
      <c r="O698" t="str">
        <f>IFERROR(VLOOKUP(E698,Sales_Reps!$A:$C,3,FALSE()),"")</f>
        <v/>
      </c>
      <c r="P698">
        <f>IFERROR(VLOOKUP(C698,Customers!$A:$C,3,FALSE()),"")</f>
        <v>46</v>
      </c>
      <c r="Q698" t="str">
        <f t="shared" si="10"/>
        <v>May-24</v>
      </c>
      <c r="R698">
        <f>IFERROR((VLOOKUP(D698,Products!$A:$E,5,FALSE())-VLOOKUP(D698,Products!$A:$E,4,FALSE()))/VLOOKUP(D698,Products!$A:$E,5,FALSE()),"")</f>
        <v>0.59416666666666662</v>
      </c>
    </row>
    <row r="699" spans="1:18" x14ac:dyDescent="0.3">
      <c r="A699" s="22" t="s">
        <v>1844</v>
      </c>
      <c r="B699" s="23">
        <v>45415</v>
      </c>
      <c r="C699" s="22" t="s">
        <v>439</v>
      </c>
      <c r="D699" s="22" t="s">
        <v>293</v>
      </c>
      <c r="E699" s="22" t="s">
        <v>1845</v>
      </c>
      <c r="F699" s="24">
        <v>9</v>
      </c>
      <c r="G699" s="24">
        <v>3870</v>
      </c>
      <c r="H699" s="24">
        <v>6.9</v>
      </c>
      <c r="I699" s="24">
        <v>32426.73</v>
      </c>
      <c r="J699" s="22" t="s">
        <v>164</v>
      </c>
      <c r="K699" s="22" t="s">
        <v>111</v>
      </c>
      <c r="L699" t="str">
        <f>VLOOKUP(D699,Products!A:F,3,FALSE())</f>
        <v>Electronics</v>
      </c>
      <c r="M699" t="str">
        <f>VLOOKUP(C699,Customers!A:F,5,FALSE())</f>
        <v>Retail</v>
      </c>
      <c r="O699" t="str">
        <f>IFERROR(VLOOKUP(E699,Sales_Reps!$A:$C,3,FALSE()),"")</f>
        <v/>
      </c>
      <c r="P699">
        <f>IFERROR(VLOOKUP(C699,Customers!$A:$C,3,FALSE()),"")</f>
        <v>60</v>
      </c>
      <c r="Q699" t="str">
        <f t="shared" si="10"/>
        <v>May-24</v>
      </c>
      <c r="R699">
        <f>IFERROR((VLOOKUP(D699,Products!$A:$E,5,FALSE())-VLOOKUP(D699,Products!$A:$E,4,FALSE()))/VLOOKUP(D699,Products!$A:$E,5,FALSE()),"")</f>
        <v>0.59715762273901807</v>
      </c>
    </row>
    <row r="700" spans="1:18" x14ac:dyDescent="0.3">
      <c r="A700" s="22" t="s">
        <v>1846</v>
      </c>
      <c r="B700" s="23">
        <v>45620</v>
      </c>
      <c r="C700" s="22" t="s">
        <v>1015</v>
      </c>
      <c r="D700" s="22" t="s">
        <v>119</v>
      </c>
      <c r="E700" s="22" t="s">
        <v>1847</v>
      </c>
      <c r="F700" s="24">
        <v>5</v>
      </c>
      <c r="G700" s="24">
        <v>3660</v>
      </c>
      <c r="H700" s="24">
        <v>11.7</v>
      </c>
      <c r="I700" s="24">
        <v>16158.9</v>
      </c>
      <c r="J700" s="22" t="s">
        <v>104</v>
      </c>
      <c r="K700" s="22" t="s">
        <v>116</v>
      </c>
      <c r="L700" t="str">
        <f>VLOOKUP(D700,Products!A:F,3,FALSE())</f>
        <v>Grocery</v>
      </c>
      <c r="M700" t="str">
        <f>VLOOKUP(C700,Customers!A:F,5,FALSE())</f>
        <v>Retail</v>
      </c>
      <c r="O700" t="str">
        <f>IFERROR(VLOOKUP(E700,Sales_Reps!$A:$C,3,FALSE()),"")</f>
        <v/>
      </c>
      <c r="P700">
        <f>IFERROR(VLOOKUP(C700,Customers!$A:$C,3,FALSE()),"")</f>
        <v>53</v>
      </c>
      <c r="Q700" t="str">
        <f t="shared" si="10"/>
        <v>Nov-24</v>
      </c>
      <c r="R700">
        <f>IFERROR((VLOOKUP(D700,Products!$A:$E,5,FALSE())-VLOOKUP(D700,Products!$A:$E,4,FALSE()))/VLOOKUP(D700,Products!$A:$E,5,FALSE()),"")</f>
        <v>0.39508196721311473</v>
      </c>
    </row>
    <row r="701" spans="1:18" x14ac:dyDescent="0.3">
      <c r="A701" s="22" t="s">
        <v>1848</v>
      </c>
      <c r="B701" s="23">
        <v>45346</v>
      </c>
      <c r="C701" s="22" t="s">
        <v>517</v>
      </c>
      <c r="D701" s="22" t="s">
        <v>186</v>
      </c>
      <c r="E701" s="22" t="s">
        <v>1849</v>
      </c>
      <c r="F701" s="24">
        <v>4</v>
      </c>
      <c r="G701" s="24">
        <v>1080</v>
      </c>
      <c r="H701" s="24">
        <v>17.5</v>
      </c>
      <c r="I701" s="24">
        <v>3564</v>
      </c>
      <c r="J701" s="22" t="s">
        <v>104</v>
      </c>
      <c r="K701" s="22" t="s">
        <v>111</v>
      </c>
      <c r="L701" t="str">
        <f>VLOOKUP(D701,Products!A:F,3,FALSE())</f>
        <v>Home</v>
      </c>
      <c r="M701" t="str">
        <f>VLOOKUP(C701,Customers!A:F,5,FALSE())</f>
        <v>Corporate</v>
      </c>
      <c r="O701" t="str">
        <f>IFERROR(VLOOKUP(E701,Sales_Reps!$A:$C,3,FALSE()),"")</f>
        <v/>
      </c>
      <c r="P701">
        <f>IFERROR(VLOOKUP(C701,Customers!$A:$C,3,FALSE()),"")</f>
        <v>24</v>
      </c>
      <c r="Q701" t="str">
        <f t="shared" si="10"/>
        <v>Feb-24</v>
      </c>
      <c r="R701">
        <f>IFERROR((VLOOKUP(D701,Products!$A:$E,5,FALSE())-VLOOKUP(D701,Products!$A:$E,4,FALSE()))/VLOOKUP(D701,Products!$A:$E,5,FALSE()),"")</f>
        <v>0.51944444444444449</v>
      </c>
    </row>
    <row r="702" spans="1:18" x14ac:dyDescent="0.3">
      <c r="A702" s="22" t="s">
        <v>1850</v>
      </c>
      <c r="B702" s="23">
        <v>45297</v>
      </c>
      <c r="C702" s="22" t="s">
        <v>1243</v>
      </c>
      <c r="D702" s="22" t="s">
        <v>605</v>
      </c>
      <c r="E702" s="22" t="s">
        <v>1851</v>
      </c>
      <c r="F702" s="24">
        <v>6</v>
      </c>
      <c r="G702" s="24">
        <v>3780</v>
      </c>
      <c r="H702" s="24">
        <v>27.8</v>
      </c>
      <c r="I702" s="24">
        <v>16374.96</v>
      </c>
      <c r="J702" s="22" t="s">
        <v>104</v>
      </c>
      <c r="K702" s="22" t="s">
        <v>134</v>
      </c>
      <c r="L702" t="str">
        <f>VLOOKUP(D702,Products!A:F,3,FALSE())</f>
        <v>Sports</v>
      </c>
      <c r="M702" t="str">
        <f>VLOOKUP(C702,Customers!A:F,5,FALSE())</f>
        <v>Retail</v>
      </c>
      <c r="O702" t="str">
        <f>IFERROR(VLOOKUP(E702,Sales_Reps!$A:$C,3,FALSE()),"")</f>
        <v/>
      </c>
      <c r="P702">
        <f>IFERROR(VLOOKUP(C702,Customers!$A:$C,3,FALSE()),"")</f>
        <v>52</v>
      </c>
      <c r="Q702" t="str">
        <f t="shared" si="10"/>
        <v>Jan-24</v>
      </c>
      <c r="R702">
        <f>IFERROR((VLOOKUP(D702,Products!$A:$E,5,FALSE())-VLOOKUP(D702,Products!$A:$E,4,FALSE()))/VLOOKUP(D702,Products!$A:$E,5,FALSE()),"")</f>
        <v>0.50793650793650791</v>
      </c>
    </row>
    <row r="703" spans="1:18" x14ac:dyDescent="0.3">
      <c r="A703" s="22" t="s">
        <v>1852</v>
      </c>
      <c r="B703" s="23">
        <v>45521</v>
      </c>
      <c r="C703" s="22" t="s">
        <v>1654</v>
      </c>
      <c r="D703" s="22" t="s">
        <v>190</v>
      </c>
      <c r="E703" s="22" t="s">
        <v>1853</v>
      </c>
      <c r="F703" s="24">
        <v>8</v>
      </c>
      <c r="G703" s="24">
        <v>2480</v>
      </c>
      <c r="H703" s="24">
        <v>15.7</v>
      </c>
      <c r="I703" s="24">
        <v>16725.12</v>
      </c>
      <c r="J703" s="22" t="s">
        <v>110</v>
      </c>
      <c r="K703" s="22" t="s">
        <v>129</v>
      </c>
      <c r="L703" t="str">
        <f>VLOOKUP(D703,Products!A:F,3,FALSE())</f>
        <v>Apparel</v>
      </c>
      <c r="M703" t="str">
        <f>VLOOKUP(C703,Customers!A:F,5,FALSE())</f>
        <v>SMB</v>
      </c>
      <c r="O703" t="str">
        <f>IFERROR(VLOOKUP(E703,Sales_Reps!$A:$C,3,FALSE()),"")</f>
        <v/>
      </c>
      <c r="P703">
        <f>IFERROR(VLOOKUP(C703,Customers!$A:$C,3,FALSE()),"")</f>
        <v>54</v>
      </c>
      <c r="Q703" t="str">
        <f t="shared" si="10"/>
        <v>Aug-24</v>
      </c>
      <c r="R703">
        <f>IFERROR((VLOOKUP(D703,Products!$A:$E,5,FALSE())-VLOOKUP(D703,Products!$A:$E,4,FALSE()))/VLOOKUP(D703,Products!$A:$E,5,FALSE()),"")</f>
        <v>0.52701612903225803</v>
      </c>
    </row>
    <row r="704" spans="1:18" x14ac:dyDescent="0.3">
      <c r="A704" s="22" t="s">
        <v>1854</v>
      </c>
      <c r="B704" s="23">
        <v>45409</v>
      </c>
      <c r="C704" s="22" t="s">
        <v>494</v>
      </c>
      <c r="D704" s="22" t="s">
        <v>209</v>
      </c>
      <c r="E704" s="22" t="s">
        <v>1855</v>
      </c>
      <c r="F704" s="24">
        <v>10</v>
      </c>
      <c r="G704" s="24">
        <v>1010</v>
      </c>
      <c r="H704" s="24">
        <v>0.1</v>
      </c>
      <c r="I704" s="24">
        <v>10089.9</v>
      </c>
      <c r="J704" s="22" t="s">
        <v>110</v>
      </c>
      <c r="K704" s="22" t="s">
        <v>105</v>
      </c>
      <c r="L704" t="str">
        <f>VLOOKUP(D704,Products!A:F,3,FALSE())</f>
        <v>Sports</v>
      </c>
      <c r="M704" t="str">
        <f>VLOOKUP(C704,Customers!A:F,5,FALSE())</f>
        <v>SMB</v>
      </c>
      <c r="O704" t="str">
        <f>IFERROR(VLOOKUP(E704,Sales_Reps!$A:$C,3,FALSE()),"")</f>
        <v/>
      </c>
      <c r="P704">
        <f>IFERROR(VLOOKUP(C704,Customers!$A:$C,3,FALSE()),"")</f>
        <v>54</v>
      </c>
      <c r="Q704" t="str">
        <f t="shared" si="10"/>
        <v>Apr-24</v>
      </c>
      <c r="R704">
        <f>IFERROR((VLOOKUP(D704,Products!$A:$E,5,FALSE())-VLOOKUP(D704,Products!$A:$E,4,FALSE()))/VLOOKUP(D704,Products!$A:$E,5,FALSE()),"")</f>
        <v>0.4891089108910891</v>
      </c>
    </row>
    <row r="705" spans="1:18" x14ac:dyDescent="0.3">
      <c r="A705" s="22" t="s">
        <v>1856</v>
      </c>
      <c r="B705" s="23">
        <v>45406</v>
      </c>
      <c r="C705" s="22" t="s">
        <v>170</v>
      </c>
      <c r="D705" s="22" t="s">
        <v>114</v>
      </c>
      <c r="E705" s="22" t="s">
        <v>1857</v>
      </c>
      <c r="F705" s="24">
        <v>3</v>
      </c>
      <c r="G705" s="24">
        <v>470</v>
      </c>
      <c r="H705" s="24">
        <v>1.1000000000000001</v>
      </c>
      <c r="I705" s="24">
        <v>1394.49</v>
      </c>
      <c r="J705" s="22" t="s">
        <v>104</v>
      </c>
      <c r="K705" s="22" t="s">
        <v>105</v>
      </c>
      <c r="L705" t="str">
        <f>VLOOKUP(D705,Products!A:F,3,FALSE())</f>
        <v>Sports</v>
      </c>
      <c r="M705" t="str">
        <f>VLOOKUP(C705,Customers!A:F,5,FALSE())</f>
        <v>Retail</v>
      </c>
      <c r="O705" t="str">
        <f>IFERROR(VLOOKUP(E705,Sales_Reps!$A:$C,3,FALSE()),"")</f>
        <v/>
      </c>
      <c r="P705">
        <f>IFERROR(VLOOKUP(C705,Customers!$A:$C,3,FALSE()),"")</f>
        <v>63</v>
      </c>
      <c r="Q705" t="str">
        <f t="shared" si="10"/>
        <v>Apr-24</v>
      </c>
      <c r="R705">
        <f>IFERROR((VLOOKUP(D705,Products!$A:$E,5,FALSE())-VLOOKUP(D705,Products!$A:$E,4,FALSE()))/VLOOKUP(D705,Products!$A:$E,5,FALSE()),"")</f>
        <v>0.35744680851063831</v>
      </c>
    </row>
    <row r="706" spans="1:18" x14ac:dyDescent="0.3">
      <c r="A706" s="22" t="s">
        <v>1858</v>
      </c>
      <c r="B706" s="23">
        <v>45474</v>
      </c>
      <c r="C706" s="22" t="s">
        <v>1030</v>
      </c>
      <c r="D706" s="22" t="s">
        <v>149</v>
      </c>
      <c r="E706" s="22" t="s">
        <v>1859</v>
      </c>
      <c r="F706" s="24">
        <v>4</v>
      </c>
      <c r="G706" s="24">
        <v>2270</v>
      </c>
      <c r="H706" s="24">
        <v>17.100000000000001</v>
      </c>
      <c r="I706" s="24">
        <v>7527.32</v>
      </c>
      <c r="J706" s="22" t="s">
        <v>104</v>
      </c>
      <c r="K706" s="22" t="s">
        <v>116</v>
      </c>
      <c r="L706" t="str">
        <f>VLOOKUP(D706,Products!A:F,3,FALSE())</f>
        <v>Grocery</v>
      </c>
      <c r="M706" t="str">
        <f>VLOOKUP(C706,Customers!A:F,5,FALSE())</f>
        <v>Retail</v>
      </c>
      <c r="O706" t="str">
        <f>IFERROR(VLOOKUP(E706,Sales_Reps!$A:$C,3,FALSE()),"")</f>
        <v/>
      </c>
      <c r="P706">
        <f>IFERROR(VLOOKUP(C706,Customers!$A:$C,3,FALSE()),"")</f>
        <v>24</v>
      </c>
      <c r="Q706" t="str">
        <f t="shared" ref="Q706:Q769" si="11">TEXT(B706,"mmm-yy")</f>
        <v>Jul-24</v>
      </c>
      <c r="R706">
        <f>IFERROR((VLOOKUP(D706,Products!$A:$E,5,FALSE())-VLOOKUP(D706,Products!$A:$E,4,FALSE()))/VLOOKUP(D706,Products!$A:$E,5,FALSE()),"")</f>
        <v>0.47004405286343615</v>
      </c>
    </row>
    <row r="707" spans="1:18" x14ac:dyDescent="0.3">
      <c r="A707" s="22" t="s">
        <v>1860</v>
      </c>
      <c r="B707" s="23">
        <v>45588</v>
      </c>
      <c r="C707" s="22" t="s">
        <v>261</v>
      </c>
      <c r="D707" s="22" t="s">
        <v>231</v>
      </c>
      <c r="E707" s="22" t="s">
        <v>1861</v>
      </c>
      <c r="F707" s="24">
        <v>7</v>
      </c>
      <c r="G707" s="24">
        <v>2760</v>
      </c>
      <c r="H707" s="24">
        <v>17.100000000000001</v>
      </c>
      <c r="I707" s="24">
        <v>16016.28</v>
      </c>
      <c r="J707" s="22" t="s">
        <v>104</v>
      </c>
      <c r="K707" s="22" t="s">
        <v>116</v>
      </c>
      <c r="L707" t="str">
        <f>VLOOKUP(D707,Products!A:F,3,FALSE())</f>
        <v>Grocery</v>
      </c>
      <c r="M707" t="str">
        <f>VLOOKUP(C707,Customers!A:F,5,FALSE())</f>
        <v>Retail</v>
      </c>
      <c r="O707" t="str">
        <f>IFERROR(VLOOKUP(E707,Sales_Reps!$A:$C,3,FALSE()),"")</f>
        <v/>
      </c>
      <c r="P707">
        <f>IFERROR(VLOOKUP(C707,Customers!$A:$C,3,FALSE()),"")</f>
        <v>53</v>
      </c>
      <c r="Q707" t="str">
        <f t="shared" si="11"/>
        <v>Oct-24</v>
      </c>
      <c r="R707">
        <f>IFERROR((VLOOKUP(D707,Products!$A:$E,5,FALSE())-VLOOKUP(D707,Products!$A:$E,4,FALSE()))/VLOOKUP(D707,Products!$A:$E,5,FALSE()),"")</f>
        <v>0.48007246376811596</v>
      </c>
    </row>
    <row r="708" spans="1:18" x14ac:dyDescent="0.3">
      <c r="A708" s="22" t="s">
        <v>1862</v>
      </c>
      <c r="B708" s="23">
        <v>45530</v>
      </c>
      <c r="C708" s="22" t="s">
        <v>1627</v>
      </c>
      <c r="D708" s="22" t="s">
        <v>182</v>
      </c>
      <c r="E708" s="22" t="s">
        <v>1863</v>
      </c>
      <c r="F708" s="24">
        <v>6</v>
      </c>
      <c r="G708" s="24">
        <v>3450</v>
      </c>
      <c r="H708" s="24">
        <v>6.6</v>
      </c>
      <c r="I708" s="24">
        <v>19333.8</v>
      </c>
      <c r="J708" s="22" t="s">
        <v>164</v>
      </c>
      <c r="K708" s="22" t="s">
        <v>151</v>
      </c>
      <c r="L708" t="str">
        <f>VLOOKUP(D708,Products!A:F,3,FALSE())</f>
        <v>Sports</v>
      </c>
      <c r="M708" t="str">
        <f>VLOOKUP(C708,Customers!A:F,5,FALSE())</f>
        <v>Retail</v>
      </c>
      <c r="O708" t="str">
        <f>IFERROR(VLOOKUP(E708,Sales_Reps!$A:$C,3,FALSE()),"")</f>
        <v/>
      </c>
      <c r="P708">
        <f>IFERROR(VLOOKUP(C708,Customers!$A:$C,3,FALSE()),"")</f>
        <v>41</v>
      </c>
      <c r="Q708" t="str">
        <f t="shared" si="11"/>
        <v>Aug-24</v>
      </c>
      <c r="R708">
        <f>IFERROR((VLOOKUP(D708,Products!$A:$E,5,FALSE())-VLOOKUP(D708,Products!$A:$E,4,FALSE()))/VLOOKUP(D708,Products!$A:$E,5,FALSE()),"")</f>
        <v>0.28492753623188405</v>
      </c>
    </row>
    <row r="709" spans="1:18" x14ac:dyDescent="0.3">
      <c r="A709" s="22" t="s">
        <v>1864</v>
      </c>
      <c r="B709" s="23">
        <v>45630</v>
      </c>
      <c r="C709" s="22" t="s">
        <v>822</v>
      </c>
      <c r="D709" s="22" t="s">
        <v>119</v>
      </c>
      <c r="E709" s="22" t="s">
        <v>1865</v>
      </c>
      <c r="F709" s="24">
        <v>8</v>
      </c>
      <c r="G709" s="24">
        <v>3660</v>
      </c>
      <c r="H709" s="24">
        <v>7.2</v>
      </c>
      <c r="I709" s="24">
        <v>27171.84</v>
      </c>
      <c r="J709" s="22" t="s">
        <v>104</v>
      </c>
      <c r="K709" s="22" t="s">
        <v>151</v>
      </c>
      <c r="L709" t="str">
        <f>VLOOKUP(D709,Products!A:F,3,FALSE())</f>
        <v>Grocery</v>
      </c>
      <c r="M709" t="str">
        <f>VLOOKUP(C709,Customers!A:F,5,FALSE())</f>
        <v>Retail</v>
      </c>
      <c r="O709" t="str">
        <f>IFERROR(VLOOKUP(E709,Sales_Reps!$A:$C,3,FALSE()),"")</f>
        <v/>
      </c>
      <c r="P709">
        <f>IFERROR(VLOOKUP(C709,Customers!$A:$C,3,FALSE()),"")</f>
        <v>22</v>
      </c>
      <c r="Q709" t="str">
        <f t="shared" si="11"/>
        <v>Dec-24</v>
      </c>
      <c r="R709">
        <f>IFERROR((VLOOKUP(D709,Products!$A:$E,5,FALSE())-VLOOKUP(D709,Products!$A:$E,4,FALSE()))/VLOOKUP(D709,Products!$A:$E,5,FALSE()),"")</f>
        <v>0.39508196721311473</v>
      </c>
    </row>
    <row r="710" spans="1:18" x14ac:dyDescent="0.3">
      <c r="A710" s="22" t="s">
        <v>1866</v>
      </c>
      <c r="B710" s="23">
        <v>45551</v>
      </c>
      <c r="C710" s="22" t="s">
        <v>1867</v>
      </c>
      <c r="D710" s="22" t="s">
        <v>319</v>
      </c>
      <c r="E710" s="22" t="s">
        <v>1868</v>
      </c>
      <c r="F710" s="24">
        <v>4</v>
      </c>
      <c r="G710" s="24">
        <v>1220</v>
      </c>
      <c r="H710" s="24">
        <v>24.3</v>
      </c>
      <c r="I710" s="24">
        <v>3694.16</v>
      </c>
      <c r="J710" s="22" t="s">
        <v>159</v>
      </c>
      <c r="K710" s="22" t="s">
        <v>105</v>
      </c>
      <c r="L710" t="str">
        <f>VLOOKUP(D710,Products!A:F,3,FALSE())</f>
        <v>Electronics</v>
      </c>
      <c r="M710" t="str">
        <f>VLOOKUP(C710,Customers!A:F,5,FALSE())</f>
        <v>Retail</v>
      </c>
      <c r="O710" t="str">
        <f>IFERROR(VLOOKUP(E710,Sales_Reps!$A:$C,3,FALSE()),"")</f>
        <v/>
      </c>
      <c r="P710">
        <f>IFERROR(VLOOKUP(C710,Customers!$A:$C,3,FALSE()),"")</f>
        <v>39</v>
      </c>
      <c r="Q710" t="str">
        <f t="shared" si="11"/>
        <v>Sep-24</v>
      </c>
      <c r="R710">
        <f>IFERROR((VLOOKUP(D710,Products!$A:$E,5,FALSE())-VLOOKUP(D710,Products!$A:$E,4,FALSE()))/VLOOKUP(D710,Products!$A:$E,5,FALSE()),"")</f>
        <v>0.57622950819672136</v>
      </c>
    </row>
    <row r="711" spans="1:18" x14ac:dyDescent="0.3">
      <c r="A711" s="22" t="s">
        <v>1869</v>
      </c>
      <c r="B711" s="23">
        <v>45610</v>
      </c>
      <c r="C711" s="22" t="s">
        <v>1328</v>
      </c>
      <c r="D711" s="22" t="s">
        <v>449</v>
      </c>
      <c r="E711" s="22" t="s">
        <v>1870</v>
      </c>
      <c r="F711" s="24">
        <v>2</v>
      </c>
      <c r="G711" s="24">
        <v>5410</v>
      </c>
      <c r="H711" s="24">
        <v>0.9</v>
      </c>
      <c r="I711" s="24">
        <v>10722.62</v>
      </c>
      <c r="J711" s="22" t="s">
        <v>110</v>
      </c>
      <c r="K711" s="22" t="s">
        <v>151</v>
      </c>
      <c r="L711" t="str">
        <f>VLOOKUP(D711,Products!A:F,3,FALSE())</f>
        <v>Sports</v>
      </c>
      <c r="M711" t="str">
        <f>VLOOKUP(C711,Customers!A:F,5,FALSE())</f>
        <v>SMB</v>
      </c>
      <c r="O711" t="str">
        <f>IFERROR(VLOOKUP(E711,Sales_Reps!$A:$C,3,FALSE()),"")</f>
        <v/>
      </c>
      <c r="P711">
        <f>IFERROR(VLOOKUP(C711,Customers!$A:$C,3,FALSE()),"")</f>
        <v>28</v>
      </c>
      <c r="Q711" t="str">
        <f t="shared" si="11"/>
        <v>Nov-24</v>
      </c>
      <c r="R711">
        <f>IFERROR((VLOOKUP(D711,Products!$A:$E,5,FALSE())-VLOOKUP(D711,Products!$A:$E,4,FALSE()))/VLOOKUP(D711,Products!$A:$E,5,FALSE()),"")</f>
        <v>0.58133086876155271</v>
      </c>
    </row>
    <row r="712" spans="1:18" x14ac:dyDescent="0.3">
      <c r="A712" s="22" t="s">
        <v>1871</v>
      </c>
      <c r="B712" s="23">
        <v>45322</v>
      </c>
      <c r="C712" s="22" t="s">
        <v>529</v>
      </c>
      <c r="D712" s="22" t="s">
        <v>356</v>
      </c>
      <c r="E712" s="22" t="s">
        <v>1872</v>
      </c>
      <c r="F712" s="24">
        <v>5</v>
      </c>
      <c r="G712" s="24">
        <v>2030</v>
      </c>
      <c r="H712" s="24">
        <v>25.2</v>
      </c>
      <c r="I712" s="24">
        <v>7592.2</v>
      </c>
      <c r="J712" s="22" t="s">
        <v>104</v>
      </c>
      <c r="K712" s="22" t="s">
        <v>105</v>
      </c>
      <c r="L712" t="str">
        <f>VLOOKUP(D712,Products!A:F,3,FALSE())</f>
        <v>Home</v>
      </c>
      <c r="M712" t="str">
        <f>VLOOKUP(C712,Customers!A:F,5,FALSE())</f>
        <v>Retail</v>
      </c>
      <c r="O712" t="str">
        <f>IFERROR(VLOOKUP(E712,Sales_Reps!$A:$C,3,FALSE()),"")</f>
        <v/>
      </c>
      <c r="P712">
        <f>IFERROR(VLOOKUP(C712,Customers!$A:$C,3,FALSE()),"")</f>
        <v>22</v>
      </c>
      <c r="Q712" t="str">
        <f t="shared" si="11"/>
        <v>Jan-24</v>
      </c>
      <c r="R712">
        <f>IFERROR((VLOOKUP(D712,Products!$A:$E,5,FALSE())-VLOOKUP(D712,Products!$A:$E,4,FALSE()))/VLOOKUP(D712,Products!$A:$E,5,FALSE()),"")</f>
        <v>0.43694581280788175</v>
      </c>
    </row>
    <row r="713" spans="1:18" x14ac:dyDescent="0.3">
      <c r="A713" s="22" t="s">
        <v>1873</v>
      </c>
      <c r="B713" s="23">
        <v>45363</v>
      </c>
      <c r="C713" s="22" t="s">
        <v>810</v>
      </c>
      <c r="D713" s="22" t="s">
        <v>319</v>
      </c>
      <c r="E713" s="22" t="s">
        <v>1874</v>
      </c>
      <c r="F713" s="24">
        <v>5</v>
      </c>
      <c r="G713" s="24">
        <v>1220</v>
      </c>
      <c r="H713" s="24">
        <v>2.6</v>
      </c>
      <c r="I713" s="24">
        <v>5941.4</v>
      </c>
      <c r="J713" s="22" t="s">
        <v>104</v>
      </c>
      <c r="K713" s="22" t="s">
        <v>111</v>
      </c>
      <c r="L713" t="str">
        <f>VLOOKUP(D713,Products!A:F,3,FALSE())</f>
        <v>Electronics</v>
      </c>
      <c r="M713" t="str">
        <f>VLOOKUP(C713,Customers!A:F,5,FALSE())</f>
        <v>Retail</v>
      </c>
      <c r="O713" t="str">
        <f>IFERROR(VLOOKUP(E713,Sales_Reps!$A:$C,3,FALSE()),"")</f>
        <v/>
      </c>
      <c r="P713">
        <f>IFERROR(VLOOKUP(C713,Customers!$A:$C,3,FALSE()),"")</f>
        <v>26</v>
      </c>
      <c r="Q713" t="str">
        <f t="shared" si="11"/>
        <v>Mar-24</v>
      </c>
      <c r="R713">
        <f>IFERROR((VLOOKUP(D713,Products!$A:$E,5,FALSE())-VLOOKUP(D713,Products!$A:$E,4,FALSE()))/VLOOKUP(D713,Products!$A:$E,5,FALSE()),"")</f>
        <v>0.57622950819672136</v>
      </c>
    </row>
    <row r="714" spans="1:18" x14ac:dyDescent="0.3">
      <c r="A714" s="22" t="s">
        <v>1875</v>
      </c>
      <c r="B714" s="23">
        <v>45600</v>
      </c>
      <c r="C714" s="22" t="s">
        <v>709</v>
      </c>
      <c r="D714" s="22" t="s">
        <v>334</v>
      </c>
      <c r="E714" s="22" t="s">
        <v>1876</v>
      </c>
      <c r="F714" s="24">
        <v>4</v>
      </c>
      <c r="G714" s="24">
        <v>2660</v>
      </c>
      <c r="H714" s="24">
        <v>19.100000000000001</v>
      </c>
      <c r="I714" s="24">
        <v>8607.76</v>
      </c>
      <c r="J714" s="22" t="s">
        <v>164</v>
      </c>
      <c r="K714" s="22" t="s">
        <v>129</v>
      </c>
      <c r="L714" t="str">
        <f>VLOOKUP(D714,Products!A:F,3,FALSE())</f>
        <v>Electronics</v>
      </c>
      <c r="M714" t="str">
        <f>VLOOKUP(C714,Customers!A:F,5,FALSE())</f>
        <v>Corporate</v>
      </c>
      <c r="O714" t="str">
        <f>IFERROR(VLOOKUP(E714,Sales_Reps!$A:$C,3,FALSE()),"")</f>
        <v/>
      </c>
      <c r="P714">
        <f>IFERROR(VLOOKUP(C714,Customers!$A:$C,3,FALSE()),"")</f>
        <v>55</v>
      </c>
      <c r="Q714" t="str">
        <f t="shared" si="11"/>
        <v>Nov-24</v>
      </c>
      <c r="R714">
        <f>IFERROR((VLOOKUP(D714,Products!$A:$E,5,FALSE())-VLOOKUP(D714,Products!$A:$E,4,FALSE()))/VLOOKUP(D714,Products!$A:$E,5,FALSE()),"")</f>
        <v>0.52669172932330832</v>
      </c>
    </row>
    <row r="715" spans="1:18" x14ac:dyDescent="0.3">
      <c r="A715" s="22" t="s">
        <v>1877</v>
      </c>
      <c r="B715" s="23">
        <v>45351</v>
      </c>
      <c r="C715" s="22" t="s">
        <v>850</v>
      </c>
      <c r="D715" s="22" t="s">
        <v>315</v>
      </c>
      <c r="E715" s="22" t="s">
        <v>1878</v>
      </c>
      <c r="F715" s="24">
        <v>3</v>
      </c>
      <c r="G715" s="24">
        <v>4070</v>
      </c>
      <c r="H715" s="24">
        <v>25.2</v>
      </c>
      <c r="I715" s="24">
        <v>9133.08</v>
      </c>
      <c r="J715" s="22" t="s">
        <v>104</v>
      </c>
      <c r="K715" s="22" t="s">
        <v>134</v>
      </c>
      <c r="L715" t="str">
        <f>VLOOKUP(D715,Products!A:F,3,FALSE())</f>
        <v>Grocery</v>
      </c>
      <c r="M715" t="str">
        <f>VLOOKUP(C715,Customers!A:F,5,FALSE())</f>
        <v>SMB</v>
      </c>
      <c r="O715" t="str">
        <f>IFERROR(VLOOKUP(E715,Sales_Reps!$A:$C,3,FALSE()),"")</f>
        <v/>
      </c>
      <c r="P715">
        <f>IFERROR(VLOOKUP(C715,Customers!$A:$C,3,FALSE()),"")</f>
        <v>42</v>
      </c>
      <c r="Q715" t="str">
        <f t="shared" si="11"/>
        <v>Feb-24</v>
      </c>
      <c r="R715">
        <f>IFERROR((VLOOKUP(D715,Products!$A:$E,5,FALSE())-VLOOKUP(D715,Products!$A:$E,4,FALSE()))/VLOOKUP(D715,Products!$A:$E,5,FALSE()),"")</f>
        <v>0.50196560196560192</v>
      </c>
    </row>
    <row r="716" spans="1:18" x14ac:dyDescent="0.3">
      <c r="A716" s="22" t="s">
        <v>1879</v>
      </c>
      <c r="B716" s="23">
        <v>45461</v>
      </c>
      <c r="C716" s="22" t="s">
        <v>953</v>
      </c>
      <c r="D716" s="22" t="s">
        <v>479</v>
      </c>
      <c r="E716" s="22" t="s">
        <v>1880</v>
      </c>
      <c r="F716" s="24">
        <v>10</v>
      </c>
      <c r="G716" s="24">
        <v>960</v>
      </c>
      <c r="H716" s="24">
        <v>0.3</v>
      </c>
      <c r="I716" s="24">
        <v>9571.2000000000007</v>
      </c>
      <c r="J716" s="22" t="s">
        <v>104</v>
      </c>
      <c r="K716" s="22" t="s">
        <v>151</v>
      </c>
      <c r="L716" t="str">
        <f>VLOOKUP(D716,Products!A:F,3,FALSE())</f>
        <v>Beauty</v>
      </c>
      <c r="M716" t="str">
        <f>VLOOKUP(C716,Customers!A:F,5,FALSE())</f>
        <v>Retail</v>
      </c>
      <c r="O716" t="str">
        <f>IFERROR(VLOOKUP(E716,Sales_Reps!$A:$C,3,FALSE()),"")</f>
        <v/>
      </c>
      <c r="P716">
        <f>IFERROR(VLOOKUP(C716,Customers!$A:$C,3,FALSE()),"")</f>
        <v>31</v>
      </c>
      <c r="Q716" t="str">
        <f t="shared" si="11"/>
        <v>Jun-24</v>
      </c>
      <c r="R716">
        <f>IFERROR((VLOOKUP(D716,Products!$A:$E,5,FALSE())-VLOOKUP(D716,Products!$A:$E,4,FALSE()))/VLOOKUP(D716,Products!$A:$E,5,FALSE()),"")</f>
        <v>0.296875</v>
      </c>
    </row>
    <row r="717" spans="1:18" x14ac:dyDescent="0.3">
      <c r="A717" s="22" t="s">
        <v>1881</v>
      </c>
      <c r="B717" s="23">
        <v>45431</v>
      </c>
      <c r="C717" s="22" t="s">
        <v>1882</v>
      </c>
      <c r="D717" s="22" t="s">
        <v>265</v>
      </c>
      <c r="E717" s="22" t="s">
        <v>1883</v>
      </c>
      <c r="F717" s="24">
        <v>2</v>
      </c>
      <c r="G717" s="24">
        <v>3730</v>
      </c>
      <c r="H717" s="24">
        <v>29.9</v>
      </c>
      <c r="I717" s="24">
        <v>5229.46</v>
      </c>
      <c r="J717" s="22" t="s">
        <v>104</v>
      </c>
      <c r="K717" s="22" t="s">
        <v>111</v>
      </c>
      <c r="L717" t="str">
        <f>VLOOKUP(D717,Products!A:F,3,FALSE())</f>
        <v>Home</v>
      </c>
      <c r="M717" t="str">
        <f>VLOOKUP(C717,Customers!A:F,5,FALSE())</f>
        <v>Corporate</v>
      </c>
      <c r="O717" t="str">
        <f>IFERROR(VLOOKUP(E717,Sales_Reps!$A:$C,3,FALSE()),"")</f>
        <v/>
      </c>
      <c r="P717">
        <f>IFERROR(VLOOKUP(C717,Customers!$A:$C,3,FALSE()),"")</f>
        <v>49</v>
      </c>
      <c r="Q717" t="str">
        <f t="shared" si="11"/>
        <v>May-24</v>
      </c>
      <c r="R717">
        <f>IFERROR((VLOOKUP(D717,Products!$A:$E,5,FALSE())-VLOOKUP(D717,Products!$A:$E,4,FALSE()))/VLOOKUP(D717,Products!$A:$E,5,FALSE()),"")</f>
        <v>0.42761394101876676</v>
      </c>
    </row>
    <row r="718" spans="1:18" x14ac:dyDescent="0.3">
      <c r="A718" s="22" t="s">
        <v>1884</v>
      </c>
      <c r="B718" s="23">
        <v>45592</v>
      </c>
      <c r="C718" s="22" t="s">
        <v>462</v>
      </c>
      <c r="D718" s="22" t="s">
        <v>132</v>
      </c>
      <c r="E718" s="22" t="s">
        <v>1885</v>
      </c>
      <c r="F718" s="24">
        <v>9</v>
      </c>
      <c r="G718" s="24">
        <v>960</v>
      </c>
      <c r="H718" s="24">
        <v>1.9</v>
      </c>
      <c r="I718" s="24">
        <v>8475.84</v>
      </c>
      <c r="J718" s="22" t="s">
        <v>104</v>
      </c>
      <c r="K718" s="22" t="s">
        <v>111</v>
      </c>
      <c r="L718" t="str">
        <f>VLOOKUP(D718,Products!A:F,3,FALSE())</f>
        <v>Sports</v>
      </c>
      <c r="M718" t="str">
        <f>VLOOKUP(C718,Customers!A:F,5,FALSE())</f>
        <v>SMB</v>
      </c>
      <c r="O718" t="str">
        <f>IFERROR(VLOOKUP(E718,Sales_Reps!$A:$C,3,FALSE()),"")</f>
        <v/>
      </c>
      <c r="P718">
        <f>IFERROR(VLOOKUP(C718,Customers!$A:$C,3,FALSE()),"")</f>
        <v>62</v>
      </c>
      <c r="Q718" t="str">
        <f t="shared" si="11"/>
        <v>Oct-24</v>
      </c>
      <c r="R718">
        <f>IFERROR((VLOOKUP(D718,Products!$A:$E,5,FALSE())-VLOOKUP(D718,Products!$A:$E,4,FALSE()))/VLOOKUP(D718,Products!$A:$E,5,FALSE()),"")</f>
        <v>0.265625</v>
      </c>
    </row>
    <row r="719" spans="1:18" x14ac:dyDescent="0.3">
      <c r="A719" s="22" t="s">
        <v>1886</v>
      </c>
      <c r="B719" s="23">
        <v>45454</v>
      </c>
      <c r="C719" s="22" t="s">
        <v>166</v>
      </c>
      <c r="D719" s="22" t="s">
        <v>591</v>
      </c>
      <c r="E719" s="22" t="s">
        <v>1887</v>
      </c>
      <c r="F719" s="24">
        <v>2</v>
      </c>
      <c r="G719" s="24">
        <v>3450</v>
      </c>
      <c r="H719" s="24">
        <v>22.9</v>
      </c>
      <c r="I719" s="24">
        <v>5319.9</v>
      </c>
      <c r="J719" s="22" t="s">
        <v>110</v>
      </c>
      <c r="K719" s="22" t="s">
        <v>105</v>
      </c>
      <c r="L719" t="str">
        <f>VLOOKUP(D719,Products!A:F,3,FALSE())</f>
        <v>Apparel</v>
      </c>
      <c r="M719" t="str">
        <f>VLOOKUP(C719,Customers!A:F,5,FALSE())</f>
        <v>Retail</v>
      </c>
      <c r="O719" t="str">
        <f>IFERROR(VLOOKUP(E719,Sales_Reps!$A:$C,3,FALSE()),"")</f>
        <v/>
      </c>
      <c r="P719">
        <f>IFERROR(VLOOKUP(C719,Customers!$A:$C,3,FALSE()),"")</f>
        <v>38</v>
      </c>
      <c r="Q719" t="str">
        <f t="shared" si="11"/>
        <v>Jun-24</v>
      </c>
      <c r="R719">
        <f>IFERROR((VLOOKUP(D719,Products!$A:$E,5,FALSE())-VLOOKUP(D719,Products!$A:$E,4,FALSE()))/VLOOKUP(D719,Products!$A:$E,5,FALSE()),"")</f>
        <v>0.49333333333333335</v>
      </c>
    </row>
    <row r="720" spans="1:18" x14ac:dyDescent="0.3">
      <c r="A720" s="22" t="s">
        <v>1888</v>
      </c>
      <c r="B720" s="23">
        <v>45616</v>
      </c>
      <c r="C720" s="22" t="s">
        <v>1253</v>
      </c>
      <c r="D720" s="22" t="s">
        <v>449</v>
      </c>
      <c r="E720" s="22" t="s">
        <v>1889</v>
      </c>
      <c r="F720" s="24">
        <v>3</v>
      </c>
      <c r="G720" s="24">
        <v>5410</v>
      </c>
      <c r="H720" s="24">
        <v>15.5</v>
      </c>
      <c r="I720" s="24">
        <v>13714.35</v>
      </c>
      <c r="J720" s="22" t="s">
        <v>104</v>
      </c>
      <c r="K720" s="22" t="s">
        <v>134</v>
      </c>
      <c r="L720" t="str">
        <f>VLOOKUP(D720,Products!A:F,3,FALSE())</f>
        <v>Sports</v>
      </c>
      <c r="M720" t="str">
        <f>VLOOKUP(C720,Customers!A:F,5,FALSE())</f>
        <v>Corporate</v>
      </c>
      <c r="O720" t="str">
        <f>IFERROR(VLOOKUP(E720,Sales_Reps!$A:$C,3,FALSE()),"")</f>
        <v/>
      </c>
      <c r="P720">
        <f>IFERROR(VLOOKUP(C720,Customers!$A:$C,3,FALSE()),"")</f>
        <v>41</v>
      </c>
      <c r="Q720" t="str">
        <f t="shared" si="11"/>
        <v>Nov-24</v>
      </c>
      <c r="R720">
        <f>IFERROR((VLOOKUP(D720,Products!$A:$E,5,FALSE())-VLOOKUP(D720,Products!$A:$E,4,FALSE()))/VLOOKUP(D720,Products!$A:$E,5,FALSE()),"")</f>
        <v>0.58133086876155271</v>
      </c>
    </row>
    <row r="721" spans="1:18" x14ac:dyDescent="0.3">
      <c r="A721" s="22" t="s">
        <v>1890</v>
      </c>
      <c r="B721" s="23">
        <v>45448</v>
      </c>
      <c r="C721" s="22" t="s">
        <v>673</v>
      </c>
      <c r="D721" s="22" t="s">
        <v>205</v>
      </c>
      <c r="E721" s="22" t="s">
        <v>1891</v>
      </c>
      <c r="F721" s="24">
        <v>8</v>
      </c>
      <c r="G721" s="24">
        <v>3350</v>
      </c>
      <c r="H721" s="24">
        <v>18.399999999999999</v>
      </c>
      <c r="I721" s="24">
        <v>21868.799999999999</v>
      </c>
      <c r="J721" s="22" t="s">
        <v>104</v>
      </c>
      <c r="K721" s="22" t="s">
        <v>151</v>
      </c>
      <c r="L721" t="str">
        <f>VLOOKUP(D721,Products!A:F,3,FALSE())</f>
        <v>Beauty</v>
      </c>
      <c r="M721" t="str">
        <f>VLOOKUP(C721,Customers!A:F,5,FALSE())</f>
        <v>SMB</v>
      </c>
      <c r="O721" t="str">
        <f>IFERROR(VLOOKUP(E721,Sales_Reps!$A:$C,3,FALSE()),"")</f>
        <v/>
      </c>
      <c r="P721">
        <f>IFERROR(VLOOKUP(C721,Customers!$A:$C,3,FALSE()),"")</f>
        <v>65</v>
      </c>
      <c r="Q721" t="str">
        <f t="shared" si="11"/>
        <v>Jun-24</v>
      </c>
      <c r="R721">
        <f>IFERROR((VLOOKUP(D721,Products!$A:$E,5,FALSE())-VLOOKUP(D721,Products!$A:$E,4,FALSE()))/VLOOKUP(D721,Products!$A:$E,5,FALSE()),"")</f>
        <v>0.48417910447761192</v>
      </c>
    </row>
    <row r="722" spans="1:18" x14ac:dyDescent="0.3">
      <c r="A722" s="22" t="s">
        <v>1892</v>
      </c>
      <c r="B722" s="23">
        <v>45611</v>
      </c>
      <c r="C722" s="22" t="s">
        <v>261</v>
      </c>
      <c r="D722" s="22" t="s">
        <v>197</v>
      </c>
      <c r="E722" s="22" t="s">
        <v>1893</v>
      </c>
      <c r="F722" s="24">
        <v>5</v>
      </c>
      <c r="G722" s="24">
        <v>2720</v>
      </c>
      <c r="H722" s="24">
        <v>17.3</v>
      </c>
      <c r="I722" s="24">
        <v>11247.2</v>
      </c>
      <c r="J722" s="22" t="s">
        <v>159</v>
      </c>
      <c r="K722" s="22" t="s">
        <v>116</v>
      </c>
      <c r="L722" t="str">
        <f>VLOOKUP(D722,Products!A:F,3,FALSE())</f>
        <v>Apparel</v>
      </c>
      <c r="M722" t="str">
        <f>VLOOKUP(C722,Customers!A:F,5,FALSE())</f>
        <v>Retail</v>
      </c>
      <c r="O722" t="str">
        <f>IFERROR(VLOOKUP(E722,Sales_Reps!$A:$C,3,FALSE()),"")</f>
        <v/>
      </c>
      <c r="P722">
        <f>IFERROR(VLOOKUP(C722,Customers!$A:$C,3,FALSE()),"")</f>
        <v>53</v>
      </c>
      <c r="Q722" t="str">
        <f t="shared" si="11"/>
        <v>Nov-24</v>
      </c>
      <c r="R722">
        <f>IFERROR((VLOOKUP(D722,Products!$A:$E,5,FALSE())-VLOOKUP(D722,Products!$A:$E,4,FALSE()))/VLOOKUP(D722,Products!$A:$E,5,FALSE()),"")</f>
        <v>0.2786764705882353</v>
      </c>
    </row>
    <row r="723" spans="1:18" x14ac:dyDescent="0.3">
      <c r="A723" s="22" t="s">
        <v>1894</v>
      </c>
      <c r="B723" s="23">
        <v>45403</v>
      </c>
      <c r="C723" s="22" t="s">
        <v>131</v>
      </c>
      <c r="D723" s="22" t="s">
        <v>119</v>
      </c>
      <c r="E723" s="22" t="s">
        <v>1895</v>
      </c>
      <c r="F723" s="24">
        <v>8</v>
      </c>
      <c r="G723" s="24">
        <v>3660</v>
      </c>
      <c r="H723" s="24">
        <v>28.8</v>
      </c>
      <c r="I723" s="24">
        <v>20847.36</v>
      </c>
      <c r="J723" s="22" t="s">
        <v>104</v>
      </c>
      <c r="K723" s="22" t="s">
        <v>134</v>
      </c>
      <c r="L723" t="str">
        <f>VLOOKUP(D723,Products!A:F,3,FALSE())</f>
        <v>Grocery</v>
      </c>
      <c r="M723" t="str">
        <f>VLOOKUP(C723,Customers!A:F,5,FALSE())</f>
        <v>Retail</v>
      </c>
      <c r="O723" t="str">
        <f>IFERROR(VLOOKUP(E723,Sales_Reps!$A:$C,3,FALSE()),"")</f>
        <v/>
      </c>
      <c r="P723">
        <f>IFERROR(VLOOKUP(C723,Customers!$A:$C,3,FALSE()),"")</f>
        <v>27</v>
      </c>
      <c r="Q723" t="str">
        <f t="shared" si="11"/>
        <v>Apr-24</v>
      </c>
      <c r="R723">
        <f>IFERROR((VLOOKUP(D723,Products!$A:$E,5,FALSE())-VLOOKUP(D723,Products!$A:$E,4,FALSE()))/VLOOKUP(D723,Products!$A:$E,5,FALSE()),"")</f>
        <v>0.39508196721311473</v>
      </c>
    </row>
    <row r="724" spans="1:18" x14ac:dyDescent="0.3">
      <c r="A724" s="22" t="s">
        <v>1896</v>
      </c>
      <c r="B724" s="23">
        <v>45530</v>
      </c>
      <c r="C724" s="22" t="s">
        <v>805</v>
      </c>
      <c r="D724" s="22" t="s">
        <v>338</v>
      </c>
      <c r="E724" s="22" t="s">
        <v>1897</v>
      </c>
      <c r="F724" s="24">
        <v>6</v>
      </c>
      <c r="G724" s="24">
        <v>300</v>
      </c>
      <c r="H724" s="24">
        <v>23.9</v>
      </c>
      <c r="I724" s="24">
        <v>1369.8</v>
      </c>
      <c r="J724" s="22" t="s">
        <v>159</v>
      </c>
      <c r="K724" s="22" t="s">
        <v>111</v>
      </c>
      <c r="L724" t="str">
        <f>VLOOKUP(D724,Products!A:F,3,FALSE())</f>
        <v>Electronics</v>
      </c>
      <c r="M724" t="str">
        <f>VLOOKUP(C724,Customers!A:F,5,FALSE())</f>
        <v>SMB</v>
      </c>
      <c r="O724" t="str">
        <f>IFERROR(VLOOKUP(E724,Sales_Reps!$A:$C,3,FALSE()),"")</f>
        <v/>
      </c>
      <c r="P724">
        <f>IFERROR(VLOOKUP(C724,Customers!$A:$C,3,FALSE()),"")</f>
        <v>59</v>
      </c>
      <c r="Q724" t="str">
        <f t="shared" si="11"/>
        <v>Aug-24</v>
      </c>
      <c r="R724">
        <f>IFERROR((VLOOKUP(D724,Products!$A:$E,5,FALSE())-VLOOKUP(D724,Products!$A:$E,4,FALSE()))/VLOOKUP(D724,Products!$A:$E,5,FALSE()),"")</f>
        <v>0.57333333333333336</v>
      </c>
    </row>
    <row r="725" spans="1:18" x14ac:dyDescent="0.3">
      <c r="A725" s="22" t="s">
        <v>1898</v>
      </c>
      <c r="B725" s="23">
        <v>45548</v>
      </c>
      <c r="C725" s="22" t="s">
        <v>288</v>
      </c>
      <c r="D725" s="22" t="s">
        <v>488</v>
      </c>
      <c r="E725" s="22" t="s">
        <v>1899</v>
      </c>
      <c r="F725" s="24">
        <v>3</v>
      </c>
      <c r="G725" s="24">
        <v>2290</v>
      </c>
      <c r="H725" s="24">
        <v>2.4</v>
      </c>
      <c r="I725" s="24">
        <v>6705.12</v>
      </c>
      <c r="J725" s="22" t="s">
        <v>104</v>
      </c>
      <c r="K725" s="22" t="s">
        <v>111</v>
      </c>
      <c r="L725" t="str">
        <f>VLOOKUP(D725,Products!A:F,3,FALSE())</f>
        <v>Beauty</v>
      </c>
      <c r="M725" t="str">
        <f>VLOOKUP(C725,Customers!A:F,5,FALSE())</f>
        <v>Corporate</v>
      </c>
      <c r="O725" t="str">
        <f>IFERROR(VLOOKUP(E725,Sales_Reps!$A:$C,3,FALSE()),"")</f>
        <v/>
      </c>
      <c r="P725">
        <f>IFERROR(VLOOKUP(C725,Customers!$A:$C,3,FALSE()),"")</f>
        <v>52</v>
      </c>
      <c r="Q725" t="str">
        <f t="shared" si="11"/>
        <v>Sep-24</v>
      </c>
      <c r="R725">
        <f>IFERROR((VLOOKUP(D725,Products!$A:$E,5,FALSE())-VLOOKUP(D725,Products!$A:$E,4,FALSE()))/VLOOKUP(D725,Products!$A:$E,5,FALSE()),"")</f>
        <v>0.46768558951965067</v>
      </c>
    </row>
    <row r="726" spans="1:18" x14ac:dyDescent="0.3">
      <c r="A726" s="22" t="s">
        <v>1900</v>
      </c>
      <c r="B726" s="23">
        <v>45403</v>
      </c>
      <c r="C726" s="22" t="s">
        <v>1513</v>
      </c>
      <c r="D726" s="22" t="s">
        <v>212</v>
      </c>
      <c r="E726" s="22" t="s">
        <v>1901</v>
      </c>
      <c r="F726" s="24">
        <v>6</v>
      </c>
      <c r="G726" s="24">
        <v>4880</v>
      </c>
      <c r="H726" s="24">
        <v>11.1</v>
      </c>
      <c r="I726" s="24">
        <v>26029.919999999998</v>
      </c>
      <c r="J726" s="22" t="s">
        <v>110</v>
      </c>
      <c r="K726" s="22" t="s">
        <v>111</v>
      </c>
      <c r="L726" t="str">
        <f>VLOOKUP(D726,Products!A:F,3,FALSE())</f>
        <v>Beauty</v>
      </c>
      <c r="M726" t="str">
        <f>VLOOKUP(C726,Customers!A:F,5,FALSE())</f>
        <v>Corporate</v>
      </c>
      <c r="O726" t="str">
        <f>IFERROR(VLOOKUP(E726,Sales_Reps!$A:$C,3,FALSE()),"")</f>
        <v/>
      </c>
      <c r="P726">
        <f>IFERROR(VLOOKUP(C726,Customers!$A:$C,3,FALSE()),"")</f>
        <v>52</v>
      </c>
      <c r="Q726" t="str">
        <f t="shared" si="11"/>
        <v>Apr-24</v>
      </c>
      <c r="R726">
        <f>IFERROR((VLOOKUP(D726,Products!$A:$E,5,FALSE())-VLOOKUP(D726,Products!$A:$E,4,FALSE()))/VLOOKUP(D726,Products!$A:$E,5,FALSE()),"")</f>
        <v>0.43278688524590164</v>
      </c>
    </row>
    <row r="727" spans="1:18" x14ac:dyDescent="0.3">
      <c r="A727" s="22" t="s">
        <v>1902</v>
      </c>
      <c r="B727" s="23">
        <v>45562</v>
      </c>
      <c r="C727" s="22" t="s">
        <v>1903</v>
      </c>
      <c r="D727" s="22" t="s">
        <v>338</v>
      </c>
      <c r="E727" s="22" t="s">
        <v>1904</v>
      </c>
      <c r="F727" s="24">
        <v>5</v>
      </c>
      <c r="G727" s="24">
        <v>300</v>
      </c>
      <c r="H727" s="24">
        <v>19.399999999999999</v>
      </c>
      <c r="I727" s="24">
        <v>1209</v>
      </c>
      <c r="J727" s="22" t="s">
        <v>104</v>
      </c>
      <c r="K727" s="22" t="s">
        <v>134</v>
      </c>
      <c r="L727" t="str">
        <f>VLOOKUP(D727,Products!A:F,3,FALSE())</f>
        <v>Electronics</v>
      </c>
      <c r="M727" t="str">
        <f>VLOOKUP(C727,Customers!A:F,5,FALSE())</f>
        <v>Retail</v>
      </c>
      <c r="O727" t="str">
        <f>IFERROR(VLOOKUP(E727,Sales_Reps!$A:$C,3,FALSE()),"")</f>
        <v/>
      </c>
      <c r="P727">
        <f>IFERROR(VLOOKUP(C727,Customers!$A:$C,3,FALSE()),"")</f>
        <v>36</v>
      </c>
      <c r="Q727" t="str">
        <f t="shared" si="11"/>
        <v>Sep-24</v>
      </c>
      <c r="R727">
        <f>IFERROR((VLOOKUP(D727,Products!$A:$E,5,FALSE())-VLOOKUP(D727,Products!$A:$E,4,FALSE()))/VLOOKUP(D727,Products!$A:$E,5,FALSE()),"")</f>
        <v>0.57333333333333336</v>
      </c>
    </row>
    <row r="728" spans="1:18" x14ac:dyDescent="0.3">
      <c r="A728" s="22" t="s">
        <v>1905</v>
      </c>
      <c r="B728" s="23">
        <v>45635</v>
      </c>
      <c r="C728" s="22" t="s">
        <v>1906</v>
      </c>
      <c r="D728" s="22" t="s">
        <v>334</v>
      </c>
      <c r="E728" s="22" t="s">
        <v>1907</v>
      </c>
      <c r="F728" s="24">
        <v>3</v>
      </c>
      <c r="G728" s="24">
        <v>2660</v>
      </c>
      <c r="H728" s="24">
        <v>28.5</v>
      </c>
      <c r="I728" s="24">
        <v>5705.7</v>
      </c>
      <c r="J728" s="22" t="s">
        <v>110</v>
      </c>
      <c r="K728" s="22" t="s">
        <v>151</v>
      </c>
      <c r="L728" t="str">
        <f>VLOOKUP(D728,Products!A:F,3,FALSE())</f>
        <v>Electronics</v>
      </c>
      <c r="M728" t="str">
        <f>VLOOKUP(C728,Customers!A:F,5,FALSE())</f>
        <v>SMB</v>
      </c>
      <c r="O728" t="str">
        <f>IFERROR(VLOOKUP(E728,Sales_Reps!$A:$C,3,FALSE()),"")</f>
        <v/>
      </c>
      <c r="P728">
        <f>IFERROR(VLOOKUP(C728,Customers!$A:$C,3,FALSE()),"")</f>
        <v>25</v>
      </c>
      <c r="Q728" t="str">
        <f t="shared" si="11"/>
        <v>Dec-24</v>
      </c>
      <c r="R728">
        <f>IFERROR((VLOOKUP(D728,Products!$A:$E,5,FALSE())-VLOOKUP(D728,Products!$A:$E,4,FALSE()))/VLOOKUP(D728,Products!$A:$E,5,FALSE()),"")</f>
        <v>0.52669172932330832</v>
      </c>
    </row>
    <row r="729" spans="1:18" x14ac:dyDescent="0.3">
      <c r="A729" s="22" t="s">
        <v>1908</v>
      </c>
      <c r="B729" s="23">
        <v>45434</v>
      </c>
      <c r="C729" s="22" t="s">
        <v>1243</v>
      </c>
      <c r="D729" s="22" t="s">
        <v>674</v>
      </c>
      <c r="E729" s="22" t="s">
        <v>1909</v>
      </c>
      <c r="F729" s="24">
        <v>7</v>
      </c>
      <c r="G729" s="24">
        <v>1090</v>
      </c>
      <c r="H729" s="24">
        <v>10.3</v>
      </c>
      <c r="I729" s="24">
        <v>6844.11</v>
      </c>
      <c r="J729" s="22" t="s">
        <v>104</v>
      </c>
      <c r="K729" s="22" t="s">
        <v>134</v>
      </c>
      <c r="L729" t="str">
        <f>VLOOKUP(D729,Products!A:F,3,FALSE())</f>
        <v>Home</v>
      </c>
      <c r="M729" t="str">
        <f>VLOOKUP(C729,Customers!A:F,5,FALSE())</f>
        <v>Retail</v>
      </c>
      <c r="O729" t="str">
        <f>IFERROR(VLOOKUP(E729,Sales_Reps!$A:$C,3,FALSE()),"")</f>
        <v/>
      </c>
      <c r="P729">
        <f>IFERROR(VLOOKUP(C729,Customers!$A:$C,3,FALSE()),"")</f>
        <v>52</v>
      </c>
      <c r="Q729" t="str">
        <f t="shared" si="11"/>
        <v>May-24</v>
      </c>
      <c r="R729">
        <f>IFERROR((VLOOKUP(D729,Products!$A:$E,5,FALSE())-VLOOKUP(D729,Products!$A:$E,4,FALSE()))/VLOOKUP(D729,Products!$A:$E,5,FALSE()),"")</f>
        <v>0.57431192660550456</v>
      </c>
    </row>
    <row r="730" spans="1:18" x14ac:dyDescent="0.3">
      <c r="A730" s="22" t="s">
        <v>1910</v>
      </c>
      <c r="B730" s="23">
        <v>45350</v>
      </c>
      <c r="C730" s="22" t="s">
        <v>648</v>
      </c>
      <c r="D730" s="22" t="s">
        <v>137</v>
      </c>
      <c r="E730" s="22" t="s">
        <v>1911</v>
      </c>
      <c r="F730" s="24">
        <v>9</v>
      </c>
      <c r="G730" s="24">
        <v>1430</v>
      </c>
      <c r="H730" s="24">
        <v>12.1</v>
      </c>
      <c r="I730" s="24">
        <v>11312.73</v>
      </c>
      <c r="J730" s="22" t="s">
        <v>159</v>
      </c>
      <c r="K730" s="22" t="s">
        <v>105</v>
      </c>
      <c r="L730" t="str">
        <f>VLOOKUP(D730,Products!A:F,3,FALSE())</f>
        <v>Electronics</v>
      </c>
      <c r="M730" t="str">
        <f>VLOOKUP(C730,Customers!A:F,5,FALSE())</f>
        <v>Corporate</v>
      </c>
      <c r="O730" t="str">
        <f>IFERROR(VLOOKUP(E730,Sales_Reps!$A:$C,3,FALSE()),"")</f>
        <v/>
      </c>
      <c r="P730">
        <f>IFERROR(VLOOKUP(C730,Customers!$A:$C,3,FALSE()),"")</f>
        <v>29</v>
      </c>
      <c r="Q730" t="str">
        <f t="shared" si="11"/>
        <v>Feb-24</v>
      </c>
      <c r="R730">
        <f>IFERROR((VLOOKUP(D730,Products!$A:$E,5,FALSE())-VLOOKUP(D730,Products!$A:$E,4,FALSE()))/VLOOKUP(D730,Products!$A:$E,5,FALSE()),"")</f>
        <v>0.39790209790209791</v>
      </c>
    </row>
    <row r="731" spans="1:18" x14ac:dyDescent="0.3">
      <c r="A731" s="22" t="s">
        <v>1912</v>
      </c>
      <c r="B731" s="23">
        <v>45344</v>
      </c>
      <c r="C731" s="22" t="s">
        <v>264</v>
      </c>
      <c r="D731" s="22" t="s">
        <v>153</v>
      </c>
      <c r="E731" s="22" t="s">
        <v>1913</v>
      </c>
      <c r="F731" s="24">
        <v>5</v>
      </c>
      <c r="G731" s="24">
        <v>2640</v>
      </c>
      <c r="H731" s="24">
        <v>26.8</v>
      </c>
      <c r="I731" s="24">
        <v>9662.4</v>
      </c>
      <c r="J731" s="22" t="s">
        <v>104</v>
      </c>
      <c r="K731" s="22" t="s">
        <v>111</v>
      </c>
      <c r="L731" t="str">
        <f>VLOOKUP(D731,Products!A:F,3,FALSE())</f>
        <v>Electronics</v>
      </c>
      <c r="M731" t="str">
        <f>VLOOKUP(C731,Customers!A:F,5,FALSE())</f>
        <v>Retail</v>
      </c>
      <c r="O731" t="str">
        <f>IFERROR(VLOOKUP(E731,Sales_Reps!$A:$C,3,FALSE()),"")</f>
        <v/>
      </c>
      <c r="P731">
        <f>IFERROR(VLOOKUP(C731,Customers!$A:$C,3,FALSE()),"")</f>
        <v>37</v>
      </c>
      <c r="Q731" t="str">
        <f t="shared" si="11"/>
        <v>Feb-24</v>
      </c>
      <c r="R731">
        <f>IFERROR((VLOOKUP(D731,Products!$A:$E,5,FALSE())-VLOOKUP(D731,Products!$A:$E,4,FALSE()))/VLOOKUP(D731,Products!$A:$E,5,FALSE()),"")</f>
        <v>0.56477272727272732</v>
      </c>
    </row>
    <row r="732" spans="1:18" x14ac:dyDescent="0.3">
      <c r="A732" s="22" t="s">
        <v>1914</v>
      </c>
      <c r="B732" s="23">
        <v>45498</v>
      </c>
      <c r="C732" s="22" t="s">
        <v>1012</v>
      </c>
      <c r="D732" s="22" t="s">
        <v>197</v>
      </c>
      <c r="E732" s="22" t="s">
        <v>1915</v>
      </c>
      <c r="F732" s="24">
        <v>8</v>
      </c>
      <c r="G732" s="24">
        <v>2720</v>
      </c>
      <c r="H732" s="24">
        <v>17.5</v>
      </c>
      <c r="I732" s="24">
        <v>17952</v>
      </c>
      <c r="J732" s="22" t="s">
        <v>104</v>
      </c>
      <c r="K732" s="22" t="s">
        <v>105</v>
      </c>
      <c r="L732" t="str">
        <f>VLOOKUP(D732,Products!A:F,3,FALSE())</f>
        <v>Apparel</v>
      </c>
      <c r="M732" t="str">
        <f>VLOOKUP(C732,Customers!A:F,5,FALSE())</f>
        <v>Corporate</v>
      </c>
      <c r="O732" t="str">
        <f>IFERROR(VLOOKUP(E732,Sales_Reps!$A:$C,3,FALSE()),"")</f>
        <v/>
      </c>
      <c r="P732">
        <f>IFERROR(VLOOKUP(C732,Customers!$A:$C,3,FALSE()),"")</f>
        <v>52</v>
      </c>
      <c r="Q732" t="str">
        <f t="shared" si="11"/>
        <v>Jul-24</v>
      </c>
      <c r="R732">
        <f>IFERROR((VLOOKUP(D732,Products!$A:$E,5,FALSE())-VLOOKUP(D732,Products!$A:$E,4,FALSE()))/VLOOKUP(D732,Products!$A:$E,5,FALSE()),"")</f>
        <v>0.2786764705882353</v>
      </c>
    </row>
    <row r="733" spans="1:18" x14ac:dyDescent="0.3">
      <c r="A733" s="22" t="s">
        <v>1916</v>
      </c>
      <c r="B733" s="23">
        <v>45520</v>
      </c>
      <c r="C733" s="22" t="s">
        <v>640</v>
      </c>
      <c r="D733" s="22" t="s">
        <v>279</v>
      </c>
      <c r="E733" s="22" t="s">
        <v>1917</v>
      </c>
      <c r="F733" s="24">
        <v>9</v>
      </c>
      <c r="G733" s="24">
        <v>3640</v>
      </c>
      <c r="H733" s="24">
        <v>3.6</v>
      </c>
      <c r="I733" s="24">
        <v>31580.639999999999</v>
      </c>
      <c r="J733" s="22" t="s">
        <v>104</v>
      </c>
      <c r="K733" s="22" t="s">
        <v>151</v>
      </c>
      <c r="L733" t="str">
        <f>VLOOKUP(D733,Products!A:F,3,FALSE())</f>
        <v>Apparel</v>
      </c>
      <c r="M733" t="str">
        <f>VLOOKUP(C733,Customers!A:F,5,FALSE())</f>
        <v>Corporate</v>
      </c>
      <c r="O733" t="str">
        <f>IFERROR(VLOOKUP(E733,Sales_Reps!$A:$C,3,FALSE()),"")</f>
        <v/>
      </c>
      <c r="P733">
        <f>IFERROR(VLOOKUP(C733,Customers!$A:$C,3,FALSE()),"")</f>
        <v>52</v>
      </c>
      <c r="Q733" t="str">
        <f t="shared" si="11"/>
        <v>Aug-24</v>
      </c>
      <c r="R733">
        <f>IFERROR((VLOOKUP(D733,Products!$A:$E,5,FALSE())-VLOOKUP(D733,Products!$A:$E,4,FALSE()))/VLOOKUP(D733,Products!$A:$E,5,FALSE()),"")</f>
        <v>0.28269230769230769</v>
      </c>
    </row>
    <row r="734" spans="1:18" x14ac:dyDescent="0.3">
      <c r="A734" s="22" t="s">
        <v>1918</v>
      </c>
      <c r="B734" s="23">
        <v>45554</v>
      </c>
      <c r="C734" s="22" t="s">
        <v>1919</v>
      </c>
      <c r="D734" s="22" t="s">
        <v>283</v>
      </c>
      <c r="E734" s="22" t="s">
        <v>1920</v>
      </c>
      <c r="F734" s="24">
        <v>7</v>
      </c>
      <c r="G734" s="24">
        <v>6080</v>
      </c>
      <c r="H734" s="24">
        <v>23.6</v>
      </c>
      <c r="I734" s="24">
        <v>32515.84</v>
      </c>
      <c r="J734" s="22" t="s">
        <v>104</v>
      </c>
      <c r="K734" s="22" t="s">
        <v>129</v>
      </c>
      <c r="L734" t="str">
        <f>VLOOKUP(D734,Products!A:F,3,FALSE())</f>
        <v>Beauty</v>
      </c>
      <c r="M734" t="e">
        <f>VLOOKUP(C734,Customers!A:F,5,FALSE())</f>
        <v>#N/A</v>
      </c>
      <c r="O734" t="str">
        <f>IFERROR(VLOOKUP(E734,Sales_Reps!$A:$C,3,FALSE()),"")</f>
        <v/>
      </c>
      <c r="P734" t="str">
        <f>IFERROR(VLOOKUP(C734,Customers!$A:$C,3,FALSE()),"")</f>
        <v/>
      </c>
      <c r="Q734" t="str">
        <f t="shared" si="11"/>
        <v>Sep-24</v>
      </c>
      <c r="R734">
        <f>IFERROR((VLOOKUP(D734,Products!$A:$E,5,FALSE())-VLOOKUP(D734,Products!$A:$E,4,FALSE()))/VLOOKUP(D734,Products!$A:$E,5,FALSE()),"")</f>
        <v>0.56957236842105263</v>
      </c>
    </row>
    <row r="735" spans="1:18" x14ac:dyDescent="0.3">
      <c r="A735" s="22" t="s">
        <v>1921</v>
      </c>
      <c r="B735" s="23">
        <v>45584</v>
      </c>
      <c r="C735" s="22" t="s">
        <v>940</v>
      </c>
      <c r="D735" s="22" t="s">
        <v>455</v>
      </c>
      <c r="E735" s="22" t="s">
        <v>1922</v>
      </c>
      <c r="F735" s="24">
        <v>7</v>
      </c>
      <c r="G735" s="24">
        <v>5330</v>
      </c>
      <c r="H735" s="24">
        <v>19.7</v>
      </c>
      <c r="I735" s="24">
        <v>29959.93</v>
      </c>
      <c r="J735" s="22" t="s">
        <v>159</v>
      </c>
      <c r="K735" s="22" t="s">
        <v>111</v>
      </c>
      <c r="L735" t="str">
        <f>VLOOKUP(D735,Products!A:F,3,FALSE())</f>
        <v>Electronics</v>
      </c>
      <c r="M735" t="str">
        <f>VLOOKUP(C735,Customers!A:F,5,FALSE())</f>
        <v>Corporate</v>
      </c>
      <c r="O735" t="str">
        <f>IFERROR(VLOOKUP(E735,Sales_Reps!$A:$C,3,FALSE()),"")</f>
        <v/>
      </c>
      <c r="P735">
        <f>IFERROR(VLOOKUP(C735,Customers!$A:$C,3,FALSE()),"")</f>
        <v>41</v>
      </c>
      <c r="Q735" t="str">
        <f t="shared" si="11"/>
        <v>Oct-24</v>
      </c>
      <c r="R735">
        <f>IFERROR((VLOOKUP(D735,Products!$A:$E,5,FALSE())-VLOOKUP(D735,Products!$A:$E,4,FALSE()))/VLOOKUP(D735,Products!$A:$E,5,FALSE()),"")</f>
        <v>0.54878048780487809</v>
      </c>
    </row>
    <row r="736" spans="1:18" x14ac:dyDescent="0.3">
      <c r="A736" s="22" t="s">
        <v>1923</v>
      </c>
      <c r="B736" s="23">
        <v>45593</v>
      </c>
      <c r="C736" s="22" t="s">
        <v>690</v>
      </c>
      <c r="D736" s="22" t="s">
        <v>323</v>
      </c>
      <c r="E736" s="22" t="s">
        <v>1924</v>
      </c>
      <c r="F736" s="24">
        <v>5</v>
      </c>
      <c r="G736" s="24">
        <v>4610</v>
      </c>
      <c r="H736" s="24">
        <v>3.6</v>
      </c>
      <c r="I736" s="24">
        <v>22220.2</v>
      </c>
      <c r="J736" s="22" t="s">
        <v>104</v>
      </c>
      <c r="K736" s="22" t="s">
        <v>151</v>
      </c>
      <c r="L736" t="str">
        <f>VLOOKUP(D736,Products!A:F,3,FALSE())</f>
        <v>Home</v>
      </c>
      <c r="M736" t="str">
        <f>VLOOKUP(C736,Customers!A:F,5,FALSE())</f>
        <v>Retail</v>
      </c>
      <c r="O736" t="str">
        <f>IFERROR(VLOOKUP(E736,Sales_Reps!$A:$C,3,FALSE()),"")</f>
        <v/>
      </c>
      <c r="P736">
        <f>IFERROR(VLOOKUP(C736,Customers!$A:$C,3,FALSE()),"")</f>
        <v>61</v>
      </c>
      <c r="Q736" t="str">
        <f t="shared" si="11"/>
        <v>Oct-24</v>
      </c>
      <c r="R736">
        <f>IFERROR((VLOOKUP(D736,Products!$A:$E,5,FALSE())-VLOOKUP(D736,Products!$A:$E,4,FALSE()))/VLOOKUP(D736,Products!$A:$E,5,FALSE()),"")</f>
        <v>0.59869848156182215</v>
      </c>
    </row>
    <row r="737" spans="1:18" x14ac:dyDescent="0.3">
      <c r="A737" s="22" t="s">
        <v>1925</v>
      </c>
      <c r="B737" s="23">
        <v>45302</v>
      </c>
      <c r="C737" s="22" t="s">
        <v>1192</v>
      </c>
      <c r="D737" s="22" t="s">
        <v>455</v>
      </c>
      <c r="E737" s="22" t="s">
        <v>1926</v>
      </c>
      <c r="F737" s="24">
        <v>9</v>
      </c>
      <c r="G737" s="24">
        <v>5330</v>
      </c>
      <c r="H737" s="24">
        <v>22.9</v>
      </c>
      <c r="I737" s="24">
        <v>36984.870000000003</v>
      </c>
      <c r="J737" s="22" t="s">
        <v>104</v>
      </c>
      <c r="K737" s="22" t="s">
        <v>105</v>
      </c>
      <c r="L737" t="str">
        <f>VLOOKUP(D737,Products!A:F,3,FALSE())</f>
        <v>Electronics</v>
      </c>
      <c r="M737" t="str">
        <f>VLOOKUP(C737,Customers!A:F,5,FALSE())</f>
        <v>Retail</v>
      </c>
      <c r="O737" t="str">
        <f>IFERROR(VLOOKUP(E737,Sales_Reps!$A:$C,3,FALSE()),"")</f>
        <v/>
      </c>
      <c r="P737">
        <f>IFERROR(VLOOKUP(C737,Customers!$A:$C,3,FALSE()),"")</f>
        <v>36</v>
      </c>
      <c r="Q737" t="str">
        <f t="shared" si="11"/>
        <v>Jan-24</v>
      </c>
      <c r="R737">
        <f>IFERROR((VLOOKUP(D737,Products!$A:$E,5,FALSE())-VLOOKUP(D737,Products!$A:$E,4,FALSE()))/VLOOKUP(D737,Products!$A:$E,5,FALSE()),"")</f>
        <v>0.54878048780487809</v>
      </c>
    </row>
    <row r="738" spans="1:18" x14ac:dyDescent="0.3">
      <c r="A738" s="22" t="s">
        <v>1927</v>
      </c>
      <c r="B738" s="23">
        <v>45440</v>
      </c>
      <c r="C738" s="22" t="s">
        <v>645</v>
      </c>
      <c r="D738" s="22" t="s">
        <v>283</v>
      </c>
      <c r="E738" s="22" t="s">
        <v>1928</v>
      </c>
      <c r="F738" s="24">
        <v>5</v>
      </c>
      <c r="G738" s="24">
        <v>6080</v>
      </c>
      <c r="H738" s="24">
        <v>6</v>
      </c>
      <c r="I738" s="24">
        <v>28576</v>
      </c>
      <c r="J738" s="22" t="s">
        <v>164</v>
      </c>
      <c r="K738" s="22" t="s">
        <v>105</v>
      </c>
      <c r="L738" t="str">
        <f>VLOOKUP(D738,Products!A:F,3,FALSE())</f>
        <v>Beauty</v>
      </c>
      <c r="M738" t="str">
        <f>VLOOKUP(C738,Customers!A:F,5,FALSE())</f>
        <v>Retail</v>
      </c>
      <c r="O738" t="str">
        <f>IFERROR(VLOOKUP(E738,Sales_Reps!$A:$C,3,FALSE()),"")</f>
        <v/>
      </c>
      <c r="P738">
        <f>IFERROR(VLOOKUP(C738,Customers!$A:$C,3,FALSE()),"")</f>
        <v>49</v>
      </c>
      <c r="Q738" t="str">
        <f t="shared" si="11"/>
        <v>May-24</v>
      </c>
      <c r="R738">
        <f>IFERROR((VLOOKUP(D738,Products!$A:$E,5,FALSE())-VLOOKUP(D738,Products!$A:$E,4,FALSE()))/VLOOKUP(D738,Products!$A:$E,5,FALSE()),"")</f>
        <v>0.56957236842105263</v>
      </c>
    </row>
    <row r="739" spans="1:18" x14ac:dyDescent="0.3">
      <c r="A739" s="22" t="s">
        <v>1929</v>
      </c>
      <c r="B739" s="23">
        <v>45299</v>
      </c>
      <c r="C739" s="22" t="s">
        <v>1027</v>
      </c>
      <c r="D739" s="22" t="s">
        <v>279</v>
      </c>
      <c r="E739" s="22" t="s">
        <v>1930</v>
      </c>
      <c r="F739" s="24">
        <v>7</v>
      </c>
      <c r="G739" s="24">
        <v>3640</v>
      </c>
      <c r="H739" s="24">
        <v>5.5</v>
      </c>
      <c r="I739" s="24">
        <v>24078.6</v>
      </c>
      <c r="J739" s="22" t="s">
        <v>104</v>
      </c>
      <c r="K739" s="22" t="s">
        <v>129</v>
      </c>
      <c r="L739" t="str">
        <f>VLOOKUP(D739,Products!A:F,3,FALSE())</f>
        <v>Apparel</v>
      </c>
      <c r="M739" t="str">
        <f>VLOOKUP(C739,Customers!A:F,5,FALSE())</f>
        <v>Corporate</v>
      </c>
      <c r="O739" t="str">
        <f>IFERROR(VLOOKUP(E739,Sales_Reps!$A:$C,3,FALSE()),"")</f>
        <v/>
      </c>
      <c r="P739">
        <f>IFERROR(VLOOKUP(C739,Customers!$A:$C,3,FALSE()),"")</f>
        <v>51</v>
      </c>
      <c r="Q739" t="str">
        <f t="shared" si="11"/>
        <v>Jan-24</v>
      </c>
      <c r="R739">
        <f>IFERROR((VLOOKUP(D739,Products!$A:$E,5,FALSE())-VLOOKUP(D739,Products!$A:$E,4,FALSE()))/VLOOKUP(D739,Products!$A:$E,5,FALSE()),"")</f>
        <v>0.28269230769230769</v>
      </c>
    </row>
    <row r="740" spans="1:18" x14ac:dyDescent="0.3">
      <c r="A740" s="22" t="s">
        <v>1931</v>
      </c>
      <c r="B740" s="23">
        <v>45336</v>
      </c>
      <c r="C740" s="22" t="s">
        <v>623</v>
      </c>
      <c r="D740" s="22" t="s">
        <v>334</v>
      </c>
      <c r="E740" s="22" t="s">
        <v>1932</v>
      </c>
      <c r="F740" s="24">
        <v>1</v>
      </c>
      <c r="G740" s="24">
        <v>2660</v>
      </c>
      <c r="H740" s="24">
        <v>6.1</v>
      </c>
      <c r="I740" s="24">
        <v>2497.7399999999998</v>
      </c>
      <c r="J740" s="22" t="s">
        <v>159</v>
      </c>
      <c r="K740" s="22" t="s">
        <v>111</v>
      </c>
      <c r="L740" t="str">
        <f>VLOOKUP(D740,Products!A:F,3,FALSE())</f>
        <v>Electronics</v>
      </c>
      <c r="M740" t="str">
        <f>VLOOKUP(C740,Customers!A:F,5,FALSE())</f>
        <v>Corporate</v>
      </c>
      <c r="O740" t="str">
        <f>IFERROR(VLOOKUP(E740,Sales_Reps!$A:$C,3,FALSE()),"")</f>
        <v/>
      </c>
      <c r="P740">
        <f>IFERROR(VLOOKUP(C740,Customers!$A:$C,3,FALSE()),"")</f>
        <v>35</v>
      </c>
      <c r="Q740" t="str">
        <f t="shared" si="11"/>
        <v>Feb-24</v>
      </c>
      <c r="R740">
        <f>IFERROR((VLOOKUP(D740,Products!$A:$E,5,FALSE())-VLOOKUP(D740,Products!$A:$E,4,FALSE()))/VLOOKUP(D740,Products!$A:$E,5,FALSE()),"")</f>
        <v>0.52669172932330832</v>
      </c>
    </row>
    <row r="741" spans="1:18" x14ac:dyDescent="0.3">
      <c r="A741" s="22" t="s">
        <v>1933</v>
      </c>
      <c r="B741" s="23">
        <v>45300</v>
      </c>
      <c r="C741" s="22" t="s">
        <v>274</v>
      </c>
      <c r="D741" s="22" t="s">
        <v>205</v>
      </c>
      <c r="E741" s="22" t="s">
        <v>1934</v>
      </c>
      <c r="F741" s="24">
        <v>8</v>
      </c>
      <c r="G741" s="24">
        <v>3350</v>
      </c>
      <c r="H741" s="24">
        <v>19.5</v>
      </c>
      <c r="I741" s="24">
        <v>21574</v>
      </c>
      <c r="J741" s="22" t="s">
        <v>104</v>
      </c>
      <c r="K741" s="22" t="s">
        <v>105</v>
      </c>
      <c r="L741" t="str">
        <f>VLOOKUP(D741,Products!A:F,3,FALSE())</f>
        <v>Beauty</v>
      </c>
      <c r="M741" t="str">
        <f>VLOOKUP(C741,Customers!A:F,5,FALSE())</f>
        <v>SMB</v>
      </c>
      <c r="O741" t="str">
        <f>IFERROR(VLOOKUP(E741,Sales_Reps!$A:$C,3,FALSE()),"")</f>
        <v/>
      </c>
      <c r="P741">
        <f>IFERROR(VLOOKUP(C741,Customers!$A:$C,3,FALSE()),"")</f>
        <v>29</v>
      </c>
      <c r="Q741" t="str">
        <f t="shared" si="11"/>
        <v>Jan-24</v>
      </c>
      <c r="R741">
        <f>IFERROR((VLOOKUP(D741,Products!$A:$E,5,FALSE())-VLOOKUP(D741,Products!$A:$E,4,FALSE()))/VLOOKUP(D741,Products!$A:$E,5,FALSE()),"")</f>
        <v>0.48417910447761192</v>
      </c>
    </row>
    <row r="742" spans="1:18" x14ac:dyDescent="0.3">
      <c r="A742" s="22" t="s">
        <v>1935</v>
      </c>
      <c r="B742" s="23">
        <v>45648</v>
      </c>
      <c r="C742" s="22" t="s">
        <v>101</v>
      </c>
      <c r="D742" s="22" t="s">
        <v>323</v>
      </c>
      <c r="E742" s="22" t="s">
        <v>1936</v>
      </c>
      <c r="F742" s="24">
        <v>4</v>
      </c>
      <c r="G742" s="24">
        <v>4610</v>
      </c>
      <c r="H742" s="24">
        <v>24</v>
      </c>
      <c r="I742" s="24">
        <v>14014.4</v>
      </c>
      <c r="J742" s="22" t="s">
        <v>104</v>
      </c>
      <c r="K742" s="22" t="s">
        <v>105</v>
      </c>
      <c r="L742" t="str">
        <f>VLOOKUP(D742,Products!A:F,3,FALSE())</f>
        <v>Home</v>
      </c>
      <c r="M742" t="str">
        <f>VLOOKUP(C742,Customers!A:F,5,FALSE())</f>
        <v>SMB</v>
      </c>
      <c r="O742" t="str">
        <f>IFERROR(VLOOKUP(E742,Sales_Reps!$A:$C,3,FALSE()),"")</f>
        <v/>
      </c>
      <c r="P742">
        <f>IFERROR(VLOOKUP(C742,Customers!$A:$C,3,FALSE()),"")</f>
        <v>44</v>
      </c>
      <c r="Q742" t="str">
        <f t="shared" si="11"/>
        <v>Dec-24</v>
      </c>
      <c r="R742">
        <f>IFERROR((VLOOKUP(D742,Products!$A:$E,5,FALSE())-VLOOKUP(D742,Products!$A:$E,4,FALSE()))/VLOOKUP(D742,Products!$A:$E,5,FALSE()),"")</f>
        <v>0.59869848156182215</v>
      </c>
    </row>
    <row r="743" spans="1:18" x14ac:dyDescent="0.3">
      <c r="A743" s="22" t="s">
        <v>1937</v>
      </c>
      <c r="B743" s="23">
        <v>45293</v>
      </c>
      <c r="C743" s="22" t="s">
        <v>802</v>
      </c>
      <c r="D743" s="22" t="s">
        <v>224</v>
      </c>
      <c r="E743" s="22" t="s">
        <v>1938</v>
      </c>
      <c r="F743" s="24">
        <v>7</v>
      </c>
      <c r="G743" s="24">
        <v>2860</v>
      </c>
      <c r="H743" s="24">
        <v>23.2</v>
      </c>
      <c r="I743" s="24">
        <v>15375.36</v>
      </c>
      <c r="J743" s="22" t="s">
        <v>104</v>
      </c>
      <c r="K743" s="22" t="s">
        <v>105</v>
      </c>
      <c r="L743" t="str">
        <f>VLOOKUP(D743,Products!A:F,3,FALSE())</f>
        <v>Sports</v>
      </c>
      <c r="M743" t="str">
        <f>VLOOKUP(C743,Customers!A:F,5,FALSE())</f>
        <v>Corporate</v>
      </c>
      <c r="O743" t="str">
        <f>IFERROR(VLOOKUP(E743,Sales_Reps!$A:$C,3,FALSE()),"")</f>
        <v/>
      </c>
      <c r="P743">
        <f>IFERROR(VLOOKUP(C743,Customers!$A:$C,3,FALSE()),"")</f>
        <v>40</v>
      </c>
      <c r="Q743" t="str">
        <f t="shared" si="11"/>
        <v>Jan-24</v>
      </c>
      <c r="R743">
        <f>IFERROR((VLOOKUP(D743,Products!$A:$E,5,FALSE())-VLOOKUP(D743,Products!$A:$E,4,FALSE()))/VLOOKUP(D743,Products!$A:$E,5,FALSE()),"")</f>
        <v>0.29090909090909089</v>
      </c>
    </row>
    <row r="744" spans="1:18" x14ac:dyDescent="0.3">
      <c r="A744" s="22" t="s">
        <v>1939</v>
      </c>
      <c r="B744" s="23">
        <v>45644</v>
      </c>
      <c r="C744" s="22" t="s">
        <v>1192</v>
      </c>
      <c r="D744" s="22" t="s">
        <v>205</v>
      </c>
      <c r="E744" s="22" t="s">
        <v>1940</v>
      </c>
      <c r="F744" s="24">
        <v>7</v>
      </c>
      <c r="G744" s="24">
        <v>3350</v>
      </c>
      <c r="H744" s="24">
        <v>10.6</v>
      </c>
      <c r="I744" s="24">
        <v>20964.3</v>
      </c>
      <c r="J744" s="22" t="s">
        <v>110</v>
      </c>
      <c r="K744" s="22" t="s">
        <v>105</v>
      </c>
      <c r="L744" t="str">
        <f>VLOOKUP(D744,Products!A:F,3,FALSE())</f>
        <v>Beauty</v>
      </c>
      <c r="M744" t="str">
        <f>VLOOKUP(C744,Customers!A:F,5,FALSE())</f>
        <v>Retail</v>
      </c>
      <c r="O744" t="str">
        <f>IFERROR(VLOOKUP(E744,Sales_Reps!$A:$C,3,FALSE()),"")</f>
        <v/>
      </c>
      <c r="P744">
        <f>IFERROR(VLOOKUP(C744,Customers!$A:$C,3,FALSE()),"")</f>
        <v>36</v>
      </c>
      <c r="Q744" t="str">
        <f t="shared" si="11"/>
        <v>Dec-24</v>
      </c>
      <c r="R744">
        <f>IFERROR((VLOOKUP(D744,Products!$A:$E,5,FALSE())-VLOOKUP(D744,Products!$A:$E,4,FALSE()))/VLOOKUP(D744,Products!$A:$E,5,FALSE()),"")</f>
        <v>0.48417910447761192</v>
      </c>
    </row>
    <row r="745" spans="1:18" x14ac:dyDescent="0.3">
      <c r="A745" s="22" t="s">
        <v>1941</v>
      </c>
      <c r="B745" s="23">
        <v>45589</v>
      </c>
      <c r="C745" s="22" t="s">
        <v>403</v>
      </c>
      <c r="D745" s="22" t="s">
        <v>419</v>
      </c>
      <c r="E745" s="22" t="s">
        <v>1942</v>
      </c>
      <c r="F745" s="24">
        <v>5</v>
      </c>
      <c r="G745" s="24">
        <v>2210</v>
      </c>
      <c r="H745" s="24">
        <v>12.1</v>
      </c>
      <c r="I745" s="24">
        <v>9712.9500000000007</v>
      </c>
      <c r="J745" s="22" t="s">
        <v>104</v>
      </c>
      <c r="K745" s="22" t="s">
        <v>111</v>
      </c>
      <c r="L745" t="str">
        <f>VLOOKUP(D745,Products!A:F,3,FALSE())</f>
        <v>Grocery</v>
      </c>
      <c r="M745" t="str">
        <f>VLOOKUP(C745,Customers!A:F,5,FALSE())</f>
        <v>Retail</v>
      </c>
      <c r="O745" t="str">
        <f>IFERROR(VLOOKUP(E745,Sales_Reps!$A:$C,3,FALSE()),"")</f>
        <v/>
      </c>
      <c r="P745">
        <f>IFERROR(VLOOKUP(C745,Customers!$A:$C,3,FALSE()),"")</f>
        <v>28</v>
      </c>
      <c r="Q745" t="str">
        <f t="shared" si="11"/>
        <v>Oct-24</v>
      </c>
      <c r="R745">
        <f>IFERROR((VLOOKUP(D745,Products!$A:$E,5,FALSE())-VLOOKUP(D745,Products!$A:$E,4,FALSE()))/VLOOKUP(D745,Products!$A:$E,5,FALSE()),"")</f>
        <v>0.54298642533936647</v>
      </c>
    </row>
    <row r="746" spans="1:18" x14ac:dyDescent="0.3">
      <c r="A746" s="22" t="s">
        <v>1943</v>
      </c>
      <c r="B746" s="23">
        <v>45329</v>
      </c>
      <c r="C746" s="22" t="s">
        <v>604</v>
      </c>
      <c r="D746" s="22" t="s">
        <v>178</v>
      </c>
      <c r="E746" s="22" t="s">
        <v>1944</v>
      </c>
      <c r="F746" s="24">
        <v>1</v>
      </c>
      <c r="G746" s="24">
        <v>3450</v>
      </c>
      <c r="H746" s="24">
        <v>19.100000000000001</v>
      </c>
      <c r="I746" s="24">
        <v>2791.05</v>
      </c>
      <c r="J746" s="22" t="s">
        <v>110</v>
      </c>
      <c r="K746" s="22" t="s">
        <v>105</v>
      </c>
      <c r="L746" t="str">
        <f>VLOOKUP(D746,Products!A:F,3,FALSE())</f>
        <v>Beauty</v>
      </c>
      <c r="M746" t="str">
        <f>VLOOKUP(C746,Customers!A:F,5,FALSE())</f>
        <v>Corporate</v>
      </c>
      <c r="O746" t="str">
        <f>IFERROR(VLOOKUP(E746,Sales_Reps!$A:$C,3,FALSE()),"")</f>
        <v/>
      </c>
      <c r="P746">
        <f>IFERROR(VLOOKUP(C746,Customers!$A:$C,3,FALSE()),"")</f>
        <v>37</v>
      </c>
      <c r="Q746" t="str">
        <f t="shared" si="11"/>
        <v>Feb-24</v>
      </c>
      <c r="R746">
        <f>IFERROR((VLOOKUP(D746,Products!$A:$E,5,FALSE())-VLOOKUP(D746,Products!$A:$E,4,FALSE()))/VLOOKUP(D746,Products!$A:$E,5,FALSE()),"")</f>
        <v>0.29855072463768118</v>
      </c>
    </row>
    <row r="747" spans="1:18" x14ac:dyDescent="0.3">
      <c r="A747" s="22" t="s">
        <v>1945</v>
      </c>
      <c r="B747" s="23">
        <v>45587</v>
      </c>
      <c r="C747" s="22" t="s">
        <v>734</v>
      </c>
      <c r="D747" s="22" t="s">
        <v>220</v>
      </c>
      <c r="E747" s="22" t="s">
        <v>1946</v>
      </c>
      <c r="F747" s="24">
        <v>5</v>
      </c>
      <c r="G747" s="24">
        <v>5100</v>
      </c>
      <c r="H747" s="24">
        <v>2.8</v>
      </c>
      <c r="I747" s="24">
        <v>24786</v>
      </c>
      <c r="J747" s="22" t="s">
        <v>104</v>
      </c>
      <c r="K747" s="22" t="s">
        <v>151</v>
      </c>
      <c r="L747" t="str">
        <f>VLOOKUP(D747,Products!A:F,3,FALSE())</f>
        <v>Beauty</v>
      </c>
      <c r="M747" t="str">
        <f>VLOOKUP(C747,Customers!A:F,5,FALSE())</f>
        <v>Retail</v>
      </c>
      <c r="O747" t="str">
        <f>IFERROR(VLOOKUP(E747,Sales_Reps!$A:$C,3,FALSE()),"")</f>
        <v/>
      </c>
      <c r="P747">
        <f>IFERROR(VLOOKUP(C747,Customers!$A:$C,3,FALSE()),"")</f>
        <v>38</v>
      </c>
      <c r="Q747" t="str">
        <f t="shared" si="11"/>
        <v>Oct-24</v>
      </c>
      <c r="R747">
        <f>IFERROR((VLOOKUP(D747,Products!$A:$E,5,FALSE())-VLOOKUP(D747,Products!$A:$E,4,FALSE()))/VLOOKUP(D747,Products!$A:$E,5,FALSE()),"")</f>
        <v>0.56137254901960787</v>
      </c>
    </row>
    <row r="748" spans="1:18" x14ac:dyDescent="0.3">
      <c r="A748" s="22" t="s">
        <v>1947</v>
      </c>
      <c r="B748" s="23">
        <v>45423</v>
      </c>
      <c r="C748" s="22" t="s">
        <v>361</v>
      </c>
      <c r="D748" s="22" t="s">
        <v>220</v>
      </c>
      <c r="E748" s="22" t="s">
        <v>1948</v>
      </c>
      <c r="F748" s="24">
        <v>9</v>
      </c>
      <c r="G748" s="24">
        <v>5100</v>
      </c>
      <c r="H748" s="24">
        <v>24.4</v>
      </c>
      <c r="I748" s="24">
        <v>34700.400000000001</v>
      </c>
      <c r="J748" s="22" t="s">
        <v>104</v>
      </c>
      <c r="K748" s="22" t="s">
        <v>151</v>
      </c>
      <c r="L748" t="str">
        <f>VLOOKUP(D748,Products!A:F,3,FALSE())</f>
        <v>Beauty</v>
      </c>
      <c r="M748" t="str">
        <f>VLOOKUP(C748,Customers!A:F,5,FALSE())</f>
        <v>Retail</v>
      </c>
      <c r="O748" t="str">
        <f>IFERROR(VLOOKUP(E748,Sales_Reps!$A:$C,3,FALSE()),"")</f>
        <v/>
      </c>
      <c r="P748">
        <f>IFERROR(VLOOKUP(C748,Customers!$A:$C,3,FALSE()),"")</f>
        <v>29</v>
      </c>
      <c r="Q748" t="str">
        <f t="shared" si="11"/>
        <v>May-24</v>
      </c>
      <c r="R748">
        <f>IFERROR((VLOOKUP(D748,Products!$A:$E,5,FALSE())-VLOOKUP(D748,Products!$A:$E,4,FALSE()))/VLOOKUP(D748,Products!$A:$E,5,FALSE()),"")</f>
        <v>0.56137254901960787</v>
      </c>
    </row>
    <row r="749" spans="1:18" x14ac:dyDescent="0.3">
      <c r="A749" s="22" t="s">
        <v>1949</v>
      </c>
      <c r="B749" s="23">
        <v>45568</v>
      </c>
      <c r="C749" s="22" t="s">
        <v>364</v>
      </c>
      <c r="D749" s="22" t="s">
        <v>234</v>
      </c>
      <c r="E749" s="22" t="s">
        <v>1950</v>
      </c>
      <c r="F749" s="24">
        <v>9</v>
      </c>
      <c r="G749" s="24">
        <v>660</v>
      </c>
      <c r="H749" s="24">
        <v>19.8</v>
      </c>
      <c r="I749" s="24">
        <v>4763.88</v>
      </c>
      <c r="J749" s="22" t="s">
        <v>104</v>
      </c>
      <c r="K749" s="22" t="s">
        <v>111</v>
      </c>
      <c r="L749" t="str">
        <f>VLOOKUP(D749,Products!A:F,3,FALSE())</f>
        <v>Home</v>
      </c>
      <c r="M749" t="str">
        <f>VLOOKUP(C749,Customers!A:F,5,FALSE())</f>
        <v>Retail</v>
      </c>
      <c r="O749" t="str">
        <f>IFERROR(VLOOKUP(E749,Sales_Reps!$A:$C,3,FALSE()),"")</f>
        <v/>
      </c>
      <c r="P749">
        <f>IFERROR(VLOOKUP(C749,Customers!$A:$C,3,FALSE()),"")</f>
        <v>41</v>
      </c>
      <c r="Q749" t="str">
        <f t="shared" si="11"/>
        <v>Oct-24</v>
      </c>
      <c r="R749">
        <f>IFERROR((VLOOKUP(D749,Products!$A:$E,5,FALSE())-VLOOKUP(D749,Products!$A:$E,4,FALSE()))/VLOOKUP(D749,Products!$A:$E,5,FALSE()),"")</f>
        <v>0.50151515151515147</v>
      </c>
    </row>
    <row r="750" spans="1:18" x14ac:dyDescent="0.3">
      <c r="A750" s="22" t="s">
        <v>1951</v>
      </c>
      <c r="B750" s="23">
        <v>45549</v>
      </c>
      <c r="C750" s="22" t="s">
        <v>1952</v>
      </c>
      <c r="D750" s="22" t="s">
        <v>315</v>
      </c>
      <c r="E750" s="22" t="s">
        <v>1953</v>
      </c>
      <c r="F750" s="24">
        <v>3</v>
      </c>
      <c r="G750" s="24">
        <v>4070</v>
      </c>
      <c r="H750" s="24">
        <v>27.1</v>
      </c>
      <c r="I750" s="24">
        <v>8901.09</v>
      </c>
      <c r="J750" s="22" t="s">
        <v>104</v>
      </c>
      <c r="K750" s="22" t="s">
        <v>129</v>
      </c>
      <c r="L750" t="str">
        <f>VLOOKUP(D750,Products!A:F,3,FALSE())</f>
        <v>Grocery</v>
      </c>
      <c r="M750" t="str">
        <f>VLOOKUP(C750,Customers!A:F,5,FALSE())</f>
        <v>Retail</v>
      </c>
      <c r="O750" t="str">
        <f>IFERROR(VLOOKUP(E750,Sales_Reps!$A:$C,3,FALSE()),"")</f>
        <v/>
      </c>
      <c r="P750">
        <f>IFERROR(VLOOKUP(C750,Customers!$A:$C,3,FALSE()),"")</f>
        <v>44</v>
      </c>
      <c r="Q750" t="str">
        <f t="shared" si="11"/>
        <v>Sep-24</v>
      </c>
      <c r="R750">
        <f>IFERROR((VLOOKUP(D750,Products!$A:$E,5,FALSE())-VLOOKUP(D750,Products!$A:$E,4,FALSE()))/VLOOKUP(D750,Products!$A:$E,5,FALSE()),"")</f>
        <v>0.50196560196560192</v>
      </c>
    </row>
    <row r="751" spans="1:18" x14ac:dyDescent="0.3">
      <c r="A751" s="22" t="s">
        <v>1954</v>
      </c>
      <c r="B751" s="23">
        <v>45504</v>
      </c>
      <c r="C751" s="22" t="s">
        <v>435</v>
      </c>
      <c r="D751" s="22" t="s">
        <v>442</v>
      </c>
      <c r="E751" s="22" t="s">
        <v>1955</v>
      </c>
      <c r="F751" s="24">
        <v>2</v>
      </c>
      <c r="G751" s="24">
        <v>2510</v>
      </c>
      <c r="H751" s="24">
        <v>29.1</v>
      </c>
      <c r="I751" s="24">
        <v>3559.18</v>
      </c>
      <c r="J751" s="22" t="s">
        <v>104</v>
      </c>
      <c r="K751" s="22" t="s">
        <v>129</v>
      </c>
      <c r="L751" t="str">
        <f>VLOOKUP(D751,Products!A:F,3,FALSE())</f>
        <v>Apparel</v>
      </c>
      <c r="M751" t="str">
        <f>VLOOKUP(C751,Customers!A:F,5,FALSE())</f>
        <v>SMB</v>
      </c>
      <c r="O751" t="str">
        <f>IFERROR(VLOOKUP(E751,Sales_Reps!$A:$C,3,FALSE()),"")</f>
        <v/>
      </c>
      <c r="P751">
        <f>IFERROR(VLOOKUP(C751,Customers!$A:$C,3,FALSE()),"")</f>
        <v>22</v>
      </c>
      <c r="Q751" t="str">
        <f t="shared" si="11"/>
        <v>Jul-24</v>
      </c>
      <c r="R751">
        <f>IFERROR((VLOOKUP(D751,Products!$A:$E,5,FALSE())-VLOOKUP(D751,Products!$A:$E,4,FALSE()))/VLOOKUP(D751,Products!$A:$E,5,FALSE()),"")</f>
        <v>0.57171314741035861</v>
      </c>
    </row>
    <row r="752" spans="1:18" x14ac:dyDescent="0.3">
      <c r="A752" s="22" t="s">
        <v>1956</v>
      </c>
      <c r="B752" s="23">
        <v>45449</v>
      </c>
      <c r="C752" s="22" t="s">
        <v>274</v>
      </c>
      <c r="D752" s="22" t="s">
        <v>162</v>
      </c>
      <c r="E752" s="22" t="s">
        <v>1957</v>
      </c>
      <c r="F752" s="24">
        <v>4</v>
      </c>
      <c r="G752" s="24">
        <v>3250</v>
      </c>
      <c r="H752" s="24">
        <v>21.1</v>
      </c>
      <c r="I752" s="24">
        <v>10257</v>
      </c>
      <c r="J752" s="22" t="s">
        <v>104</v>
      </c>
      <c r="K752" s="22" t="s">
        <v>105</v>
      </c>
      <c r="L752" t="str">
        <f>VLOOKUP(D752,Products!A:F,3,FALSE())</f>
        <v>Home</v>
      </c>
      <c r="M752" t="str">
        <f>VLOOKUP(C752,Customers!A:F,5,FALSE())</f>
        <v>SMB</v>
      </c>
      <c r="O752" t="str">
        <f>IFERROR(VLOOKUP(E752,Sales_Reps!$A:$C,3,FALSE()),"")</f>
        <v/>
      </c>
      <c r="P752">
        <f>IFERROR(VLOOKUP(C752,Customers!$A:$C,3,FALSE()),"")</f>
        <v>29</v>
      </c>
      <c r="Q752" t="str">
        <f t="shared" si="11"/>
        <v>Jun-24</v>
      </c>
      <c r="R752">
        <f>IFERROR((VLOOKUP(D752,Products!$A:$E,5,FALSE())-VLOOKUP(D752,Products!$A:$E,4,FALSE()))/VLOOKUP(D752,Products!$A:$E,5,FALSE()),"")</f>
        <v>0.52123076923076928</v>
      </c>
    </row>
    <row r="753" spans="1:18" x14ac:dyDescent="0.3">
      <c r="A753" s="22" t="s">
        <v>1958</v>
      </c>
      <c r="B753" s="23">
        <v>45600</v>
      </c>
      <c r="C753" s="22" t="s">
        <v>833</v>
      </c>
      <c r="D753" s="22" t="s">
        <v>127</v>
      </c>
      <c r="E753" s="22" t="s">
        <v>1959</v>
      </c>
      <c r="F753" s="24">
        <v>3</v>
      </c>
      <c r="G753" s="24">
        <v>370</v>
      </c>
      <c r="H753" s="24">
        <v>7.7</v>
      </c>
      <c r="I753" s="24">
        <v>1024.53</v>
      </c>
      <c r="J753" s="22" t="s">
        <v>104</v>
      </c>
      <c r="K753" s="22" t="s">
        <v>134</v>
      </c>
      <c r="L753" t="str">
        <f>VLOOKUP(D753,Products!A:F,3,FALSE())</f>
        <v>Home</v>
      </c>
      <c r="M753" t="str">
        <f>VLOOKUP(C753,Customers!A:F,5,FALSE())</f>
        <v>Corporate</v>
      </c>
      <c r="O753" t="str">
        <f>IFERROR(VLOOKUP(E753,Sales_Reps!$A:$C,3,FALSE()),"")</f>
        <v/>
      </c>
      <c r="P753">
        <f>IFERROR(VLOOKUP(C753,Customers!$A:$C,3,FALSE()),"")</f>
        <v>26</v>
      </c>
      <c r="Q753" t="str">
        <f t="shared" si="11"/>
        <v>Nov-24</v>
      </c>
      <c r="R753">
        <f>IFERROR((VLOOKUP(D753,Products!$A:$E,5,FALSE())-VLOOKUP(D753,Products!$A:$E,4,FALSE()))/VLOOKUP(D753,Products!$A:$E,5,FALSE()),"")</f>
        <v>0.22162162162162163</v>
      </c>
    </row>
    <row r="754" spans="1:18" x14ac:dyDescent="0.3">
      <c r="A754" s="22" t="s">
        <v>1960</v>
      </c>
      <c r="B754" s="23">
        <v>45479</v>
      </c>
      <c r="C754" s="22" t="s">
        <v>1497</v>
      </c>
      <c r="D754" s="22" t="s">
        <v>108</v>
      </c>
      <c r="E754" s="22" t="s">
        <v>1961</v>
      </c>
      <c r="F754" s="24">
        <v>10</v>
      </c>
      <c r="G754" s="24">
        <v>820</v>
      </c>
      <c r="H754" s="24">
        <v>3.5</v>
      </c>
      <c r="I754" s="24">
        <v>7913</v>
      </c>
      <c r="J754" s="22" t="s">
        <v>104</v>
      </c>
      <c r="K754" s="22" t="s">
        <v>105</v>
      </c>
      <c r="L754" t="str">
        <f>VLOOKUP(D754,Products!A:F,3,FALSE())</f>
        <v>Apparel</v>
      </c>
      <c r="M754" t="str">
        <f>VLOOKUP(C754,Customers!A:F,5,FALSE())</f>
        <v>Corporate</v>
      </c>
      <c r="O754" t="str">
        <f>IFERROR(VLOOKUP(E754,Sales_Reps!$A:$C,3,FALSE()),"")</f>
        <v/>
      </c>
      <c r="P754">
        <f>IFERROR(VLOOKUP(C754,Customers!$A:$C,3,FALSE()),"")</f>
        <v>29</v>
      </c>
      <c r="Q754" t="str">
        <f t="shared" si="11"/>
        <v>Jul-24</v>
      </c>
      <c r="R754">
        <f>IFERROR((VLOOKUP(D754,Products!$A:$E,5,FALSE())-VLOOKUP(D754,Products!$A:$E,4,FALSE()))/VLOOKUP(D754,Products!$A:$E,5,FALSE()),"")</f>
        <v>0.52317073170731709</v>
      </c>
    </row>
    <row r="755" spans="1:18" x14ac:dyDescent="0.3">
      <c r="A755" s="22" t="s">
        <v>1962</v>
      </c>
      <c r="B755" s="23">
        <v>45531</v>
      </c>
      <c r="C755" s="22" t="s">
        <v>554</v>
      </c>
      <c r="D755" s="22" t="s">
        <v>315</v>
      </c>
      <c r="E755" s="22" t="s">
        <v>1963</v>
      </c>
      <c r="F755" s="24">
        <v>4</v>
      </c>
      <c r="G755" s="24">
        <v>4070</v>
      </c>
      <c r="H755" s="24">
        <v>23.8</v>
      </c>
      <c r="I755" s="24">
        <v>12405.36</v>
      </c>
      <c r="J755" s="22" t="s">
        <v>104</v>
      </c>
      <c r="K755" s="22" t="s">
        <v>134</v>
      </c>
      <c r="L755" t="str">
        <f>VLOOKUP(D755,Products!A:F,3,FALSE())</f>
        <v>Grocery</v>
      </c>
      <c r="M755" t="str">
        <f>VLOOKUP(C755,Customers!A:F,5,FALSE())</f>
        <v>Retail</v>
      </c>
      <c r="O755" t="str">
        <f>IFERROR(VLOOKUP(E755,Sales_Reps!$A:$C,3,FALSE()),"")</f>
        <v/>
      </c>
      <c r="P755">
        <f>IFERROR(VLOOKUP(C755,Customers!$A:$C,3,FALSE()),"")</f>
        <v>55</v>
      </c>
      <c r="Q755" t="str">
        <f t="shared" si="11"/>
        <v>Aug-24</v>
      </c>
      <c r="R755">
        <f>IFERROR((VLOOKUP(D755,Products!$A:$E,5,FALSE())-VLOOKUP(D755,Products!$A:$E,4,FALSE()))/VLOOKUP(D755,Products!$A:$E,5,FALSE()),"")</f>
        <v>0.50196560196560192</v>
      </c>
    </row>
    <row r="756" spans="1:18" x14ac:dyDescent="0.3">
      <c r="A756" s="22" t="s">
        <v>1964</v>
      </c>
      <c r="B756" s="23">
        <v>45356</v>
      </c>
      <c r="C756" s="22" t="s">
        <v>1109</v>
      </c>
      <c r="D756" s="22" t="s">
        <v>459</v>
      </c>
      <c r="E756" s="22" t="s">
        <v>1965</v>
      </c>
      <c r="F756" s="24">
        <v>1</v>
      </c>
      <c r="G756" s="24">
        <v>2380</v>
      </c>
      <c r="H756" s="24">
        <v>19.600000000000001</v>
      </c>
      <c r="I756" s="24">
        <v>1913.52</v>
      </c>
      <c r="J756" s="22" t="s">
        <v>159</v>
      </c>
      <c r="K756" s="22" t="s">
        <v>134</v>
      </c>
      <c r="L756" t="str">
        <f>VLOOKUP(D756,Products!A:F,3,FALSE())</f>
        <v>Grocery</v>
      </c>
      <c r="M756" t="str">
        <f>VLOOKUP(C756,Customers!A:F,5,FALSE())</f>
        <v>Retail</v>
      </c>
      <c r="O756" t="str">
        <f>IFERROR(VLOOKUP(E756,Sales_Reps!$A:$C,3,FALSE()),"")</f>
        <v/>
      </c>
      <c r="P756">
        <f>IFERROR(VLOOKUP(C756,Customers!$A:$C,3,FALSE()),"")</f>
        <v>29</v>
      </c>
      <c r="Q756" t="str">
        <f t="shared" si="11"/>
        <v>Mar-24</v>
      </c>
      <c r="R756">
        <f>IFERROR((VLOOKUP(D756,Products!$A:$E,5,FALSE())-VLOOKUP(D756,Products!$A:$E,4,FALSE()))/VLOOKUP(D756,Products!$A:$E,5,FALSE()),"")</f>
        <v>0.50336134453781511</v>
      </c>
    </row>
    <row r="757" spans="1:18" x14ac:dyDescent="0.3">
      <c r="A757" s="22" t="s">
        <v>1966</v>
      </c>
      <c r="B757" s="23">
        <v>45553</v>
      </c>
      <c r="C757" s="22" t="s">
        <v>1447</v>
      </c>
      <c r="D757" s="22" t="s">
        <v>141</v>
      </c>
      <c r="E757" s="22" t="s">
        <v>1967</v>
      </c>
      <c r="F757" s="24">
        <v>3</v>
      </c>
      <c r="G757" s="24">
        <v>5490</v>
      </c>
      <c r="H757" s="24">
        <v>2.5</v>
      </c>
      <c r="I757" s="24">
        <v>16058.25</v>
      </c>
      <c r="J757" s="22" t="s">
        <v>104</v>
      </c>
      <c r="K757" s="22" t="s">
        <v>105</v>
      </c>
      <c r="L757" t="str">
        <f>VLOOKUP(D757,Products!A:F,3,FALSE())</f>
        <v>Home</v>
      </c>
      <c r="M757" t="str">
        <f>VLOOKUP(C757,Customers!A:F,5,FALSE())</f>
        <v>Retail</v>
      </c>
      <c r="O757" t="str">
        <f>IFERROR(VLOOKUP(E757,Sales_Reps!$A:$C,3,FALSE()),"")</f>
        <v/>
      </c>
      <c r="P757">
        <f>IFERROR(VLOOKUP(C757,Customers!$A:$C,3,FALSE()),"")</f>
        <v>65</v>
      </c>
      <c r="Q757" t="str">
        <f t="shared" si="11"/>
        <v>Sep-24</v>
      </c>
      <c r="R757">
        <f>IFERROR((VLOOKUP(D757,Products!$A:$E,5,FALSE())-VLOOKUP(D757,Products!$A:$E,4,FALSE()))/VLOOKUP(D757,Products!$A:$E,5,FALSE()),"")</f>
        <v>0.53570127504553733</v>
      </c>
    </row>
    <row r="758" spans="1:18" x14ac:dyDescent="0.3">
      <c r="A758" s="22" t="s">
        <v>1968</v>
      </c>
      <c r="B758" s="23">
        <v>45492</v>
      </c>
      <c r="C758" s="22" t="s">
        <v>416</v>
      </c>
      <c r="D758" s="22" t="s">
        <v>279</v>
      </c>
      <c r="E758" s="22" t="s">
        <v>1969</v>
      </c>
      <c r="F758" s="24">
        <v>3</v>
      </c>
      <c r="G758" s="24">
        <v>3640</v>
      </c>
      <c r="H758" s="24">
        <v>23.3</v>
      </c>
      <c r="I758" s="24">
        <v>8375.64</v>
      </c>
      <c r="J758" s="22" t="s">
        <v>104</v>
      </c>
      <c r="K758" s="22" t="s">
        <v>129</v>
      </c>
      <c r="L758" t="str">
        <f>VLOOKUP(D758,Products!A:F,3,FALSE())</f>
        <v>Apparel</v>
      </c>
      <c r="M758" t="str">
        <f>VLOOKUP(C758,Customers!A:F,5,FALSE())</f>
        <v>Retail</v>
      </c>
      <c r="O758" t="str">
        <f>IFERROR(VLOOKUP(E758,Sales_Reps!$A:$C,3,FALSE()),"")</f>
        <v/>
      </c>
      <c r="P758">
        <f>IFERROR(VLOOKUP(C758,Customers!$A:$C,3,FALSE()),"")</f>
        <v>49</v>
      </c>
      <c r="Q758" t="str">
        <f t="shared" si="11"/>
        <v>Jul-24</v>
      </c>
      <c r="R758">
        <f>IFERROR((VLOOKUP(D758,Products!$A:$E,5,FALSE())-VLOOKUP(D758,Products!$A:$E,4,FALSE()))/VLOOKUP(D758,Products!$A:$E,5,FALSE()),"")</f>
        <v>0.28269230769230769</v>
      </c>
    </row>
    <row r="759" spans="1:18" x14ac:dyDescent="0.3">
      <c r="A759" s="22" t="s">
        <v>1970</v>
      </c>
      <c r="B759" s="23">
        <v>45388</v>
      </c>
      <c r="C759" s="22" t="s">
        <v>517</v>
      </c>
      <c r="D759" s="22" t="s">
        <v>323</v>
      </c>
      <c r="E759" s="22" t="s">
        <v>1971</v>
      </c>
      <c r="F759" s="24">
        <v>2</v>
      </c>
      <c r="G759" s="24">
        <v>4610</v>
      </c>
      <c r="H759" s="24">
        <v>5</v>
      </c>
      <c r="I759" s="24">
        <v>8759</v>
      </c>
      <c r="J759" s="22" t="s">
        <v>110</v>
      </c>
      <c r="K759" s="22" t="s">
        <v>111</v>
      </c>
      <c r="L759" t="str">
        <f>VLOOKUP(D759,Products!A:F,3,FALSE())</f>
        <v>Home</v>
      </c>
      <c r="M759" t="str">
        <f>VLOOKUP(C759,Customers!A:F,5,FALSE())</f>
        <v>Corporate</v>
      </c>
      <c r="O759" t="str">
        <f>IFERROR(VLOOKUP(E759,Sales_Reps!$A:$C,3,FALSE()),"")</f>
        <v/>
      </c>
      <c r="P759">
        <f>IFERROR(VLOOKUP(C759,Customers!$A:$C,3,FALSE()),"")</f>
        <v>24</v>
      </c>
      <c r="Q759" t="str">
        <f t="shared" si="11"/>
        <v>Apr-24</v>
      </c>
      <c r="R759">
        <f>IFERROR((VLOOKUP(D759,Products!$A:$E,5,FALSE())-VLOOKUP(D759,Products!$A:$E,4,FALSE()))/VLOOKUP(D759,Products!$A:$E,5,FALSE()),"")</f>
        <v>0.59869848156182215</v>
      </c>
    </row>
    <row r="760" spans="1:18" x14ac:dyDescent="0.3">
      <c r="A760" s="22" t="s">
        <v>1972</v>
      </c>
      <c r="B760" s="23">
        <v>45369</v>
      </c>
      <c r="C760" s="22" t="s">
        <v>682</v>
      </c>
      <c r="D760" s="22" t="s">
        <v>171</v>
      </c>
      <c r="E760" s="22" t="s">
        <v>1973</v>
      </c>
      <c r="F760" s="24">
        <v>8</v>
      </c>
      <c r="G760" s="24">
        <v>2400</v>
      </c>
      <c r="H760" s="24">
        <v>10</v>
      </c>
      <c r="I760" s="24">
        <v>17280</v>
      </c>
      <c r="J760" s="22" t="s">
        <v>110</v>
      </c>
      <c r="K760" s="22" t="s">
        <v>105</v>
      </c>
      <c r="L760" t="str">
        <f>VLOOKUP(D760,Products!A:F,3,FALSE())</f>
        <v>Sports</v>
      </c>
      <c r="M760" t="str">
        <f>VLOOKUP(C760,Customers!A:F,5,FALSE())</f>
        <v>Retail</v>
      </c>
      <c r="O760" t="str">
        <f>IFERROR(VLOOKUP(E760,Sales_Reps!$A:$C,3,FALSE()),"")</f>
        <v/>
      </c>
      <c r="P760">
        <f>IFERROR(VLOOKUP(C760,Customers!$A:$C,3,FALSE()),"")</f>
        <v>59</v>
      </c>
      <c r="Q760" t="str">
        <f t="shared" si="11"/>
        <v>Mar-24</v>
      </c>
      <c r="R760">
        <f>IFERROR((VLOOKUP(D760,Products!$A:$E,5,FALSE())-VLOOKUP(D760,Products!$A:$E,4,FALSE()))/VLOOKUP(D760,Products!$A:$E,5,FALSE()),"")</f>
        <v>0.59416666666666662</v>
      </c>
    </row>
    <row r="761" spans="1:18" x14ac:dyDescent="0.3">
      <c r="A761" s="22" t="s">
        <v>1974</v>
      </c>
      <c r="B761" s="23">
        <v>45597</v>
      </c>
      <c r="C761" s="22" t="s">
        <v>505</v>
      </c>
      <c r="D761" s="22" t="s">
        <v>205</v>
      </c>
      <c r="E761" s="22" t="s">
        <v>1975</v>
      </c>
      <c r="F761" s="24">
        <v>7</v>
      </c>
      <c r="G761" s="24">
        <v>3350</v>
      </c>
      <c r="H761" s="24">
        <v>23.7</v>
      </c>
      <c r="I761" s="24">
        <v>17892.349999999999</v>
      </c>
      <c r="J761" s="22" t="s">
        <v>104</v>
      </c>
      <c r="K761" s="22" t="s">
        <v>116</v>
      </c>
      <c r="L761" t="str">
        <f>VLOOKUP(D761,Products!A:F,3,FALSE())</f>
        <v>Beauty</v>
      </c>
      <c r="M761" t="str">
        <f>VLOOKUP(C761,Customers!A:F,5,FALSE())</f>
        <v>Retail</v>
      </c>
      <c r="O761" t="str">
        <f>IFERROR(VLOOKUP(E761,Sales_Reps!$A:$C,3,FALSE()),"")</f>
        <v/>
      </c>
      <c r="P761">
        <f>IFERROR(VLOOKUP(C761,Customers!$A:$C,3,FALSE()),"")</f>
        <v>30</v>
      </c>
      <c r="Q761" t="str">
        <f t="shared" si="11"/>
        <v>Nov-24</v>
      </c>
      <c r="R761">
        <f>IFERROR((VLOOKUP(D761,Products!$A:$E,5,FALSE())-VLOOKUP(D761,Products!$A:$E,4,FALSE()))/VLOOKUP(D761,Products!$A:$E,5,FALSE()),"")</f>
        <v>0.48417910447761192</v>
      </c>
    </row>
    <row r="762" spans="1:18" x14ac:dyDescent="0.3">
      <c r="A762" s="22" t="s">
        <v>1976</v>
      </c>
      <c r="B762" s="23">
        <v>45611</v>
      </c>
      <c r="C762" s="22" t="s">
        <v>928</v>
      </c>
      <c r="D762" s="22" t="s">
        <v>279</v>
      </c>
      <c r="E762" s="22" t="s">
        <v>1977</v>
      </c>
      <c r="F762" s="24">
        <v>4</v>
      </c>
      <c r="G762" s="24">
        <v>3640</v>
      </c>
      <c r="H762" s="24">
        <v>9.3000000000000007</v>
      </c>
      <c r="I762" s="24">
        <v>13205.92</v>
      </c>
      <c r="J762" s="22" t="s">
        <v>159</v>
      </c>
      <c r="K762" s="22" t="s">
        <v>151</v>
      </c>
      <c r="L762" t="str">
        <f>VLOOKUP(D762,Products!A:F,3,FALSE())</f>
        <v>Apparel</v>
      </c>
      <c r="M762" t="str">
        <f>VLOOKUP(C762,Customers!A:F,5,FALSE())</f>
        <v>Retail</v>
      </c>
      <c r="O762" t="str">
        <f>IFERROR(VLOOKUP(E762,Sales_Reps!$A:$C,3,FALSE()),"")</f>
        <v/>
      </c>
      <c r="P762">
        <f>IFERROR(VLOOKUP(C762,Customers!$A:$C,3,FALSE()),"")</f>
        <v>27</v>
      </c>
      <c r="Q762" t="str">
        <f t="shared" si="11"/>
        <v>Nov-24</v>
      </c>
      <c r="R762">
        <f>IFERROR((VLOOKUP(D762,Products!$A:$E,5,FALSE())-VLOOKUP(D762,Products!$A:$E,4,FALSE()))/VLOOKUP(D762,Products!$A:$E,5,FALSE()),"")</f>
        <v>0.28269230769230769</v>
      </c>
    </row>
    <row r="763" spans="1:18" x14ac:dyDescent="0.3">
      <c r="A763" s="22" t="s">
        <v>1978</v>
      </c>
      <c r="B763" s="23">
        <v>45579</v>
      </c>
      <c r="C763" s="22" t="s">
        <v>1979</v>
      </c>
      <c r="D763" s="22" t="s">
        <v>279</v>
      </c>
      <c r="E763" s="22" t="s">
        <v>1980</v>
      </c>
      <c r="F763" s="24">
        <v>9</v>
      </c>
      <c r="G763" s="24">
        <v>3640</v>
      </c>
      <c r="H763" s="24">
        <v>13.1</v>
      </c>
      <c r="I763" s="24">
        <v>28468.44</v>
      </c>
      <c r="J763" s="22" t="s">
        <v>110</v>
      </c>
      <c r="K763" s="22" t="s">
        <v>105</v>
      </c>
      <c r="L763" t="str">
        <f>VLOOKUP(D763,Products!A:F,3,FALSE())</f>
        <v>Apparel</v>
      </c>
      <c r="M763" t="str">
        <f>VLOOKUP(C763,Customers!A:F,5,FALSE())</f>
        <v>Retail</v>
      </c>
      <c r="O763" t="str">
        <f>IFERROR(VLOOKUP(E763,Sales_Reps!$A:$C,3,FALSE()),"")</f>
        <v/>
      </c>
      <c r="P763">
        <f>IFERROR(VLOOKUP(C763,Customers!$A:$C,3,FALSE()),"")</f>
        <v>42</v>
      </c>
      <c r="Q763" t="str">
        <f t="shared" si="11"/>
        <v>Oct-24</v>
      </c>
      <c r="R763">
        <f>IFERROR((VLOOKUP(D763,Products!$A:$E,5,FALSE())-VLOOKUP(D763,Products!$A:$E,4,FALSE()))/VLOOKUP(D763,Products!$A:$E,5,FALSE()),"")</f>
        <v>0.28269230769230769</v>
      </c>
    </row>
    <row r="764" spans="1:18" x14ac:dyDescent="0.3">
      <c r="A764" s="22" t="s">
        <v>1981</v>
      </c>
      <c r="B764" s="23">
        <v>45634</v>
      </c>
      <c r="C764" s="22" t="s">
        <v>196</v>
      </c>
      <c r="D764" s="22" t="s">
        <v>356</v>
      </c>
      <c r="E764" s="22" t="s">
        <v>1982</v>
      </c>
      <c r="F764" s="24">
        <v>2</v>
      </c>
      <c r="G764" s="24">
        <v>2030</v>
      </c>
      <c r="H764" s="24">
        <v>12.2</v>
      </c>
      <c r="I764" s="24">
        <v>3564.68</v>
      </c>
      <c r="J764" s="22" t="s">
        <v>104</v>
      </c>
      <c r="K764" s="22" t="s">
        <v>105</v>
      </c>
      <c r="L764" t="str">
        <f>VLOOKUP(D764,Products!A:F,3,FALSE())</f>
        <v>Home</v>
      </c>
      <c r="M764" t="str">
        <f>VLOOKUP(C764,Customers!A:F,5,FALSE())</f>
        <v>Retail</v>
      </c>
      <c r="O764" t="str">
        <f>IFERROR(VLOOKUP(E764,Sales_Reps!$A:$C,3,FALSE()),"")</f>
        <v/>
      </c>
      <c r="P764">
        <f>IFERROR(VLOOKUP(C764,Customers!$A:$C,3,FALSE()),"")</f>
        <v>50</v>
      </c>
      <c r="Q764" t="str">
        <f t="shared" si="11"/>
        <v>Dec-24</v>
      </c>
      <c r="R764">
        <f>IFERROR((VLOOKUP(D764,Products!$A:$E,5,FALSE())-VLOOKUP(D764,Products!$A:$E,4,FALSE()))/VLOOKUP(D764,Products!$A:$E,5,FALSE()),"")</f>
        <v>0.43694581280788175</v>
      </c>
    </row>
    <row r="765" spans="1:18" x14ac:dyDescent="0.3">
      <c r="A765" s="22" t="s">
        <v>1983</v>
      </c>
      <c r="B765" s="23">
        <v>45471</v>
      </c>
      <c r="C765" s="22" t="s">
        <v>1984</v>
      </c>
      <c r="D765" s="22" t="s">
        <v>123</v>
      </c>
      <c r="E765" s="22" t="s">
        <v>1985</v>
      </c>
      <c r="F765" s="24">
        <v>4</v>
      </c>
      <c r="G765" s="24">
        <v>3160</v>
      </c>
      <c r="H765" s="24">
        <v>7.5</v>
      </c>
      <c r="I765" s="24">
        <v>11692</v>
      </c>
      <c r="J765" s="22" t="s">
        <v>104</v>
      </c>
      <c r="K765" s="22" t="s">
        <v>129</v>
      </c>
      <c r="L765" t="str">
        <f>VLOOKUP(D765,Products!A:F,3,FALSE())</f>
        <v>Apparel</v>
      </c>
      <c r="M765" t="str">
        <f>VLOOKUP(C765,Customers!A:F,5,FALSE())</f>
        <v>Retail</v>
      </c>
      <c r="O765" t="str">
        <f>IFERROR(VLOOKUP(E765,Sales_Reps!$A:$C,3,FALSE()),"")</f>
        <v/>
      </c>
      <c r="P765">
        <f>IFERROR(VLOOKUP(C765,Customers!$A:$C,3,FALSE()),"")</f>
        <v>29</v>
      </c>
      <c r="Q765" t="str">
        <f t="shared" si="11"/>
        <v>Jun-24</v>
      </c>
      <c r="R765">
        <f>IFERROR((VLOOKUP(D765,Products!$A:$E,5,FALSE())-VLOOKUP(D765,Products!$A:$E,4,FALSE()))/VLOOKUP(D765,Products!$A:$E,5,FALSE()),"")</f>
        <v>0.4031645569620253</v>
      </c>
    </row>
    <row r="766" spans="1:18" x14ac:dyDescent="0.3">
      <c r="A766" s="22" t="s">
        <v>1986</v>
      </c>
      <c r="B766" s="23">
        <v>45327</v>
      </c>
      <c r="C766" s="22" t="s">
        <v>1117</v>
      </c>
      <c r="D766" s="22" t="s">
        <v>315</v>
      </c>
      <c r="E766" s="22" t="s">
        <v>1987</v>
      </c>
      <c r="F766" s="24">
        <v>10</v>
      </c>
      <c r="G766" s="24">
        <v>4070</v>
      </c>
      <c r="H766" s="24">
        <v>8.3000000000000007</v>
      </c>
      <c r="I766" s="24">
        <v>37321.9</v>
      </c>
      <c r="J766" s="22" t="s">
        <v>104</v>
      </c>
      <c r="K766" s="22" t="s">
        <v>111</v>
      </c>
      <c r="L766" t="str">
        <f>VLOOKUP(D766,Products!A:F,3,FALSE())</f>
        <v>Grocery</v>
      </c>
      <c r="M766" t="str">
        <f>VLOOKUP(C766,Customers!A:F,5,FALSE())</f>
        <v>SMB</v>
      </c>
      <c r="O766" t="str">
        <f>IFERROR(VLOOKUP(E766,Sales_Reps!$A:$C,3,FALSE()),"")</f>
        <v/>
      </c>
      <c r="P766">
        <f>IFERROR(VLOOKUP(C766,Customers!$A:$C,3,FALSE()),"")</f>
        <v>26</v>
      </c>
      <c r="Q766" t="str">
        <f t="shared" si="11"/>
        <v>Feb-24</v>
      </c>
      <c r="R766">
        <f>IFERROR((VLOOKUP(D766,Products!$A:$E,5,FALSE())-VLOOKUP(D766,Products!$A:$E,4,FALSE()))/VLOOKUP(D766,Products!$A:$E,5,FALSE()),"")</f>
        <v>0.50196560196560192</v>
      </c>
    </row>
    <row r="767" spans="1:18" x14ac:dyDescent="0.3">
      <c r="A767" s="22" t="s">
        <v>1988</v>
      </c>
      <c r="B767" s="23">
        <v>45343</v>
      </c>
      <c r="C767" s="22" t="s">
        <v>876</v>
      </c>
      <c r="D767" s="22" t="s">
        <v>436</v>
      </c>
      <c r="E767" s="22" t="s">
        <v>1989</v>
      </c>
      <c r="F767" s="24">
        <v>8</v>
      </c>
      <c r="G767" s="24">
        <v>4060</v>
      </c>
      <c r="H767" s="24">
        <v>8.5</v>
      </c>
      <c r="I767" s="24">
        <v>29719.200000000001</v>
      </c>
      <c r="J767" s="22" t="s">
        <v>104</v>
      </c>
      <c r="K767" s="22" t="s">
        <v>116</v>
      </c>
      <c r="L767" t="str">
        <f>VLOOKUP(D767,Products!A:F,3,FALSE())</f>
        <v>Grocery</v>
      </c>
      <c r="M767" t="str">
        <f>VLOOKUP(C767,Customers!A:F,5,FALSE())</f>
        <v>Retail</v>
      </c>
      <c r="O767" t="str">
        <f>IFERROR(VLOOKUP(E767,Sales_Reps!$A:$C,3,FALSE()),"")</f>
        <v/>
      </c>
      <c r="P767">
        <f>IFERROR(VLOOKUP(C767,Customers!$A:$C,3,FALSE()),"")</f>
        <v>40</v>
      </c>
      <c r="Q767" t="str">
        <f t="shared" si="11"/>
        <v>Feb-24</v>
      </c>
      <c r="R767">
        <f>IFERROR((VLOOKUP(D767,Products!$A:$E,5,FALSE())-VLOOKUP(D767,Products!$A:$E,4,FALSE()))/VLOOKUP(D767,Products!$A:$E,5,FALSE()),"")</f>
        <v>0.28300492610837441</v>
      </c>
    </row>
    <row r="768" spans="1:18" x14ac:dyDescent="0.3">
      <c r="A768" s="22" t="s">
        <v>1990</v>
      </c>
      <c r="B768" s="23">
        <v>45334</v>
      </c>
      <c r="C768" s="22" t="s">
        <v>1056</v>
      </c>
      <c r="D768" s="22" t="s">
        <v>132</v>
      </c>
      <c r="E768" s="22" t="s">
        <v>1991</v>
      </c>
      <c r="F768" s="24">
        <v>8</v>
      </c>
      <c r="G768" s="24">
        <v>960</v>
      </c>
      <c r="H768" s="24">
        <v>8.6999999999999993</v>
      </c>
      <c r="I768" s="24">
        <v>7011.84</v>
      </c>
      <c r="J768" s="22" t="s">
        <v>104</v>
      </c>
      <c r="K768" s="22" t="s">
        <v>129</v>
      </c>
      <c r="L768" t="str">
        <f>VLOOKUP(D768,Products!A:F,3,FALSE())</f>
        <v>Sports</v>
      </c>
      <c r="M768" t="str">
        <f>VLOOKUP(C768,Customers!A:F,5,FALSE())</f>
        <v>Retail</v>
      </c>
      <c r="O768" t="str">
        <f>IFERROR(VLOOKUP(E768,Sales_Reps!$A:$C,3,FALSE()),"")</f>
        <v/>
      </c>
      <c r="P768">
        <f>IFERROR(VLOOKUP(C768,Customers!$A:$C,3,FALSE()),"")</f>
        <v>56</v>
      </c>
      <c r="Q768" t="str">
        <f t="shared" si="11"/>
        <v>Feb-24</v>
      </c>
      <c r="R768">
        <f>IFERROR((VLOOKUP(D768,Products!$A:$E,5,FALSE())-VLOOKUP(D768,Products!$A:$E,4,FALSE()))/VLOOKUP(D768,Products!$A:$E,5,FALSE()),"")</f>
        <v>0.265625</v>
      </c>
    </row>
    <row r="769" spans="1:18" x14ac:dyDescent="0.3">
      <c r="A769" s="22" t="s">
        <v>1992</v>
      </c>
      <c r="B769" s="23">
        <v>45306</v>
      </c>
      <c r="C769" s="22" t="s">
        <v>965</v>
      </c>
      <c r="D769" s="22" t="s">
        <v>289</v>
      </c>
      <c r="E769" s="22" t="s">
        <v>1993</v>
      </c>
      <c r="F769" s="24">
        <v>2</v>
      </c>
      <c r="G769" s="24">
        <v>2270</v>
      </c>
      <c r="H769" s="24">
        <v>10.199999999999999</v>
      </c>
      <c r="I769" s="24">
        <v>4076.92</v>
      </c>
      <c r="J769" s="22" t="s">
        <v>104</v>
      </c>
      <c r="K769" s="22" t="s">
        <v>105</v>
      </c>
      <c r="L769" t="str">
        <f>VLOOKUP(D769,Products!A:F,3,FALSE())</f>
        <v>Grocery</v>
      </c>
      <c r="M769" t="str">
        <f>VLOOKUP(C769,Customers!A:F,5,FALSE())</f>
        <v>SMB</v>
      </c>
      <c r="O769" t="str">
        <f>IFERROR(VLOOKUP(E769,Sales_Reps!$A:$C,3,FALSE()),"")</f>
        <v/>
      </c>
      <c r="P769">
        <f>IFERROR(VLOOKUP(C769,Customers!$A:$C,3,FALSE()),"")</f>
        <v>35</v>
      </c>
      <c r="Q769" t="str">
        <f t="shared" si="11"/>
        <v>Jan-24</v>
      </c>
      <c r="R769">
        <f>IFERROR((VLOOKUP(D769,Products!$A:$E,5,FALSE())-VLOOKUP(D769,Products!$A:$E,4,FALSE()))/VLOOKUP(D769,Products!$A:$E,5,FALSE()),"")</f>
        <v>0.37797356828193834</v>
      </c>
    </row>
    <row r="770" spans="1:18" x14ac:dyDescent="0.3">
      <c r="A770" s="22" t="s">
        <v>1994</v>
      </c>
      <c r="B770" s="23">
        <v>45296</v>
      </c>
      <c r="C770" s="22" t="s">
        <v>361</v>
      </c>
      <c r="D770" s="22" t="s">
        <v>275</v>
      </c>
      <c r="E770" s="22" t="s">
        <v>1995</v>
      </c>
      <c r="F770" s="24">
        <v>1</v>
      </c>
      <c r="G770" s="24">
        <v>3780</v>
      </c>
      <c r="H770" s="24">
        <v>15.3</v>
      </c>
      <c r="I770" s="24">
        <v>3201.66</v>
      </c>
      <c r="J770" s="22" t="s">
        <v>159</v>
      </c>
      <c r="K770" s="22" t="s">
        <v>151</v>
      </c>
      <c r="L770" t="str">
        <f>VLOOKUP(D770,Products!A:F,3,FALSE())</f>
        <v>Grocery</v>
      </c>
      <c r="M770" t="str">
        <f>VLOOKUP(C770,Customers!A:F,5,FALSE())</f>
        <v>Retail</v>
      </c>
      <c r="O770" t="str">
        <f>IFERROR(VLOOKUP(E770,Sales_Reps!$A:$C,3,FALSE()),"")</f>
        <v/>
      </c>
      <c r="P770">
        <f>IFERROR(VLOOKUP(C770,Customers!$A:$C,3,FALSE()),"")</f>
        <v>29</v>
      </c>
      <c r="Q770" t="str">
        <f t="shared" ref="Q770:Q833" si="12">TEXT(B770,"mmm-yy")</f>
        <v>Jan-24</v>
      </c>
      <c r="R770">
        <f>IFERROR((VLOOKUP(D770,Products!$A:$E,5,FALSE())-VLOOKUP(D770,Products!$A:$E,4,FALSE()))/VLOOKUP(D770,Products!$A:$E,5,FALSE()),"")</f>
        <v>0.35555555555555557</v>
      </c>
    </row>
    <row r="771" spans="1:18" x14ac:dyDescent="0.3">
      <c r="A771" s="22" t="s">
        <v>1996</v>
      </c>
      <c r="B771" s="23">
        <v>45489</v>
      </c>
      <c r="C771" s="22" t="s">
        <v>1312</v>
      </c>
      <c r="D771" s="22" t="s">
        <v>488</v>
      </c>
      <c r="E771" s="22" t="s">
        <v>1997</v>
      </c>
      <c r="F771" s="24">
        <v>10</v>
      </c>
      <c r="G771" s="24">
        <v>2290</v>
      </c>
      <c r="H771" s="24">
        <v>2.4</v>
      </c>
      <c r="I771" s="24">
        <v>22350.400000000001</v>
      </c>
      <c r="J771" s="22" t="s">
        <v>110</v>
      </c>
      <c r="K771" s="22" t="s">
        <v>129</v>
      </c>
      <c r="L771" t="str">
        <f>VLOOKUP(D771,Products!A:F,3,FALSE())</f>
        <v>Beauty</v>
      </c>
      <c r="M771" t="str">
        <f>VLOOKUP(C771,Customers!A:F,5,FALSE())</f>
        <v>Retail</v>
      </c>
      <c r="O771" t="str">
        <f>IFERROR(VLOOKUP(E771,Sales_Reps!$A:$C,3,FALSE()),"")</f>
        <v/>
      </c>
      <c r="P771">
        <f>IFERROR(VLOOKUP(C771,Customers!$A:$C,3,FALSE()),"")</f>
        <v>57</v>
      </c>
      <c r="Q771" t="str">
        <f t="shared" si="12"/>
        <v>Jul-24</v>
      </c>
      <c r="R771">
        <f>IFERROR((VLOOKUP(D771,Products!$A:$E,5,FALSE())-VLOOKUP(D771,Products!$A:$E,4,FALSE()))/VLOOKUP(D771,Products!$A:$E,5,FALSE()),"")</f>
        <v>0.46768558951965067</v>
      </c>
    </row>
    <row r="772" spans="1:18" x14ac:dyDescent="0.3">
      <c r="A772" s="22" t="s">
        <v>1998</v>
      </c>
      <c r="B772" s="23">
        <v>45416</v>
      </c>
      <c r="C772" s="22" t="s">
        <v>1979</v>
      </c>
      <c r="D772" s="22" t="s">
        <v>205</v>
      </c>
      <c r="E772" s="22" t="s">
        <v>1999</v>
      </c>
      <c r="F772" s="24">
        <v>5</v>
      </c>
      <c r="G772" s="24">
        <v>3350</v>
      </c>
      <c r="H772" s="24">
        <v>18.5</v>
      </c>
      <c r="I772" s="24">
        <v>13651.25</v>
      </c>
      <c r="J772" s="22" t="s">
        <v>159</v>
      </c>
      <c r="K772" s="22" t="s">
        <v>105</v>
      </c>
      <c r="L772" t="str">
        <f>VLOOKUP(D772,Products!A:F,3,FALSE())</f>
        <v>Beauty</v>
      </c>
      <c r="M772" t="str">
        <f>VLOOKUP(C772,Customers!A:F,5,FALSE())</f>
        <v>Retail</v>
      </c>
      <c r="O772" t="str">
        <f>IFERROR(VLOOKUP(E772,Sales_Reps!$A:$C,3,FALSE()),"")</f>
        <v/>
      </c>
      <c r="P772">
        <f>IFERROR(VLOOKUP(C772,Customers!$A:$C,3,FALSE()),"")</f>
        <v>42</v>
      </c>
      <c r="Q772" t="str">
        <f t="shared" si="12"/>
        <v>May-24</v>
      </c>
      <c r="R772">
        <f>IFERROR((VLOOKUP(D772,Products!$A:$E,5,FALSE())-VLOOKUP(D772,Products!$A:$E,4,FALSE()))/VLOOKUP(D772,Products!$A:$E,5,FALSE()),"")</f>
        <v>0.48417910447761192</v>
      </c>
    </row>
    <row r="773" spans="1:18" x14ac:dyDescent="0.3">
      <c r="A773" s="22" t="s">
        <v>2000</v>
      </c>
      <c r="B773" s="23">
        <v>45347</v>
      </c>
      <c r="C773" s="22" t="s">
        <v>374</v>
      </c>
      <c r="D773" s="22" t="s">
        <v>442</v>
      </c>
      <c r="E773" s="22" t="s">
        <v>2001</v>
      </c>
      <c r="F773" s="24">
        <v>7</v>
      </c>
      <c r="G773" s="24">
        <v>2510</v>
      </c>
      <c r="H773" s="24">
        <v>4.2</v>
      </c>
      <c r="I773" s="24">
        <v>16832.060000000001</v>
      </c>
      <c r="J773" s="22" t="s">
        <v>159</v>
      </c>
      <c r="K773" s="22" t="s">
        <v>105</v>
      </c>
      <c r="L773" t="str">
        <f>VLOOKUP(D773,Products!A:F,3,FALSE())</f>
        <v>Apparel</v>
      </c>
      <c r="M773" t="str">
        <f>VLOOKUP(C773,Customers!A:F,5,FALSE())</f>
        <v>SMB</v>
      </c>
      <c r="O773" t="str">
        <f>IFERROR(VLOOKUP(E773,Sales_Reps!$A:$C,3,FALSE()),"")</f>
        <v/>
      </c>
      <c r="P773">
        <f>IFERROR(VLOOKUP(C773,Customers!$A:$C,3,FALSE()),"")</f>
        <v>54</v>
      </c>
      <c r="Q773" t="str">
        <f t="shared" si="12"/>
        <v>Feb-24</v>
      </c>
      <c r="R773">
        <f>IFERROR((VLOOKUP(D773,Products!$A:$E,5,FALSE())-VLOOKUP(D773,Products!$A:$E,4,FALSE()))/VLOOKUP(D773,Products!$A:$E,5,FALSE()),"")</f>
        <v>0.57171314741035861</v>
      </c>
    </row>
    <row r="774" spans="1:18" x14ac:dyDescent="0.3">
      <c r="A774" s="22" t="s">
        <v>2002</v>
      </c>
      <c r="B774" s="23">
        <v>45652</v>
      </c>
      <c r="C774" s="22" t="s">
        <v>185</v>
      </c>
      <c r="D774" s="22" t="s">
        <v>157</v>
      </c>
      <c r="E774" s="22" t="s">
        <v>2003</v>
      </c>
      <c r="F774" s="24">
        <v>1</v>
      </c>
      <c r="G774" s="24">
        <v>2600</v>
      </c>
      <c r="H774" s="24">
        <v>2.2000000000000002</v>
      </c>
      <c r="I774" s="24">
        <v>2542.8000000000002</v>
      </c>
      <c r="J774" s="22" t="s">
        <v>104</v>
      </c>
      <c r="K774" s="22" t="s">
        <v>111</v>
      </c>
      <c r="L774" t="str">
        <f>VLOOKUP(D774,Products!A:F,3,FALSE())</f>
        <v>Electronics</v>
      </c>
      <c r="M774" t="str">
        <f>VLOOKUP(C774,Customers!A:F,5,FALSE())</f>
        <v>Retail</v>
      </c>
      <c r="O774" t="str">
        <f>IFERROR(VLOOKUP(E774,Sales_Reps!$A:$C,3,FALSE()),"")</f>
        <v/>
      </c>
      <c r="P774">
        <f>IFERROR(VLOOKUP(C774,Customers!$A:$C,3,FALSE()),"")</f>
        <v>49</v>
      </c>
      <c r="Q774" t="str">
        <f t="shared" si="12"/>
        <v>Dec-24</v>
      </c>
      <c r="R774">
        <f>IFERROR((VLOOKUP(D774,Products!$A:$E,5,FALSE())-VLOOKUP(D774,Products!$A:$E,4,FALSE()))/VLOOKUP(D774,Products!$A:$E,5,FALSE()),"")</f>
        <v>0.5953846153846154</v>
      </c>
    </row>
    <row r="775" spans="1:18" x14ac:dyDescent="0.3">
      <c r="A775" s="22" t="s">
        <v>2004</v>
      </c>
      <c r="B775" s="23">
        <v>45467</v>
      </c>
      <c r="C775" s="22" t="s">
        <v>554</v>
      </c>
      <c r="D775" s="22" t="s">
        <v>114</v>
      </c>
      <c r="E775" s="22" t="s">
        <v>2005</v>
      </c>
      <c r="F775" s="24">
        <v>8</v>
      </c>
      <c r="G775" s="24">
        <v>470</v>
      </c>
      <c r="H775" s="24">
        <v>25.2</v>
      </c>
      <c r="I775" s="24">
        <v>2812.48</v>
      </c>
      <c r="J775" s="22" t="s">
        <v>104</v>
      </c>
      <c r="K775" s="22" t="s">
        <v>134</v>
      </c>
      <c r="L775" t="str">
        <f>VLOOKUP(D775,Products!A:F,3,FALSE())</f>
        <v>Sports</v>
      </c>
      <c r="M775" t="str">
        <f>VLOOKUP(C775,Customers!A:F,5,FALSE())</f>
        <v>Retail</v>
      </c>
      <c r="O775" t="str">
        <f>IFERROR(VLOOKUP(E775,Sales_Reps!$A:$C,3,FALSE()),"")</f>
        <v/>
      </c>
      <c r="P775">
        <f>IFERROR(VLOOKUP(C775,Customers!$A:$C,3,FALSE()),"")</f>
        <v>55</v>
      </c>
      <c r="Q775" t="str">
        <f t="shared" si="12"/>
        <v>Jun-24</v>
      </c>
      <c r="R775">
        <f>IFERROR((VLOOKUP(D775,Products!$A:$E,5,FALSE())-VLOOKUP(D775,Products!$A:$E,4,FALSE()))/VLOOKUP(D775,Products!$A:$E,5,FALSE()),"")</f>
        <v>0.35744680851063831</v>
      </c>
    </row>
    <row r="776" spans="1:18" x14ac:dyDescent="0.3">
      <c r="A776" s="22" t="s">
        <v>2006</v>
      </c>
      <c r="B776" s="23">
        <v>45558</v>
      </c>
      <c r="C776" s="22" t="s">
        <v>227</v>
      </c>
      <c r="D776" s="22" t="s">
        <v>186</v>
      </c>
      <c r="E776" s="22" t="s">
        <v>2007</v>
      </c>
      <c r="F776" s="24">
        <v>6</v>
      </c>
      <c r="G776" s="24">
        <v>1080</v>
      </c>
      <c r="H776" s="24">
        <v>25</v>
      </c>
      <c r="I776" s="24">
        <v>4860</v>
      </c>
      <c r="J776" s="22" t="s">
        <v>104</v>
      </c>
      <c r="K776" s="22" t="s">
        <v>105</v>
      </c>
      <c r="L776" t="str">
        <f>VLOOKUP(D776,Products!A:F,3,FALSE())</f>
        <v>Home</v>
      </c>
      <c r="M776" t="str">
        <f>VLOOKUP(C776,Customers!A:F,5,FALSE())</f>
        <v>Corporate</v>
      </c>
      <c r="O776" t="str">
        <f>IFERROR(VLOOKUP(E776,Sales_Reps!$A:$C,3,FALSE()),"")</f>
        <v/>
      </c>
      <c r="P776">
        <f>IFERROR(VLOOKUP(C776,Customers!$A:$C,3,FALSE()),"")</f>
        <v>47</v>
      </c>
      <c r="Q776" t="str">
        <f t="shared" si="12"/>
        <v>Sep-24</v>
      </c>
      <c r="R776">
        <f>IFERROR((VLOOKUP(D776,Products!$A:$E,5,FALSE())-VLOOKUP(D776,Products!$A:$E,4,FALSE()))/VLOOKUP(D776,Products!$A:$E,5,FALSE()),"")</f>
        <v>0.51944444444444449</v>
      </c>
    </row>
    <row r="777" spans="1:18" x14ac:dyDescent="0.3">
      <c r="A777" s="22" t="s">
        <v>2008</v>
      </c>
      <c r="B777" s="23">
        <v>45645</v>
      </c>
      <c r="C777" s="22" t="s">
        <v>101</v>
      </c>
      <c r="D777" s="22" t="s">
        <v>209</v>
      </c>
      <c r="E777" s="22" t="s">
        <v>2009</v>
      </c>
      <c r="F777" s="24">
        <v>2</v>
      </c>
      <c r="G777" s="24">
        <v>1010</v>
      </c>
      <c r="H777" s="24">
        <v>16.100000000000001</v>
      </c>
      <c r="I777" s="24">
        <v>1694.78</v>
      </c>
      <c r="J777" s="22" t="s">
        <v>104</v>
      </c>
      <c r="K777" s="22" t="s">
        <v>105</v>
      </c>
      <c r="L777" t="str">
        <f>VLOOKUP(D777,Products!A:F,3,FALSE())</f>
        <v>Sports</v>
      </c>
      <c r="M777" t="str">
        <f>VLOOKUP(C777,Customers!A:F,5,FALSE())</f>
        <v>SMB</v>
      </c>
      <c r="O777" t="str">
        <f>IFERROR(VLOOKUP(E777,Sales_Reps!$A:$C,3,FALSE()),"")</f>
        <v/>
      </c>
      <c r="P777">
        <f>IFERROR(VLOOKUP(C777,Customers!$A:$C,3,FALSE()),"")</f>
        <v>44</v>
      </c>
      <c r="Q777" t="str">
        <f t="shared" si="12"/>
        <v>Dec-24</v>
      </c>
      <c r="R777">
        <f>IFERROR((VLOOKUP(D777,Products!$A:$E,5,FALSE())-VLOOKUP(D777,Products!$A:$E,4,FALSE()))/VLOOKUP(D777,Products!$A:$E,5,FALSE()),"")</f>
        <v>0.4891089108910891</v>
      </c>
    </row>
    <row r="778" spans="1:18" x14ac:dyDescent="0.3">
      <c r="A778" s="22" t="s">
        <v>2010</v>
      </c>
      <c r="B778" s="23">
        <v>45418</v>
      </c>
      <c r="C778" s="22" t="s">
        <v>1049</v>
      </c>
      <c r="D778" s="22" t="s">
        <v>293</v>
      </c>
      <c r="E778" s="22" t="s">
        <v>2011</v>
      </c>
      <c r="F778" s="24">
        <v>6</v>
      </c>
      <c r="G778" s="24">
        <v>3870</v>
      </c>
      <c r="H778" s="24">
        <v>22.4</v>
      </c>
      <c r="I778" s="24">
        <v>18018.72</v>
      </c>
      <c r="J778" s="22" t="s">
        <v>159</v>
      </c>
      <c r="K778" s="22" t="s">
        <v>116</v>
      </c>
      <c r="L778" t="str">
        <f>VLOOKUP(D778,Products!A:F,3,FALSE())</f>
        <v>Electronics</v>
      </c>
      <c r="M778" t="str">
        <f>VLOOKUP(C778,Customers!A:F,5,FALSE())</f>
        <v>SMB</v>
      </c>
      <c r="O778" t="str">
        <f>IFERROR(VLOOKUP(E778,Sales_Reps!$A:$C,3,FALSE()),"")</f>
        <v/>
      </c>
      <c r="P778">
        <f>IFERROR(VLOOKUP(C778,Customers!$A:$C,3,FALSE()),"")</f>
        <v>26</v>
      </c>
      <c r="Q778" t="str">
        <f t="shared" si="12"/>
        <v>May-24</v>
      </c>
      <c r="R778">
        <f>IFERROR((VLOOKUP(D778,Products!$A:$E,5,FALSE())-VLOOKUP(D778,Products!$A:$E,4,FALSE()))/VLOOKUP(D778,Products!$A:$E,5,FALSE()),"")</f>
        <v>0.59715762273901807</v>
      </c>
    </row>
    <row r="779" spans="1:18" x14ac:dyDescent="0.3">
      <c r="A779" s="22" t="s">
        <v>2012</v>
      </c>
      <c r="B779" s="23">
        <v>45655</v>
      </c>
      <c r="C779" s="22" t="s">
        <v>855</v>
      </c>
      <c r="D779" s="22" t="s">
        <v>356</v>
      </c>
      <c r="E779" s="22" t="s">
        <v>2013</v>
      </c>
      <c r="F779" s="24">
        <v>3</v>
      </c>
      <c r="G779" s="24">
        <v>2030</v>
      </c>
      <c r="H779" s="24">
        <v>18.5</v>
      </c>
      <c r="I779" s="24">
        <v>4963.3500000000004</v>
      </c>
      <c r="J779" s="22" t="s">
        <v>104</v>
      </c>
      <c r="K779" s="22" t="s">
        <v>129</v>
      </c>
      <c r="L779" t="str">
        <f>VLOOKUP(D779,Products!A:F,3,FALSE())</f>
        <v>Home</v>
      </c>
      <c r="M779" t="str">
        <f>VLOOKUP(C779,Customers!A:F,5,FALSE())</f>
        <v>Retail</v>
      </c>
      <c r="O779" t="str">
        <f>IFERROR(VLOOKUP(E779,Sales_Reps!$A:$C,3,FALSE()),"")</f>
        <v/>
      </c>
      <c r="P779">
        <f>IFERROR(VLOOKUP(C779,Customers!$A:$C,3,FALSE()),"")</f>
        <v>44</v>
      </c>
      <c r="Q779" t="str">
        <f t="shared" si="12"/>
        <v>Dec-24</v>
      </c>
      <c r="R779">
        <f>IFERROR((VLOOKUP(D779,Products!$A:$E,5,FALSE())-VLOOKUP(D779,Products!$A:$E,4,FALSE()))/VLOOKUP(D779,Products!$A:$E,5,FALSE()),"")</f>
        <v>0.43694581280788175</v>
      </c>
    </row>
    <row r="780" spans="1:18" x14ac:dyDescent="0.3">
      <c r="A780" s="22" t="s">
        <v>2014</v>
      </c>
      <c r="B780" s="23">
        <v>45540</v>
      </c>
      <c r="C780" s="22" t="s">
        <v>2015</v>
      </c>
      <c r="D780" s="22" t="s">
        <v>186</v>
      </c>
      <c r="E780" s="22" t="s">
        <v>2016</v>
      </c>
      <c r="F780" s="24">
        <v>7</v>
      </c>
      <c r="G780" s="24">
        <v>1080</v>
      </c>
      <c r="H780" s="24">
        <v>6.8</v>
      </c>
      <c r="I780" s="24">
        <v>7045.92</v>
      </c>
      <c r="J780" s="22" t="s">
        <v>110</v>
      </c>
      <c r="K780" s="22" t="s">
        <v>105</v>
      </c>
      <c r="L780" t="str">
        <f>VLOOKUP(D780,Products!A:F,3,FALSE())</f>
        <v>Home</v>
      </c>
      <c r="M780" t="str">
        <f>VLOOKUP(C780,Customers!A:F,5,FALSE())</f>
        <v>Retail</v>
      </c>
      <c r="O780" t="str">
        <f>IFERROR(VLOOKUP(E780,Sales_Reps!$A:$C,3,FALSE()),"")</f>
        <v/>
      </c>
      <c r="P780">
        <f>IFERROR(VLOOKUP(C780,Customers!$A:$C,3,FALSE()),"")</f>
        <v>44</v>
      </c>
      <c r="Q780" t="str">
        <f t="shared" si="12"/>
        <v>Sep-24</v>
      </c>
      <c r="R780">
        <f>IFERROR((VLOOKUP(D780,Products!$A:$E,5,FALSE())-VLOOKUP(D780,Products!$A:$E,4,FALSE()))/VLOOKUP(D780,Products!$A:$E,5,FALSE()),"")</f>
        <v>0.51944444444444449</v>
      </c>
    </row>
    <row r="781" spans="1:18" x14ac:dyDescent="0.3">
      <c r="A781" s="22" t="s">
        <v>2017</v>
      </c>
      <c r="B781" s="23">
        <v>45609</v>
      </c>
      <c r="C781" s="22" t="s">
        <v>452</v>
      </c>
      <c r="D781" s="22" t="s">
        <v>674</v>
      </c>
      <c r="E781" s="22" t="s">
        <v>2018</v>
      </c>
      <c r="F781" s="24">
        <v>1</v>
      </c>
      <c r="G781" s="24">
        <v>1090</v>
      </c>
      <c r="H781" s="24">
        <v>20.6</v>
      </c>
      <c r="I781" s="24">
        <v>865.46</v>
      </c>
      <c r="J781" s="22" t="s">
        <v>104</v>
      </c>
      <c r="K781" s="22" t="s">
        <v>111</v>
      </c>
      <c r="L781" t="str">
        <f>VLOOKUP(D781,Products!A:F,3,FALSE())</f>
        <v>Home</v>
      </c>
      <c r="M781" t="str">
        <f>VLOOKUP(C781,Customers!A:F,5,FALSE())</f>
        <v>Corporate</v>
      </c>
      <c r="O781" t="str">
        <f>IFERROR(VLOOKUP(E781,Sales_Reps!$A:$C,3,FALSE()),"")</f>
        <v/>
      </c>
      <c r="P781">
        <f>IFERROR(VLOOKUP(C781,Customers!$A:$C,3,FALSE()),"")</f>
        <v>51</v>
      </c>
      <c r="Q781" t="str">
        <f t="shared" si="12"/>
        <v>Nov-24</v>
      </c>
      <c r="R781">
        <f>IFERROR((VLOOKUP(D781,Products!$A:$E,5,FALSE())-VLOOKUP(D781,Products!$A:$E,4,FALSE()))/VLOOKUP(D781,Products!$A:$E,5,FALSE()),"")</f>
        <v>0.57431192660550456</v>
      </c>
    </row>
    <row r="782" spans="1:18" x14ac:dyDescent="0.3">
      <c r="A782" s="22" t="s">
        <v>2019</v>
      </c>
      <c r="B782" s="23">
        <v>45528</v>
      </c>
      <c r="C782" s="22" t="s">
        <v>403</v>
      </c>
      <c r="D782" s="22" t="s">
        <v>127</v>
      </c>
      <c r="E782" s="22" t="s">
        <v>2020</v>
      </c>
      <c r="F782" s="24">
        <v>8</v>
      </c>
      <c r="G782" s="24">
        <v>370</v>
      </c>
      <c r="H782" s="24">
        <v>1.7</v>
      </c>
      <c r="I782" s="24">
        <v>2909.68</v>
      </c>
      <c r="J782" s="22" t="s">
        <v>104</v>
      </c>
      <c r="K782" s="22" t="s">
        <v>111</v>
      </c>
      <c r="L782" t="str">
        <f>VLOOKUP(D782,Products!A:F,3,FALSE())</f>
        <v>Home</v>
      </c>
      <c r="M782" t="str">
        <f>VLOOKUP(C782,Customers!A:F,5,FALSE())</f>
        <v>Retail</v>
      </c>
      <c r="O782" t="str">
        <f>IFERROR(VLOOKUP(E782,Sales_Reps!$A:$C,3,FALSE()),"")</f>
        <v/>
      </c>
      <c r="P782">
        <f>IFERROR(VLOOKUP(C782,Customers!$A:$C,3,FALSE()),"")</f>
        <v>28</v>
      </c>
      <c r="Q782" t="str">
        <f t="shared" si="12"/>
        <v>Aug-24</v>
      </c>
      <c r="R782">
        <f>IFERROR((VLOOKUP(D782,Products!$A:$E,5,FALSE())-VLOOKUP(D782,Products!$A:$E,4,FALSE()))/VLOOKUP(D782,Products!$A:$E,5,FALSE()),"")</f>
        <v>0.22162162162162163</v>
      </c>
    </row>
    <row r="783" spans="1:18" x14ac:dyDescent="0.3">
      <c r="A783" s="22" t="s">
        <v>2021</v>
      </c>
      <c r="B783" s="23">
        <v>45625</v>
      </c>
      <c r="C783" s="22" t="s">
        <v>1634</v>
      </c>
      <c r="D783" s="22" t="s">
        <v>935</v>
      </c>
      <c r="E783" s="22" t="s">
        <v>2022</v>
      </c>
      <c r="F783" s="24">
        <v>7</v>
      </c>
      <c r="G783" s="24">
        <v>3560</v>
      </c>
      <c r="H783" s="24">
        <v>28.7</v>
      </c>
      <c r="I783" s="24">
        <v>17767.96</v>
      </c>
      <c r="J783" s="22" t="s">
        <v>104</v>
      </c>
      <c r="K783" s="22" t="s">
        <v>129</v>
      </c>
      <c r="L783" t="str">
        <f>VLOOKUP(D783,Products!A:F,3,FALSE())</f>
        <v>Apparel</v>
      </c>
      <c r="M783" t="str">
        <f>VLOOKUP(C783,Customers!A:F,5,FALSE())</f>
        <v>Retail</v>
      </c>
      <c r="O783" t="str">
        <f>IFERROR(VLOOKUP(E783,Sales_Reps!$A:$C,3,FALSE()),"")</f>
        <v/>
      </c>
      <c r="P783">
        <f>IFERROR(VLOOKUP(C783,Customers!$A:$C,3,FALSE()),"")</f>
        <v>54</v>
      </c>
      <c r="Q783" t="str">
        <f t="shared" si="12"/>
        <v>Nov-24</v>
      </c>
      <c r="R783">
        <f>IFERROR((VLOOKUP(D783,Products!$A:$E,5,FALSE())-VLOOKUP(D783,Products!$A:$E,4,FALSE()))/VLOOKUP(D783,Products!$A:$E,5,FALSE()),"")</f>
        <v>0.26151685393258428</v>
      </c>
    </row>
    <row r="784" spans="1:18" x14ac:dyDescent="0.3">
      <c r="A784" s="22" t="s">
        <v>2023</v>
      </c>
      <c r="B784" s="23">
        <v>45444</v>
      </c>
      <c r="C784" s="22" t="s">
        <v>766</v>
      </c>
      <c r="D784" s="22" t="s">
        <v>283</v>
      </c>
      <c r="E784" s="22" t="s">
        <v>2024</v>
      </c>
      <c r="F784" s="24">
        <v>9</v>
      </c>
      <c r="G784" s="24">
        <v>6080</v>
      </c>
      <c r="H784" s="24">
        <v>16.3</v>
      </c>
      <c r="I784" s="24">
        <v>45800.639999999999</v>
      </c>
      <c r="J784" s="22" t="s">
        <v>159</v>
      </c>
      <c r="K784" s="22" t="s">
        <v>105</v>
      </c>
      <c r="L784" t="str">
        <f>VLOOKUP(D784,Products!A:F,3,FALSE())</f>
        <v>Beauty</v>
      </c>
      <c r="M784" t="str">
        <f>VLOOKUP(C784,Customers!A:F,5,FALSE())</f>
        <v>Retail</v>
      </c>
      <c r="O784" t="str">
        <f>IFERROR(VLOOKUP(E784,Sales_Reps!$A:$C,3,FALSE()),"")</f>
        <v/>
      </c>
      <c r="P784">
        <f>IFERROR(VLOOKUP(C784,Customers!$A:$C,3,FALSE()),"")</f>
        <v>62</v>
      </c>
      <c r="Q784" t="str">
        <f t="shared" si="12"/>
        <v>Jun-24</v>
      </c>
      <c r="R784">
        <f>IFERROR((VLOOKUP(D784,Products!$A:$E,5,FALSE())-VLOOKUP(D784,Products!$A:$E,4,FALSE()))/VLOOKUP(D784,Products!$A:$E,5,FALSE()),"")</f>
        <v>0.56957236842105263</v>
      </c>
    </row>
    <row r="785" spans="1:18" x14ac:dyDescent="0.3">
      <c r="A785" s="22" t="s">
        <v>2025</v>
      </c>
      <c r="B785" s="23">
        <v>45505</v>
      </c>
      <c r="C785" s="22" t="s">
        <v>177</v>
      </c>
      <c r="D785" s="22" t="s">
        <v>182</v>
      </c>
      <c r="E785" s="22" t="s">
        <v>2026</v>
      </c>
      <c r="F785" s="24">
        <v>2</v>
      </c>
      <c r="G785" s="24">
        <v>3450</v>
      </c>
      <c r="H785" s="24">
        <v>17.600000000000001</v>
      </c>
      <c r="I785" s="24">
        <v>5685.6</v>
      </c>
      <c r="J785" s="22" t="s">
        <v>110</v>
      </c>
      <c r="K785" s="22" t="s">
        <v>151</v>
      </c>
      <c r="L785" t="str">
        <f>VLOOKUP(D785,Products!A:F,3,FALSE())</f>
        <v>Sports</v>
      </c>
      <c r="M785" t="str">
        <f>VLOOKUP(C785,Customers!A:F,5,FALSE())</f>
        <v>Corporate</v>
      </c>
      <c r="O785" t="str">
        <f>IFERROR(VLOOKUP(E785,Sales_Reps!$A:$C,3,FALSE()),"")</f>
        <v/>
      </c>
      <c r="P785">
        <f>IFERROR(VLOOKUP(C785,Customers!$A:$C,3,FALSE()),"")</f>
        <v>32</v>
      </c>
      <c r="Q785" t="str">
        <f t="shared" si="12"/>
        <v>Aug-24</v>
      </c>
      <c r="R785">
        <f>IFERROR((VLOOKUP(D785,Products!$A:$E,5,FALSE())-VLOOKUP(D785,Products!$A:$E,4,FALSE()))/VLOOKUP(D785,Products!$A:$E,5,FALSE()),"")</f>
        <v>0.28492753623188405</v>
      </c>
    </row>
    <row r="786" spans="1:18" x14ac:dyDescent="0.3">
      <c r="A786" s="22" t="s">
        <v>2027</v>
      </c>
      <c r="B786" s="23">
        <v>45401</v>
      </c>
      <c r="C786" s="22" t="s">
        <v>252</v>
      </c>
      <c r="D786" s="22" t="s">
        <v>577</v>
      </c>
      <c r="E786" s="22" t="s">
        <v>2028</v>
      </c>
      <c r="F786" s="24">
        <v>1</v>
      </c>
      <c r="G786" s="24">
        <v>5080</v>
      </c>
      <c r="H786" s="24">
        <v>5.9</v>
      </c>
      <c r="I786" s="24">
        <v>4780.28</v>
      </c>
      <c r="J786" s="22" t="s">
        <v>104</v>
      </c>
      <c r="K786" s="22" t="s">
        <v>111</v>
      </c>
      <c r="L786" t="str">
        <f>VLOOKUP(D786,Products!A:F,3,FALSE())</f>
        <v>Home</v>
      </c>
      <c r="M786" t="str">
        <f>VLOOKUP(C786,Customers!A:F,5,FALSE())</f>
        <v>Retail</v>
      </c>
      <c r="O786" t="str">
        <f>IFERROR(VLOOKUP(E786,Sales_Reps!$A:$C,3,FALSE()),"")</f>
        <v/>
      </c>
      <c r="P786">
        <f>IFERROR(VLOOKUP(C786,Customers!$A:$C,3,FALSE()),"")</f>
        <v>51</v>
      </c>
      <c r="Q786" t="str">
        <f t="shared" si="12"/>
        <v>Apr-24</v>
      </c>
      <c r="R786">
        <f>IFERROR((VLOOKUP(D786,Products!$A:$E,5,FALSE())-VLOOKUP(D786,Products!$A:$E,4,FALSE()))/VLOOKUP(D786,Products!$A:$E,5,FALSE()),"")</f>
        <v>0.51594488188976373</v>
      </c>
    </row>
    <row r="787" spans="1:18" x14ac:dyDescent="0.3">
      <c r="A787" s="22" t="s">
        <v>2029</v>
      </c>
      <c r="B787" s="23">
        <v>45364</v>
      </c>
      <c r="C787" s="22" t="s">
        <v>1328</v>
      </c>
      <c r="D787" s="22" t="s">
        <v>591</v>
      </c>
      <c r="E787" s="22" t="s">
        <v>2030</v>
      </c>
      <c r="F787" s="24">
        <v>7</v>
      </c>
      <c r="G787" s="24">
        <v>3450</v>
      </c>
      <c r="H787" s="24">
        <v>17.399999999999999</v>
      </c>
      <c r="I787" s="24">
        <v>19947.900000000001</v>
      </c>
      <c r="J787" s="22" t="s">
        <v>104</v>
      </c>
      <c r="K787" s="22" t="s">
        <v>151</v>
      </c>
      <c r="L787" t="str">
        <f>VLOOKUP(D787,Products!A:F,3,FALSE())</f>
        <v>Apparel</v>
      </c>
      <c r="M787" t="str">
        <f>VLOOKUP(C787,Customers!A:F,5,FALSE())</f>
        <v>SMB</v>
      </c>
      <c r="O787" t="str">
        <f>IFERROR(VLOOKUP(E787,Sales_Reps!$A:$C,3,FALSE()),"")</f>
        <v/>
      </c>
      <c r="P787">
        <f>IFERROR(VLOOKUP(C787,Customers!$A:$C,3,FALSE()),"")</f>
        <v>28</v>
      </c>
      <c r="Q787" t="str">
        <f t="shared" si="12"/>
        <v>Mar-24</v>
      </c>
      <c r="R787">
        <f>IFERROR((VLOOKUP(D787,Products!$A:$E,5,FALSE())-VLOOKUP(D787,Products!$A:$E,4,FALSE()))/VLOOKUP(D787,Products!$A:$E,5,FALSE()),"")</f>
        <v>0.49333333333333335</v>
      </c>
    </row>
    <row r="788" spans="1:18" x14ac:dyDescent="0.3">
      <c r="A788" s="22" t="s">
        <v>2031</v>
      </c>
      <c r="B788" s="23">
        <v>45403</v>
      </c>
      <c r="C788" s="22" t="s">
        <v>1867</v>
      </c>
      <c r="D788" s="22" t="s">
        <v>149</v>
      </c>
      <c r="E788" s="22" t="s">
        <v>2032</v>
      </c>
      <c r="F788" s="24">
        <v>8</v>
      </c>
      <c r="G788" s="24">
        <v>2270</v>
      </c>
      <c r="H788" s="24">
        <v>24.7</v>
      </c>
      <c r="I788" s="24">
        <v>13674.48</v>
      </c>
      <c r="J788" s="22" t="s">
        <v>104</v>
      </c>
      <c r="K788" s="22" t="s">
        <v>105</v>
      </c>
      <c r="L788" t="str">
        <f>VLOOKUP(D788,Products!A:F,3,FALSE())</f>
        <v>Grocery</v>
      </c>
      <c r="M788" t="str">
        <f>VLOOKUP(C788,Customers!A:F,5,FALSE())</f>
        <v>Retail</v>
      </c>
      <c r="O788" t="str">
        <f>IFERROR(VLOOKUP(E788,Sales_Reps!$A:$C,3,FALSE()),"")</f>
        <v/>
      </c>
      <c r="P788">
        <f>IFERROR(VLOOKUP(C788,Customers!$A:$C,3,FALSE()),"")</f>
        <v>39</v>
      </c>
      <c r="Q788" t="str">
        <f t="shared" si="12"/>
        <v>Apr-24</v>
      </c>
      <c r="R788">
        <f>IFERROR((VLOOKUP(D788,Products!$A:$E,5,FALSE())-VLOOKUP(D788,Products!$A:$E,4,FALSE()))/VLOOKUP(D788,Products!$A:$E,5,FALSE()),"")</f>
        <v>0.47004405286343615</v>
      </c>
    </row>
    <row r="789" spans="1:18" x14ac:dyDescent="0.3">
      <c r="A789" s="22" t="s">
        <v>2033</v>
      </c>
      <c r="B789" s="23">
        <v>45599</v>
      </c>
      <c r="C789" s="22" t="s">
        <v>101</v>
      </c>
      <c r="D789" s="22" t="s">
        <v>123</v>
      </c>
      <c r="E789" s="22" t="s">
        <v>2034</v>
      </c>
      <c r="F789" s="24">
        <v>3</v>
      </c>
      <c r="G789" s="24">
        <v>3160</v>
      </c>
      <c r="H789" s="24">
        <v>1.5</v>
      </c>
      <c r="I789" s="24">
        <v>9337.7999999999993</v>
      </c>
      <c r="J789" s="22" t="s">
        <v>110</v>
      </c>
      <c r="K789" s="22" t="s">
        <v>105</v>
      </c>
      <c r="L789" t="str">
        <f>VLOOKUP(D789,Products!A:F,3,FALSE())</f>
        <v>Apparel</v>
      </c>
      <c r="M789" t="str">
        <f>VLOOKUP(C789,Customers!A:F,5,FALSE())</f>
        <v>SMB</v>
      </c>
      <c r="O789" t="str">
        <f>IFERROR(VLOOKUP(E789,Sales_Reps!$A:$C,3,FALSE()),"")</f>
        <v/>
      </c>
      <c r="P789">
        <f>IFERROR(VLOOKUP(C789,Customers!$A:$C,3,FALSE()),"")</f>
        <v>44</v>
      </c>
      <c r="Q789" t="str">
        <f t="shared" si="12"/>
        <v>Nov-24</v>
      </c>
      <c r="R789">
        <f>IFERROR((VLOOKUP(D789,Products!$A:$E,5,FALSE())-VLOOKUP(D789,Products!$A:$E,4,FALSE()))/VLOOKUP(D789,Products!$A:$E,5,FALSE()),"")</f>
        <v>0.4031645569620253</v>
      </c>
    </row>
    <row r="790" spans="1:18" x14ac:dyDescent="0.3">
      <c r="A790" s="22" t="s">
        <v>2035</v>
      </c>
      <c r="B790" s="23">
        <v>45389</v>
      </c>
      <c r="C790" s="22" t="s">
        <v>2036</v>
      </c>
      <c r="D790" s="22" t="s">
        <v>205</v>
      </c>
      <c r="E790" s="22" t="s">
        <v>2037</v>
      </c>
      <c r="F790" s="24">
        <v>6</v>
      </c>
      <c r="G790" s="24">
        <v>3350</v>
      </c>
      <c r="H790" s="24">
        <v>0.9</v>
      </c>
      <c r="I790" s="24">
        <v>19919.099999999999</v>
      </c>
      <c r="J790" s="22" t="s">
        <v>110</v>
      </c>
      <c r="K790" s="22" t="s">
        <v>134</v>
      </c>
      <c r="L790" t="str">
        <f>VLOOKUP(D790,Products!A:F,3,FALSE())</f>
        <v>Beauty</v>
      </c>
      <c r="M790" t="str">
        <f>VLOOKUP(C790,Customers!A:F,5,FALSE())</f>
        <v>Retail</v>
      </c>
      <c r="O790" t="str">
        <f>IFERROR(VLOOKUP(E790,Sales_Reps!$A:$C,3,FALSE()),"")</f>
        <v/>
      </c>
      <c r="P790">
        <f>IFERROR(VLOOKUP(C790,Customers!$A:$C,3,FALSE()),"")</f>
        <v>54</v>
      </c>
      <c r="Q790" t="str">
        <f t="shared" si="12"/>
        <v>Apr-24</v>
      </c>
      <c r="R790">
        <f>IFERROR((VLOOKUP(D790,Products!$A:$E,5,FALSE())-VLOOKUP(D790,Products!$A:$E,4,FALSE()))/VLOOKUP(D790,Products!$A:$E,5,FALSE()),"")</f>
        <v>0.48417910447761192</v>
      </c>
    </row>
    <row r="791" spans="1:18" x14ac:dyDescent="0.3">
      <c r="A791" s="22" t="s">
        <v>2038</v>
      </c>
      <c r="B791" s="23">
        <v>45506</v>
      </c>
      <c r="C791" s="22" t="s">
        <v>1442</v>
      </c>
      <c r="D791" s="22" t="s">
        <v>201</v>
      </c>
      <c r="E791" s="22" t="s">
        <v>2039</v>
      </c>
      <c r="F791" s="24">
        <v>7</v>
      </c>
      <c r="G791" s="24">
        <v>1650</v>
      </c>
      <c r="H791" s="24">
        <v>5.6</v>
      </c>
      <c r="I791" s="24">
        <v>10903.2</v>
      </c>
      <c r="J791" s="22" t="s">
        <v>164</v>
      </c>
      <c r="K791" s="22" t="s">
        <v>105</v>
      </c>
      <c r="L791" t="str">
        <f>VLOOKUP(D791,Products!A:F,3,FALSE())</f>
        <v>Beauty</v>
      </c>
      <c r="M791" t="str">
        <f>VLOOKUP(C791,Customers!A:F,5,FALSE())</f>
        <v>Retail</v>
      </c>
      <c r="O791" t="str">
        <f>IFERROR(VLOOKUP(E791,Sales_Reps!$A:$C,3,FALSE()),"")</f>
        <v/>
      </c>
      <c r="P791">
        <f>IFERROR(VLOOKUP(C791,Customers!$A:$C,3,FALSE()),"")</f>
        <v>54</v>
      </c>
      <c r="Q791" t="str">
        <f t="shared" si="12"/>
        <v>Aug-24</v>
      </c>
      <c r="R791">
        <f>IFERROR((VLOOKUP(D791,Products!$A:$E,5,FALSE())-VLOOKUP(D791,Products!$A:$E,4,FALSE()))/VLOOKUP(D791,Products!$A:$E,5,FALSE()),"")</f>
        <v>0.2593939393939394</v>
      </c>
    </row>
    <row r="792" spans="1:18" x14ac:dyDescent="0.3">
      <c r="A792" s="22" t="s">
        <v>2040</v>
      </c>
      <c r="B792" s="23">
        <v>45402</v>
      </c>
      <c r="C792" s="22" t="s">
        <v>1049</v>
      </c>
      <c r="D792" s="22" t="s">
        <v>141</v>
      </c>
      <c r="E792" s="22" t="s">
        <v>2041</v>
      </c>
      <c r="F792" s="24">
        <v>1</v>
      </c>
      <c r="G792" s="24">
        <v>5490</v>
      </c>
      <c r="H792" s="24">
        <v>5.8</v>
      </c>
      <c r="I792" s="24">
        <v>5171.58</v>
      </c>
      <c r="J792" s="22" t="s">
        <v>104</v>
      </c>
      <c r="K792" s="22" t="s">
        <v>116</v>
      </c>
      <c r="L792" t="str">
        <f>VLOOKUP(D792,Products!A:F,3,FALSE())</f>
        <v>Home</v>
      </c>
      <c r="M792" t="str">
        <f>VLOOKUP(C792,Customers!A:F,5,FALSE())</f>
        <v>SMB</v>
      </c>
      <c r="O792" t="str">
        <f>IFERROR(VLOOKUP(E792,Sales_Reps!$A:$C,3,FALSE()),"")</f>
        <v/>
      </c>
      <c r="P792">
        <f>IFERROR(VLOOKUP(C792,Customers!$A:$C,3,FALSE()),"")</f>
        <v>26</v>
      </c>
      <c r="Q792" t="str">
        <f t="shared" si="12"/>
        <v>Apr-24</v>
      </c>
      <c r="R792">
        <f>IFERROR((VLOOKUP(D792,Products!$A:$E,5,FALSE())-VLOOKUP(D792,Products!$A:$E,4,FALSE()))/VLOOKUP(D792,Products!$A:$E,5,FALSE()),"")</f>
        <v>0.53570127504553733</v>
      </c>
    </row>
    <row r="793" spans="1:18" x14ac:dyDescent="0.3">
      <c r="A793" s="22" t="s">
        <v>2042</v>
      </c>
      <c r="B793" s="23">
        <v>45405</v>
      </c>
      <c r="C793" s="22" t="s">
        <v>170</v>
      </c>
      <c r="D793" s="22" t="s">
        <v>186</v>
      </c>
      <c r="E793" s="22" t="s">
        <v>2043</v>
      </c>
      <c r="F793" s="24">
        <v>3</v>
      </c>
      <c r="G793" s="24">
        <v>1080</v>
      </c>
      <c r="H793" s="24">
        <v>20.9</v>
      </c>
      <c r="I793" s="24">
        <v>2562.84</v>
      </c>
      <c r="J793" s="22" t="s">
        <v>104</v>
      </c>
      <c r="K793" s="22" t="s">
        <v>105</v>
      </c>
      <c r="L793" t="str">
        <f>VLOOKUP(D793,Products!A:F,3,FALSE())</f>
        <v>Home</v>
      </c>
      <c r="M793" t="str">
        <f>VLOOKUP(C793,Customers!A:F,5,FALSE())</f>
        <v>Retail</v>
      </c>
      <c r="O793" t="str">
        <f>IFERROR(VLOOKUP(E793,Sales_Reps!$A:$C,3,FALSE()),"")</f>
        <v/>
      </c>
      <c r="P793">
        <f>IFERROR(VLOOKUP(C793,Customers!$A:$C,3,FALSE()),"")</f>
        <v>63</v>
      </c>
      <c r="Q793" t="str">
        <f t="shared" si="12"/>
        <v>Apr-24</v>
      </c>
      <c r="R793">
        <f>IFERROR((VLOOKUP(D793,Products!$A:$E,5,FALSE())-VLOOKUP(D793,Products!$A:$E,4,FALSE()))/VLOOKUP(D793,Products!$A:$E,5,FALSE()),"")</f>
        <v>0.51944444444444449</v>
      </c>
    </row>
    <row r="794" spans="1:18" x14ac:dyDescent="0.3">
      <c r="A794" s="22" t="s">
        <v>2044</v>
      </c>
      <c r="B794" s="23">
        <v>45434</v>
      </c>
      <c r="C794" s="22" t="s">
        <v>2045</v>
      </c>
      <c r="D794" s="22" t="s">
        <v>275</v>
      </c>
      <c r="E794" s="22" t="s">
        <v>2046</v>
      </c>
      <c r="F794" s="24">
        <v>10</v>
      </c>
      <c r="G794" s="24">
        <v>3780</v>
      </c>
      <c r="H794" s="24">
        <v>5.5</v>
      </c>
      <c r="I794" s="24">
        <v>35721</v>
      </c>
      <c r="J794" s="22" t="s">
        <v>104</v>
      </c>
      <c r="K794" s="22" t="s">
        <v>151</v>
      </c>
      <c r="L794" t="str">
        <f>VLOOKUP(D794,Products!A:F,3,FALSE())</f>
        <v>Grocery</v>
      </c>
      <c r="M794" t="e">
        <f>VLOOKUP(C794,Customers!A:F,5,FALSE())</f>
        <v>#N/A</v>
      </c>
      <c r="O794" t="str">
        <f>IFERROR(VLOOKUP(E794,Sales_Reps!$A:$C,3,FALSE()),"")</f>
        <v/>
      </c>
      <c r="P794" t="str">
        <f>IFERROR(VLOOKUP(C794,Customers!$A:$C,3,FALSE()),"")</f>
        <v/>
      </c>
      <c r="Q794" t="str">
        <f t="shared" si="12"/>
        <v>May-24</v>
      </c>
      <c r="R794">
        <f>IFERROR((VLOOKUP(D794,Products!$A:$E,5,FALSE())-VLOOKUP(D794,Products!$A:$E,4,FALSE()))/VLOOKUP(D794,Products!$A:$E,5,FALSE()),"")</f>
        <v>0.35555555555555557</v>
      </c>
    </row>
    <row r="795" spans="1:18" x14ac:dyDescent="0.3">
      <c r="A795" s="22" t="s">
        <v>2047</v>
      </c>
      <c r="B795" s="23">
        <v>45558</v>
      </c>
      <c r="C795" s="22" t="s">
        <v>240</v>
      </c>
      <c r="D795" s="22" t="s">
        <v>356</v>
      </c>
      <c r="E795" s="22" t="s">
        <v>2048</v>
      </c>
      <c r="F795" s="24">
        <v>2</v>
      </c>
      <c r="G795" s="24">
        <v>2030</v>
      </c>
      <c r="H795" s="24">
        <v>2</v>
      </c>
      <c r="I795" s="24">
        <v>3978.8</v>
      </c>
      <c r="J795" s="22" t="s">
        <v>110</v>
      </c>
      <c r="K795" s="22" t="s">
        <v>151</v>
      </c>
      <c r="L795" t="str">
        <f>VLOOKUP(D795,Products!A:F,3,FALSE())</f>
        <v>Home</v>
      </c>
      <c r="M795" t="str">
        <f>VLOOKUP(C795,Customers!A:F,5,FALSE())</f>
        <v>Retail</v>
      </c>
      <c r="O795" t="str">
        <f>IFERROR(VLOOKUP(E795,Sales_Reps!$A:$C,3,FALSE()),"")</f>
        <v/>
      </c>
      <c r="P795">
        <f>IFERROR(VLOOKUP(C795,Customers!$A:$C,3,FALSE()),"")</f>
        <v>26</v>
      </c>
      <c r="Q795" t="str">
        <f t="shared" si="12"/>
        <v>Sep-24</v>
      </c>
      <c r="R795">
        <f>IFERROR((VLOOKUP(D795,Products!$A:$E,5,FALSE())-VLOOKUP(D795,Products!$A:$E,4,FALSE()))/VLOOKUP(D795,Products!$A:$E,5,FALSE()),"")</f>
        <v>0.43694581280788175</v>
      </c>
    </row>
    <row r="796" spans="1:18" x14ac:dyDescent="0.3">
      <c r="A796" s="22" t="s">
        <v>2049</v>
      </c>
      <c r="B796" s="23">
        <v>45582</v>
      </c>
      <c r="C796" s="22" t="s">
        <v>778</v>
      </c>
      <c r="D796" s="22" t="s">
        <v>308</v>
      </c>
      <c r="E796" s="22" t="s">
        <v>2050</v>
      </c>
      <c r="F796" s="24">
        <v>8</v>
      </c>
      <c r="G796" s="24">
        <v>1540</v>
      </c>
      <c r="H796" s="24">
        <v>9</v>
      </c>
      <c r="I796" s="24">
        <v>11211.2</v>
      </c>
      <c r="J796" s="22" t="s">
        <v>159</v>
      </c>
      <c r="K796" s="22" t="s">
        <v>134</v>
      </c>
      <c r="L796" t="str">
        <f>VLOOKUP(D796,Products!A:F,3,FALSE())</f>
        <v>Beauty</v>
      </c>
      <c r="M796" t="str">
        <f>VLOOKUP(C796,Customers!A:F,5,FALSE())</f>
        <v>Corporate</v>
      </c>
      <c r="O796" t="str">
        <f>IFERROR(VLOOKUP(E796,Sales_Reps!$A:$C,3,FALSE()),"")</f>
        <v/>
      </c>
      <c r="P796">
        <f>IFERROR(VLOOKUP(C796,Customers!$A:$C,3,FALSE()),"")</f>
        <v>41</v>
      </c>
      <c r="Q796" t="str">
        <f t="shared" si="12"/>
        <v>Oct-24</v>
      </c>
      <c r="R796">
        <f>IFERROR((VLOOKUP(D796,Products!$A:$E,5,FALSE())-VLOOKUP(D796,Products!$A:$E,4,FALSE()))/VLOOKUP(D796,Products!$A:$E,5,FALSE()),"")</f>
        <v>0.57987012987012987</v>
      </c>
    </row>
    <row r="797" spans="1:18" x14ac:dyDescent="0.3">
      <c r="A797" s="22" t="s">
        <v>2051</v>
      </c>
      <c r="B797" s="23">
        <v>45601</v>
      </c>
      <c r="C797" s="22" t="s">
        <v>144</v>
      </c>
      <c r="D797" s="22" t="s">
        <v>162</v>
      </c>
      <c r="E797" s="22" t="s">
        <v>2052</v>
      </c>
      <c r="F797" s="24">
        <v>9</v>
      </c>
      <c r="G797" s="24">
        <v>3250</v>
      </c>
      <c r="H797" s="24">
        <v>20.5</v>
      </c>
      <c r="I797" s="24">
        <v>23253.75</v>
      </c>
      <c r="J797" s="22" t="s">
        <v>104</v>
      </c>
      <c r="K797" s="22" t="s">
        <v>105</v>
      </c>
      <c r="L797" t="str">
        <f>VLOOKUP(D797,Products!A:F,3,FALSE())</f>
        <v>Home</v>
      </c>
      <c r="M797" t="str">
        <f>VLOOKUP(C797,Customers!A:F,5,FALSE())</f>
        <v>Retail</v>
      </c>
      <c r="O797" t="str">
        <f>IFERROR(VLOOKUP(E797,Sales_Reps!$A:$C,3,FALSE()),"")</f>
        <v/>
      </c>
      <c r="P797">
        <f>IFERROR(VLOOKUP(C797,Customers!$A:$C,3,FALSE()),"")</f>
        <v>56</v>
      </c>
      <c r="Q797" t="str">
        <f t="shared" si="12"/>
        <v>Nov-24</v>
      </c>
      <c r="R797">
        <f>IFERROR((VLOOKUP(D797,Products!$A:$E,5,FALSE())-VLOOKUP(D797,Products!$A:$E,4,FALSE()))/VLOOKUP(D797,Products!$A:$E,5,FALSE()),"")</f>
        <v>0.52123076923076928</v>
      </c>
    </row>
    <row r="798" spans="1:18" x14ac:dyDescent="0.3">
      <c r="A798" s="22" t="s">
        <v>2053</v>
      </c>
      <c r="B798" s="23">
        <v>45344</v>
      </c>
      <c r="C798" s="22" t="s">
        <v>508</v>
      </c>
      <c r="D798" s="22" t="s">
        <v>178</v>
      </c>
      <c r="E798" s="22" t="s">
        <v>2054</v>
      </c>
      <c r="F798" s="24">
        <v>3</v>
      </c>
      <c r="G798" s="24">
        <v>3450</v>
      </c>
      <c r="H798" s="24">
        <v>17.899999999999999</v>
      </c>
      <c r="I798" s="24">
        <v>8497.35</v>
      </c>
      <c r="J798" s="22" t="s">
        <v>104</v>
      </c>
      <c r="K798" s="22" t="s">
        <v>116</v>
      </c>
      <c r="L798" t="str">
        <f>VLOOKUP(D798,Products!A:F,3,FALSE())</f>
        <v>Beauty</v>
      </c>
      <c r="M798" t="str">
        <f>VLOOKUP(C798,Customers!A:F,5,FALSE())</f>
        <v>SMB</v>
      </c>
      <c r="O798" t="str">
        <f>IFERROR(VLOOKUP(E798,Sales_Reps!$A:$C,3,FALSE()),"")</f>
        <v/>
      </c>
      <c r="P798">
        <f>IFERROR(VLOOKUP(C798,Customers!$A:$C,3,FALSE()),"")</f>
        <v>53</v>
      </c>
      <c r="Q798" t="str">
        <f t="shared" si="12"/>
        <v>Feb-24</v>
      </c>
      <c r="R798">
        <f>IFERROR((VLOOKUP(D798,Products!$A:$E,5,FALSE())-VLOOKUP(D798,Products!$A:$E,4,FALSE()))/VLOOKUP(D798,Products!$A:$E,5,FALSE()),"")</f>
        <v>0.29855072463768118</v>
      </c>
    </row>
    <row r="799" spans="1:18" x14ac:dyDescent="0.3">
      <c r="A799" s="22" t="s">
        <v>2055</v>
      </c>
      <c r="B799" s="23">
        <v>45504</v>
      </c>
      <c r="C799" s="22" t="s">
        <v>517</v>
      </c>
      <c r="D799" s="22" t="s">
        <v>141</v>
      </c>
      <c r="E799" s="22" t="s">
        <v>2056</v>
      </c>
      <c r="F799" s="24">
        <v>5</v>
      </c>
      <c r="G799" s="24">
        <v>5490</v>
      </c>
      <c r="H799" s="24">
        <v>7.9</v>
      </c>
      <c r="I799" s="24">
        <v>25281.45</v>
      </c>
      <c r="J799" s="22" t="s">
        <v>104</v>
      </c>
      <c r="K799" s="22" t="s">
        <v>111</v>
      </c>
      <c r="L799" t="str">
        <f>VLOOKUP(D799,Products!A:F,3,FALSE())</f>
        <v>Home</v>
      </c>
      <c r="M799" t="str">
        <f>VLOOKUP(C799,Customers!A:F,5,FALSE())</f>
        <v>Corporate</v>
      </c>
      <c r="O799" t="str">
        <f>IFERROR(VLOOKUP(E799,Sales_Reps!$A:$C,3,FALSE()),"")</f>
        <v/>
      </c>
      <c r="P799">
        <f>IFERROR(VLOOKUP(C799,Customers!$A:$C,3,FALSE()),"")</f>
        <v>24</v>
      </c>
      <c r="Q799" t="str">
        <f t="shared" si="12"/>
        <v>Jul-24</v>
      </c>
      <c r="R799">
        <f>IFERROR((VLOOKUP(D799,Products!$A:$E,5,FALSE())-VLOOKUP(D799,Products!$A:$E,4,FALSE()))/VLOOKUP(D799,Products!$A:$E,5,FALSE()),"")</f>
        <v>0.53570127504553733</v>
      </c>
    </row>
    <row r="800" spans="1:18" x14ac:dyDescent="0.3">
      <c r="A800" s="22" t="s">
        <v>2057</v>
      </c>
      <c r="B800" s="23">
        <v>45306</v>
      </c>
      <c r="C800" s="22" t="s">
        <v>876</v>
      </c>
      <c r="D800" s="22" t="s">
        <v>127</v>
      </c>
      <c r="E800" s="22" t="s">
        <v>2058</v>
      </c>
      <c r="F800" s="24">
        <v>3</v>
      </c>
      <c r="G800" s="24">
        <v>370</v>
      </c>
      <c r="H800" s="24">
        <v>13.4</v>
      </c>
      <c r="I800" s="24">
        <v>961.26</v>
      </c>
      <c r="J800" s="22" t="s">
        <v>104</v>
      </c>
      <c r="K800" s="22" t="s">
        <v>116</v>
      </c>
      <c r="L800" t="str">
        <f>VLOOKUP(D800,Products!A:F,3,FALSE())</f>
        <v>Home</v>
      </c>
      <c r="M800" t="str">
        <f>VLOOKUP(C800,Customers!A:F,5,FALSE())</f>
        <v>Retail</v>
      </c>
      <c r="O800" t="str">
        <f>IFERROR(VLOOKUP(E800,Sales_Reps!$A:$C,3,FALSE()),"")</f>
        <v/>
      </c>
      <c r="P800">
        <f>IFERROR(VLOOKUP(C800,Customers!$A:$C,3,FALSE()),"")</f>
        <v>40</v>
      </c>
      <c r="Q800" t="str">
        <f t="shared" si="12"/>
        <v>Jan-24</v>
      </c>
      <c r="R800">
        <f>IFERROR((VLOOKUP(D800,Products!$A:$E,5,FALSE())-VLOOKUP(D800,Products!$A:$E,4,FALSE()))/VLOOKUP(D800,Products!$A:$E,5,FALSE()),"")</f>
        <v>0.22162162162162163</v>
      </c>
    </row>
    <row r="801" spans="1:18" x14ac:dyDescent="0.3">
      <c r="A801" s="22" t="s">
        <v>2059</v>
      </c>
      <c r="B801" s="23">
        <v>45413</v>
      </c>
      <c r="C801" s="22" t="s">
        <v>476</v>
      </c>
      <c r="D801" s="22" t="s">
        <v>455</v>
      </c>
      <c r="E801" s="22" t="s">
        <v>2060</v>
      </c>
      <c r="F801" s="24">
        <v>7</v>
      </c>
      <c r="G801" s="24">
        <v>5330</v>
      </c>
      <c r="H801" s="24">
        <v>29.7</v>
      </c>
      <c r="I801" s="24">
        <v>26228.93</v>
      </c>
      <c r="J801" s="22" t="s">
        <v>110</v>
      </c>
      <c r="K801" s="22" t="s">
        <v>111</v>
      </c>
      <c r="L801" t="str">
        <f>VLOOKUP(D801,Products!A:F,3,FALSE())</f>
        <v>Electronics</v>
      </c>
      <c r="M801" t="str">
        <f>VLOOKUP(C801,Customers!A:F,5,FALSE())</f>
        <v>SMB</v>
      </c>
      <c r="O801" t="str">
        <f>IFERROR(VLOOKUP(E801,Sales_Reps!$A:$C,3,FALSE()),"")</f>
        <v/>
      </c>
      <c r="P801">
        <f>IFERROR(VLOOKUP(C801,Customers!$A:$C,3,FALSE()),"")</f>
        <v>53</v>
      </c>
      <c r="Q801" t="str">
        <f t="shared" si="12"/>
        <v>May-24</v>
      </c>
      <c r="R801">
        <f>IFERROR((VLOOKUP(D801,Products!$A:$E,5,FALSE())-VLOOKUP(D801,Products!$A:$E,4,FALSE()))/VLOOKUP(D801,Products!$A:$E,5,FALSE()),"")</f>
        <v>0.54878048780487809</v>
      </c>
    </row>
    <row r="802" spans="1:18" x14ac:dyDescent="0.3">
      <c r="A802" s="22" t="s">
        <v>2061</v>
      </c>
      <c r="B802" s="23">
        <v>45368</v>
      </c>
      <c r="C802" s="22" t="s">
        <v>1659</v>
      </c>
      <c r="D802" s="22" t="s">
        <v>182</v>
      </c>
      <c r="E802" s="22" t="s">
        <v>2062</v>
      </c>
      <c r="F802" s="24">
        <v>8</v>
      </c>
      <c r="G802" s="24">
        <v>3450</v>
      </c>
      <c r="H802" s="24">
        <v>23.7</v>
      </c>
      <c r="I802" s="24">
        <v>21058.799999999999</v>
      </c>
      <c r="J802" s="22" t="s">
        <v>104</v>
      </c>
      <c r="K802" s="22" t="s">
        <v>111</v>
      </c>
      <c r="L802" t="str">
        <f>VLOOKUP(D802,Products!A:F,3,FALSE())</f>
        <v>Sports</v>
      </c>
      <c r="M802" t="str">
        <f>VLOOKUP(C802,Customers!A:F,5,FALSE())</f>
        <v>Retail</v>
      </c>
      <c r="O802" t="str">
        <f>IFERROR(VLOOKUP(E802,Sales_Reps!$A:$C,3,FALSE()),"")</f>
        <v/>
      </c>
      <c r="P802">
        <f>IFERROR(VLOOKUP(C802,Customers!$A:$C,3,FALSE()),"")</f>
        <v>49</v>
      </c>
      <c r="Q802" t="str">
        <f t="shared" si="12"/>
        <v>Mar-24</v>
      </c>
      <c r="R802">
        <f>IFERROR((VLOOKUP(D802,Products!$A:$E,5,FALSE())-VLOOKUP(D802,Products!$A:$E,4,FALSE()))/VLOOKUP(D802,Products!$A:$E,5,FALSE()),"")</f>
        <v>0.28492753623188405</v>
      </c>
    </row>
    <row r="803" spans="1:18" x14ac:dyDescent="0.3">
      <c r="A803" s="22" t="s">
        <v>2063</v>
      </c>
      <c r="B803" s="23">
        <v>45316</v>
      </c>
      <c r="C803" s="22" t="s">
        <v>452</v>
      </c>
      <c r="D803" s="22" t="s">
        <v>591</v>
      </c>
      <c r="E803" s="22" t="s">
        <v>2064</v>
      </c>
      <c r="F803" s="24">
        <v>8</v>
      </c>
      <c r="G803" s="24">
        <v>3450</v>
      </c>
      <c r="H803" s="24">
        <v>5.4</v>
      </c>
      <c r="I803" s="24">
        <v>26109.599999999999</v>
      </c>
      <c r="J803" s="22" t="s">
        <v>104</v>
      </c>
      <c r="K803" s="22" t="s">
        <v>111</v>
      </c>
      <c r="L803" t="str">
        <f>VLOOKUP(D803,Products!A:F,3,FALSE())</f>
        <v>Apparel</v>
      </c>
      <c r="M803" t="str">
        <f>VLOOKUP(C803,Customers!A:F,5,FALSE())</f>
        <v>Corporate</v>
      </c>
      <c r="O803" t="str">
        <f>IFERROR(VLOOKUP(E803,Sales_Reps!$A:$C,3,FALSE()),"")</f>
        <v/>
      </c>
      <c r="P803">
        <f>IFERROR(VLOOKUP(C803,Customers!$A:$C,3,FALSE()),"")</f>
        <v>51</v>
      </c>
      <c r="Q803" t="str">
        <f t="shared" si="12"/>
        <v>Jan-24</v>
      </c>
      <c r="R803">
        <f>IFERROR((VLOOKUP(D803,Products!$A:$E,5,FALSE())-VLOOKUP(D803,Products!$A:$E,4,FALSE()))/VLOOKUP(D803,Products!$A:$E,5,FALSE()),"")</f>
        <v>0.49333333333333335</v>
      </c>
    </row>
    <row r="804" spans="1:18" x14ac:dyDescent="0.3">
      <c r="A804" s="22" t="s">
        <v>2065</v>
      </c>
      <c r="B804" s="23">
        <v>45652</v>
      </c>
      <c r="C804" s="22" t="s">
        <v>1309</v>
      </c>
      <c r="D804" s="22" t="s">
        <v>283</v>
      </c>
      <c r="E804" s="22" t="s">
        <v>2066</v>
      </c>
      <c r="F804" s="24">
        <v>1</v>
      </c>
      <c r="G804" s="24">
        <v>6080</v>
      </c>
      <c r="H804" s="24">
        <v>22.3</v>
      </c>
      <c r="I804" s="24">
        <v>4724.16</v>
      </c>
      <c r="J804" s="22" t="s">
        <v>104</v>
      </c>
      <c r="K804" s="22" t="s">
        <v>129</v>
      </c>
      <c r="L804" t="str">
        <f>VLOOKUP(D804,Products!A:F,3,FALSE())</f>
        <v>Beauty</v>
      </c>
      <c r="M804" t="str">
        <f>VLOOKUP(C804,Customers!A:F,5,FALSE())</f>
        <v>Corporate</v>
      </c>
      <c r="O804" t="str">
        <f>IFERROR(VLOOKUP(E804,Sales_Reps!$A:$C,3,FALSE()),"")</f>
        <v/>
      </c>
      <c r="P804">
        <f>IFERROR(VLOOKUP(C804,Customers!$A:$C,3,FALSE()),"")</f>
        <v>62</v>
      </c>
      <c r="Q804" t="str">
        <f t="shared" si="12"/>
        <v>Dec-24</v>
      </c>
      <c r="R804">
        <f>IFERROR((VLOOKUP(D804,Products!$A:$E,5,FALSE())-VLOOKUP(D804,Products!$A:$E,4,FALSE()))/VLOOKUP(D804,Products!$A:$E,5,FALSE()),"")</f>
        <v>0.56957236842105263</v>
      </c>
    </row>
    <row r="805" spans="1:18" x14ac:dyDescent="0.3">
      <c r="A805" s="22" t="s">
        <v>2067</v>
      </c>
      <c r="B805" s="23">
        <v>45597</v>
      </c>
      <c r="C805" s="22" t="s">
        <v>255</v>
      </c>
      <c r="D805" s="22" t="s">
        <v>442</v>
      </c>
      <c r="E805" s="22" t="s">
        <v>2068</v>
      </c>
      <c r="F805" s="24">
        <v>9</v>
      </c>
      <c r="G805" s="24">
        <v>2510</v>
      </c>
      <c r="H805" s="24">
        <v>27.4</v>
      </c>
      <c r="I805" s="24">
        <v>16400.34</v>
      </c>
      <c r="J805" s="22" t="s">
        <v>104</v>
      </c>
      <c r="K805" s="22" t="s">
        <v>116</v>
      </c>
      <c r="L805" t="str">
        <f>VLOOKUP(D805,Products!A:F,3,FALSE())</f>
        <v>Apparel</v>
      </c>
      <c r="M805" t="str">
        <f>VLOOKUP(C805,Customers!A:F,5,FALSE())</f>
        <v>SMB</v>
      </c>
      <c r="O805" t="str">
        <f>IFERROR(VLOOKUP(E805,Sales_Reps!$A:$C,3,FALSE()),"")</f>
        <v/>
      </c>
      <c r="P805">
        <f>IFERROR(VLOOKUP(C805,Customers!$A:$C,3,FALSE()),"")</f>
        <v>50</v>
      </c>
      <c r="Q805" t="str">
        <f t="shared" si="12"/>
        <v>Nov-24</v>
      </c>
      <c r="R805">
        <f>IFERROR((VLOOKUP(D805,Products!$A:$E,5,FALSE())-VLOOKUP(D805,Products!$A:$E,4,FALSE()))/VLOOKUP(D805,Products!$A:$E,5,FALSE()),"")</f>
        <v>0.57171314741035861</v>
      </c>
    </row>
    <row r="806" spans="1:18" x14ac:dyDescent="0.3">
      <c r="A806" s="22" t="s">
        <v>2069</v>
      </c>
      <c r="B806" s="23">
        <v>45392</v>
      </c>
      <c r="C806" s="22" t="s">
        <v>181</v>
      </c>
      <c r="D806" s="22" t="s">
        <v>209</v>
      </c>
      <c r="E806" s="22" t="s">
        <v>2070</v>
      </c>
      <c r="F806" s="24">
        <v>10</v>
      </c>
      <c r="G806" s="24">
        <v>1010</v>
      </c>
      <c r="H806" s="24">
        <v>28.4</v>
      </c>
      <c r="I806" s="24">
        <v>7231.6</v>
      </c>
      <c r="J806" s="22" t="s">
        <v>104</v>
      </c>
      <c r="K806" s="22" t="s">
        <v>129</v>
      </c>
      <c r="L806" t="str">
        <f>VLOOKUP(D806,Products!A:F,3,FALSE())</f>
        <v>Sports</v>
      </c>
      <c r="M806" t="str">
        <f>VLOOKUP(C806,Customers!A:F,5,FALSE())</f>
        <v>Retail</v>
      </c>
      <c r="O806" t="str">
        <f>IFERROR(VLOOKUP(E806,Sales_Reps!$A:$C,3,FALSE()),"")</f>
        <v/>
      </c>
      <c r="P806">
        <f>IFERROR(VLOOKUP(C806,Customers!$A:$C,3,FALSE()),"")</f>
        <v>54</v>
      </c>
      <c r="Q806" t="str">
        <f t="shared" si="12"/>
        <v>Apr-24</v>
      </c>
      <c r="R806">
        <f>IFERROR((VLOOKUP(D806,Products!$A:$E,5,FALSE())-VLOOKUP(D806,Products!$A:$E,4,FALSE()))/VLOOKUP(D806,Products!$A:$E,5,FALSE()),"")</f>
        <v>0.4891089108910891</v>
      </c>
    </row>
    <row r="807" spans="1:18" x14ac:dyDescent="0.3">
      <c r="A807" s="22" t="s">
        <v>2071</v>
      </c>
      <c r="B807" s="23">
        <v>45401</v>
      </c>
      <c r="C807" s="22" t="s">
        <v>1634</v>
      </c>
      <c r="D807" s="22" t="s">
        <v>935</v>
      </c>
      <c r="E807" s="22" t="s">
        <v>2072</v>
      </c>
      <c r="F807" s="24">
        <v>1</v>
      </c>
      <c r="G807" s="24">
        <v>3560</v>
      </c>
      <c r="H807" s="24">
        <v>26</v>
      </c>
      <c r="I807" s="24">
        <v>2634.4</v>
      </c>
      <c r="J807" s="22" t="s">
        <v>104</v>
      </c>
      <c r="K807" s="22" t="s">
        <v>129</v>
      </c>
      <c r="L807" t="str">
        <f>VLOOKUP(D807,Products!A:F,3,FALSE())</f>
        <v>Apparel</v>
      </c>
      <c r="M807" t="str">
        <f>VLOOKUP(C807,Customers!A:F,5,FALSE())</f>
        <v>Retail</v>
      </c>
      <c r="O807" t="str">
        <f>IFERROR(VLOOKUP(E807,Sales_Reps!$A:$C,3,FALSE()),"")</f>
        <v/>
      </c>
      <c r="P807">
        <f>IFERROR(VLOOKUP(C807,Customers!$A:$C,3,FALSE()),"")</f>
        <v>54</v>
      </c>
      <c r="Q807" t="str">
        <f t="shared" si="12"/>
        <v>Apr-24</v>
      </c>
      <c r="R807">
        <f>IFERROR((VLOOKUP(D807,Products!$A:$E,5,FALSE())-VLOOKUP(D807,Products!$A:$E,4,FALSE()))/VLOOKUP(D807,Products!$A:$E,5,FALSE()),"")</f>
        <v>0.26151685393258428</v>
      </c>
    </row>
    <row r="808" spans="1:18" x14ac:dyDescent="0.3">
      <c r="A808" s="22" t="s">
        <v>2073</v>
      </c>
      <c r="B808" s="23">
        <v>45397</v>
      </c>
      <c r="C808" s="22" t="s">
        <v>594</v>
      </c>
      <c r="D808" s="22" t="s">
        <v>330</v>
      </c>
      <c r="E808" s="22" t="s">
        <v>2074</v>
      </c>
      <c r="F808" s="24">
        <v>8</v>
      </c>
      <c r="G808" s="24">
        <v>3020</v>
      </c>
      <c r="H808" s="24">
        <v>6.9</v>
      </c>
      <c r="I808" s="24">
        <v>22492.959999999999</v>
      </c>
      <c r="J808" s="22" t="s">
        <v>104</v>
      </c>
      <c r="K808" s="22" t="s">
        <v>151</v>
      </c>
      <c r="L808" t="str">
        <f>VLOOKUP(D808,Products!A:F,3,FALSE())</f>
        <v>Beauty</v>
      </c>
      <c r="M808" t="str">
        <f>VLOOKUP(C808,Customers!A:F,5,FALSE())</f>
        <v>Corporate</v>
      </c>
      <c r="O808" t="str">
        <f>IFERROR(VLOOKUP(E808,Sales_Reps!$A:$C,3,FALSE()),"")</f>
        <v/>
      </c>
      <c r="P808">
        <f>IFERROR(VLOOKUP(C808,Customers!$A:$C,3,FALSE()),"")</f>
        <v>43</v>
      </c>
      <c r="Q808" t="str">
        <f t="shared" si="12"/>
        <v>Apr-24</v>
      </c>
      <c r="R808">
        <f>IFERROR((VLOOKUP(D808,Products!$A:$E,5,FALSE())-VLOOKUP(D808,Products!$A:$E,4,FALSE()))/VLOOKUP(D808,Products!$A:$E,5,FALSE()),"")</f>
        <v>0.46158940397350995</v>
      </c>
    </row>
    <row r="809" spans="1:18" x14ac:dyDescent="0.3">
      <c r="A809" s="22" t="s">
        <v>2075</v>
      </c>
      <c r="B809" s="23">
        <v>45301</v>
      </c>
      <c r="C809" s="22" t="s">
        <v>810</v>
      </c>
      <c r="D809" s="22" t="s">
        <v>315</v>
      </c>
      <c r="E809" s="22" t="s">
        <v>2076</v>
      </c>
      <c r="F809" s="24">
        <v>1</v>
      </c>
      <c r="G809" s="24">
        <v>4070</v>
      </c>
      <c r="H809" s="24">
        <v>8.1999999999999993</v>
      </c>
      <c r="I809" s="24">
        <v>3736.26</v>
      </c>
      <c r="J809" s="22" t="s">
        <v>104</v>
      </c>
      <c r="K809" s="22" t="s">
        <v>111</v>
      </c>
      <c r="L809" t="str">
        <f>VLOOKUP(D809,Products!A:F,3,FALSE())</f>
        <v>Grocery</v>
      </c>
      <c r="M809" t="str">
        <f>VLOOKUP(C809,Customers!A:F,5,FALSE())</f>
        <v>Retail</v>
      </c>
      <c r="O809" t="str">
        <f>IFERROR(VLOOKUP(E809,Sales_Reps!$A:$C,3,FALSE()),"")</f>
        <v/>
      </c>
      <c r="P809">
        <f>IFERROR(VLOOKUP(C809,Customers!$A:$C,3,FALSE()),"")</f>
        <v>26</v>
      </c>
      <c r="Q809" t="str">
        <f t="shared" si="12"/>
        <v>Jan-24</v>
      </c>
      <c r="R809">
        <f>IFERROR((VLOOKUP(D809,Products!$A:$E,5,FALSE())-VLOOKUP(D809,Products!$A:$E,4,FALSE()))/VLOOKUP(D809,Products!$A:$E,5,FALSE()),"")</f>
        <v>0.50196560196560192</v>
      </c>
    </row>
    <row r="810" spans="1:18" x14ac:dyDescent="0.3">
      <c r="A810" s="22" t="s">
        <v>2077</v>
      </c>
      <c r="B810" s="23">
        <v>45347</v>
      </c>
      <c r="C810" s="22" t="s">
        <v>1984</v>
      </c>
      <c r="D810" s="22" t="s">
        <v>127</v>
      </c>
      <c r="E810" s="22" t="s">
        <v>2078</v>
      </c>
      <c r="F810" s="24">
        <v>9</v>
      </c>
      <c r="G810" s="24">
        <v>370</v>
      </c>
      <c r="H810" s="24">
        <v>19.8</v>
      </c>
      <c r="I810" s="24">
        <v>2670.66</v>
      </c>
      <c r="J810" s="22" t="s">
        <v>104</v>
      </c>
      <c r="K810" s="22" t="s">
        <v>129</v>
      </c>
      <c r="L810" t="str">
        <f>VLOOKUP(D810,Products!A:F,3,FALSE())</f>
        <v>Home</v>
      </c>
      <c r="M810" t="str">
        <f>VLOOKUP(C810,Customers!A:F,5,FALSE())</f>
        <v>Retail</v>
      </c>
      <c r="O810" t="str">
        <f>IFERROR(VLOOKUP(E810,Sales_Reps!$A:$C,3,FALSE()),"")</f>
        <v/>
      </c>
      <c r="P810">
        <f>IFERROR(VLOOKUP(C810,Customers!$A:$C,3,FALSE()),"")</f>
        <v>29</v>
      </c>
      <c r="Q810" t="str">
        <f t="shared" si="12"/>
        <v>Feb-24</v>
      </c>
      <c r="R810">
        <f>IFERROR((VLOOKUP(D810,Products!$A:$E,5,FALSE())-VLOOKUP(D810,Products!$A:$E,4,FALSE()))/VLOOKUP(D810,Products!$A:$E,5,FALSE()),"")</f>
        <v>0.22162162162162163</v>
      </c>
    </row>
    <row r="811" spans="1:18" x14ac:dyDescent="0.3">
      <c r="A811" s="22" t="s">
        <v>2079</v>
      </c>
      <c r="B811" s="23">
        <v>45544</v>
      </c>
      <c r="C811" s="22" t="s">
        <v>1328</v>
      </c>
      <c r="D811" s="22" t="s">
        <v>145</v>
      </c>
      <c r="E811" s="22" t="s">
        <v>2080</v>
      </c>
      <c r="F811" s="24">
        <v>6</v>
      </c>
      <c r="G811" s="24">
        <v>970</v>
      </c>
      <c r="H811" s="24">
        <v>16.2</v>
      </c>
      <c r="I811" s="24">
        <v>4877.16</v>
      </c>
      <c r="J811" s="22" t="s">
        <v>104</v>
      </c>
      <c r="K811" s="22" t="s">
        <v>151</v>
      </c>
      <c r="L811" t="str">
        <f>VLOOKUP(D811,Products!A:F,3,FALSE())</f>
        <v>Grocery</v>
      </c>
      <c r="M811" t="str">
        <f>VLOOKUP(C811,Customers!A:F,5,FALSE())</f>
        <v>SMB</v>
      </c>
      <c r="O811" t="str">
        <f>IFERROR(VLOOKUP(E811,Sales_Reps!$A:$C,3,FALSE()),"")</f>
        <v/>
      </c>
      <c r="P811">
        <f>IFERROR(VLOOKUP(C811,Customers!$A:$C,3,FALSE()),"")</f>
        <v>28</v>
      </c>
      <c r="Q811" t="str">
        <f t="shared" si="12"/>
        <v>Sep-24</v>
      </c>
      <c r="R811">
        <f>IFERROR((VLOOKUP(D811,Products!$A:$E,5,FALSE())-VLOOKUP(D811,Products!$A:$E,4,FALSE()))/VLOOKUP(D811,Products!$A:$E,5,FALSE()),"")</f>
        <v>0.5525773195876289</v>
      </c>
    </row>
    <row r="812" spans="1:18" x14ac:dyDescent="0.3">
      <c r="A812" s="22" t="s">
        <v>2081</v>
      </c>
      <c r="B812" s="23">
        <v>45633</v>
      </c>
      <c r="C812" s="22" t="s">
        <v>386</v>
      </c>
      <c r="D812" s="22" t="s">
        <v>197</v>
      </c>
      <c r="E812" s="22" t="s">
        <v>2082</v>
      </c>
      <c r="F812" s="24">
        <v>10</v>
      </c>
      <c r="G812" s="24">
        <v>2720</v>
      </c>
      <c r="H812" s="24">
        <v>3</v>
      </c>
      <c r="I812" s="24">
        <v>26384</v>
      </c>
      <c r="J812" s="22" t="s">
        <v>110</v>
      </c>
      <c r="K812" s="22" t="s">
        <v>105</v>
      </c>
      <c r="L812" t="str">
        <f>VLOOKUP(D812,Products!A:F,3,FALSE())</f>
        <v>Apparel</v>
      </c>
      <c r="M812" t="str">
        <f>VLOOKUP(C812,Customers!A:F,5,FALSE())</f>
        <v>SMB</v>
      </c>
      <c r="O812" t="str">
        <f>IFERROR(VLOOKUP(E812,Sales_Reps!$A:$C,3,FALSE()),"")</f>
        <v/>
      </c>
      <c r="P812">
        <f>IFERROR(VLOOKUP(C812,Customers!$A:$C,3,FALSE()),"")</f>
        <v>60</v>
      </c>
      <c r="Q812" t="str">
        <f t="shared" si="12"/>
        <v>Dec-24</v>
      </c>
      <c r="R812">
        <f>IFERROR((VLOOKUP(D812,Products!$A:$E,5,FALSE())-VLOOKUP(D812,Products!$A:$E,4,FALSE()))/VLOOKUP(D812,Products!$A:$E,5,FALSE()),"")</f>
        <v>0.2786764705882353</v>
      </c>
    </row>
    <row r="813" spans="1:18" x14ac:dyDescent="0.3">
      <c r="A813" s="22" t="s">
        <v>2083</v>
      </c>
      <c r="B813" s="23">
        <v>45293</v>
      </c>
      <c r="C813" s="22" t="s">
        <v>1106</v>
      </c>
      <c r="D813" s="22" t="s">
        <v>171</v>
      </c>
      <c r="E813" s="22" t="s">
        <v>2084</v>
      </c>
      <c r="F813" s="24">
        <v>7</v>
      </c>
      <c r="G813" s="24">
        <v>2400</v>
      </c>
      <c r="H813" s="24">
        <v>29.4</v>
      </c>
      <c r="I813" s="24">
        <v>11860.8</v>
      </c>
      <c r="J813" s="22" t="s">
        <v>104</v>
      </c>
      <c r="K813" s="22" t="s">
        <v>134</v>
      </c>
      <c r="L813" t="str">
        <f>VLOOKUP(D813,Products!A:F,3,FALSE())</f>
        <v>Sports</v>
      </c>
      <c r="M813" t="str">
        <f>VLOOKUP(C813,Customers!A:F,5,FALSE())</f>
        <v>Corporate</v>
      </c>
      <c r="O813" t="str">
        <f>IFERROR(VLOOKUP(E813,Sales_Reps!$A:$C,3,FALSE()),"")</f>
        <v/>
      </c>
      <c r="P813">
        <f>IFERROR(VLOOKUP(C813,Customers!$A:$C,3,FALSE()),"")</f>
        <v>43</v>
      </c>
      <c r="Q813" t="str">
        <f t="shared" si="12"/>
        <v>Jan-24</v>
      </c>
      <c r="R813">
        <f>IFERROR((VLOOKUP(D813,Products!$A:$E,5,FALSE())-VLOOKUP(D813,Products!$A:$E,4,FALSE()))/VLOOKUP(D813,Products!$A:$E,5,FALSE()),"")</f>
        <v>0.59416666666666662</v>
      </c>
    </row>
    <row r="814" spans="1:18" x14ac:dyDescent="0.3">
      <c r="A814" s="22" t="s">
        <v>2085</v>
      </c>
      <c r="B814" s="23">
        <v>45564</v>
      </c>
      <c r="C814" s="22" t="s">
        <v>576</v>
      </c>
      <c r="D814" s="22" t="s">
        <v>935</v>
      </c>
      <c r="E814" s="22" t="s">
        <v>2086</v>
      </c>
      <c r="F814" s="24">
        <v>8</v>
      </c>
      <c r="G814" s="24">
        <v>3560</v>
      </c>
      <c r="H814" s="24">
        <v>21.7</v>
      </c>
      <c r="I814" s="24">
        <v>22299.84</v>
      </c>
      <c r="J814" s="22" t="s">
        <v>104</v>
      </c>
      <c r="K814" s="22" t="s">
        <v>105</v>
      </c>
      <c r="L814" t="str">
        <f>VLOOKUP(D814,Products!A:F,3,FALSE())</f>
        <v>Apparel</v>
      </c>
      <c r="M814" t="str">
        <f>VLOOKUP(C814,Customers!A:F,5,FALSE())</f>
        <v>Retail</v>
      </c>
      <c r="O814" t="str">
        <f>IFERROR(VLOOKUP(E814,Sales_Reps!$A:$C,3,FALSE()),"")</f>
        <v/>
      </c>
      <c r="P814">
        <f>IFERROR(VLOOKUP(C814,Customers!$A:$C,3,FALSE()),"")</f>
        <v>65</v>
      </c>
      <c r="Q814" t="str">
        <f t="shared" si="12"/>
        <v>Sep-24</v>
      </c>
      <c r="R814">
        <f>IFERROR((VLOOKUP(D814,Products!$A:$E,5,FALSE())-VLOOKUP(D814,Products!$A:$E,4,FALSE()))/VLOOKUP(D814,Products!$A:$E,5,FALSE()),"")</f>
        <v>0.26151685393258428</v>
      </c>
    </row>
    <row r="815" spans="1:18" x14ac:dyDescent="0.3">
      <c r="A815" s="22" t="s">
        <v>2087</v>
      </c>
      <c r="B815" s="23">
        <v>45385</v>
      </c>
      <c r="C815" s="22" t="s">
        <v>1147</v>
      </c>
      <c r="D815" s="22" t="s">
        <v>315</v>
      </c>
      <c r="E815" s="22" t="s">
        <v>2088</v>
      </c>
      <c r="F815" s="24">
        <v>7</v>
      </c>
      <c r="G815" s="24">
        <v>4070</v>
      </c>
      <c r="H815" s="24">
        <v>10.5</v>
      </c>
      <c r="I815" s="24">
        <v>25498.55</v>
      </c>
      <c r="J815" s="22" t="s">
        <v>104</v>
      </c>
      <c r="K815" s="22" t="s">
        <v>116</v>
      </c>
      <c r="L815" t="str">
        <f>VLOOKUP(D815,Products!A:F,3,FALSE())</f>
        <v>Grocery</v>
      </c>
      <c r="M815" t="str">
        <f>VLOOKUP(C815,Customers!A:F,5,FALSE())</f>
        <v>SMB</v>
      </c>
      <c r="O815" t="str">
        <f>IFERROR(VLOOKUP(E815,Sales_Reps!$A:$C,3,FALSE()),"")</f>
        <v/>
      </c>
      <c r="P815">
        <f>IFERROR(VLOOKUP(C815,Customers!$A:$C,3,FALSE()),"")</f>
        <v>29</v>
      </c>
      <c r="Q815" t="str">
        <f t="shared" si="12"/>
        <v>Apr-24</v>
      </c>
      <c r="R815">
        <f>IFERROR((VLOOKUP(D815,Products!$A:$E,5,FALSE())-VLOOKUP(D815,Products!$A:$E,4,FALSE()))/VLOOKUP(D815,Products!$A:$E,5,FALSE()),"")</f>
        <v>0.50196560196560192</v>
      </c>
    </row>
    <row r="816" spans="1:18" x14ac:dyDescent="0.3">
      <c r="A816" s="22" t="s">
        <v>2089</v>
      </c>
      <c r="B816" s="23">
        <v>45299</v>
      </c>
      <c r="C816" s="22" t="s">
        <v>858</v>
      </c>
      <c r="D816" s="22" t="s">
        <v>449</v>
      </c>
      <c r="E816" s="22" t="s">
        <v>2090</v>
      </c>
      <c r="F816" s="24">
        <v>3</v>
      </c>
      <c r="G816" s="24">
        <v>5410</v>
      </c>
      <c r="H816" s="24">
        <v>0.2</v>
      </c>
      <c r="I816" s="24">
        <v>16197.54</v>
      </c>
      <c r="J816" s="22" t="s">
        <v>104</v>
      </c>
      <c r="K816" s="22" t="s">
        <v>129</v>
      </c>
      <c r="L816" t="str">
        <f>VLOOKUP(D816,Products!A:F,3,FALSE())</f>
        <v>Sports</v>
      </c>
      <c r="M816" t="str">
        <f>VLOOKUP(C816,Customers!A:F,5,FALSE())</f>
        <v>Retail</v>
      </c>
      <c r="O816" t="str">
        <f>IFERROR(VLOOKUP(E816,Sales_Reps!$A:$C,3,FALSE()),"")</f>
        <v/>
      </c>
      <c r="P816">
        <f>IFERROR(VLOOKUP(C816,Customers!$A:$C,3,FALSE()),"")</f>
        <v>53</v>
      </c>
      <c r="Q816" t="str">
        <f t="shared" si="12"/>
        <v>Jan-24</v>
      </c>
      <c r="R816">
        <f>IFERROR((VLOOKUP(D816,Products!$A:$E,5,FALSE())-VLOOKUP(D816,Products!$A:$E,4,FALSE()))/VLOOKUP(D816,Products!$A:$E,5,FALSE()),"")</f>
        <v>0.58133086876155271</v>
      </c>
    </row>
    <row r="817" spans="1:18" x14ac:dyDescent="0.3">
      <c r="A817" s="22" t="s">
        <v>2091</v>
      </c>
      <c r="B817" s="23">
        <v>45651</v>
      </c>
      <c r="C817" s="22" t="s">
        <v>724</v>
      </c>
      <c r="D817" s="22" t="s">
        <v>231</v>
      </c>
      <c r="E817" s="22" t="s">
        <v>2092</v>
      </c>
      <c r="F817" s="24">
        <v>4</v>
      </c>
      <c r="G817" s="24">
        <v>2760</v>
      </c>
      <c r="H817" s="24">
        <v>27.5</v>
      </c>
      <c r="I817" s="24">
        <v>8004</v>
      </c>
      <c r="J817" s="22" t="s">
        <v>159</v>
      </c>
      <c r="K817" s="22" t="s">
        <v>116</v>
      </c>
      <c r="L817" t="str">
        <f>VLOOKUP(D817,Products!A:F,3,FALSE())</f>
        <v>Grocery</v>
      </c>
      <c r="M817" t="str">
        <f>VLOOKUP(C817,Customers!A:F,5,FALSE())</f>
        <v>SMB</v>
      </c>
      <c r="O817" t="str">
        <f>IFERROR(VLOOKUP(E817,Sales_Reps!$A:$C,3,FALSE()),"")</f>
        <v/>
      </c>
      <c r="P817">
        <f>IFERROR(VLOOKUP(C817,Customers!$A:$C,3,FALSE()),"")</f>
        <v>48</v>
      </c>
      <c r="Q817" t="str">
        <f t="shared" si="12"/>
        <v>Dec-24</v>
      </c>
      <c r="R817">
        <f>IFERROR((VLOOKUP(D817,Products!$A:$E,5,FALSE())-VLOOKUP(D817,Products!$A:$E,4,FALSE()))/VLOOKUP(D817,Products!$A:$E,5,FALSE()),"")</f>
        <v>0.48007246376811596</v>
      </c>
    </row>
    <row r="818" spans="1:18" x14ac:dyDescent="0.3">
      <c r="A818" s="22" t="s">
        <v>2093</v>
      </c>
      <c r="B818" s="23">
        <v>45474</v>
      </c>
      <c r="C818" s="22" t="s">
        <v>599</v>
      </c>
      <c r="D818" s="22" t="s">
        <v>577</v>
      </c>
      <c r="E818" s="22" t="s">
        <v>2094</v>
      </c>
      <c r="F818" s="24">
        <v>3</v>
      </c>
      <c r="G818" s="24">
        <v>5080</v>
      </c>
      <c r="H818" s="24">
        <v>27.2</v>
      </c>
      <c r="I818" s="24">
        <v>11094.72</v>
      </c>
      <c r="J818" s="22" t="s">
        <v>104</v>
      </c>
      <c r="K818" s="22" t="s">
        <v>105</v>
      </c>
      <c r="L818" t="str">
        <f>VLOOKUP(D818,Products!A:F,3,FALSE())</f>
        <v>Home</v>
      </c>
      <c r="M818" t="str">
        <f>VLOOKUP(C818,Customers!A:F,5,FALSE())</f>
        <v>Retail</v>
      </c>
      <c r="O818" t="str">
        <f>IFERROR(VLOOKUP(E818,Sales_Reps!$A:$C,3,FALSE()),"")</f>
        <v/>
      </c>
      <c r="P818">
        <f>IFERROR(VLOOKUP(C818,Customers!$A:$C,3,FALSE()),"")</f>
        <v>29</v>
      </c>
      <c r="Q818" t="str">
        <f t="shared" si="12"/>
        <v>Jul-24</v>
      </c>
      <c r="R818">
        <f>IFERROR((VLOOKUP(D818,Products!$A:$E,5,FALSE())-VLOOKUP(D818,Products!$A:$E,4,FALSE()))/VLOOKUP(D818,Products!$A:$E,5,FALSE()),"")</f>
        <v>0.51594488188976373</v>
      </c>
    </row>
    <row r="819" spans="1:18" x14ac:dyDescent="0.3">
      <c r="A819" s="22" t="s">
        <v>2095</v>
      </c>
      <c r="B819" s="23">
        <v>45391</v>
      </c>
      <c r="C819" s="22" t="s">
        <v>1867</v>
      </c>
      <c r="D819" s="22" t="s">
        <v>674</v>
      </c>
      <c r="E819" s="22" t="s">
        <v>2096</v>
      </c>
      <c r="F819" s="24">
        <v>5</v>
      </c>
      <c r="G819" s="24">
        <v>1090</v>
      </c>
      <c r="H819" s="24">
        <v>3.3</v>
      </c>
      <c r="I819" s="24">
        <v>5270.15</v>
      </c>
      <c r="J819" s="22" t="s">
        <v>104</v>
      </c>
      <c r="K819" s="22" t="s">
        <v>105</v>
      </c>
      <c r="L819" t="str">
        <f>VLOOKUP(D819,Products!A:F,3,FALSE())</f>
        <v>Home</v>
      </c>
      <c r="M819" t="str">
        <f>VLOOKUP(C819,Customers!A:F,5,FALSE())</f>
        <v>Retail</v>
      </c>
      <c r="O819" t="str">
        <f>IFERROR(VLOOKUP(E819,Sales_Reps!$A:$C,3,FALSE()),"")</f>
        <v/>
      </c>
      <c r="P819">
        <f>IFERROR(VLOOKUP(C819,Customers!$A:$C,3,FALSE()),"")</f>
        <v>39</v>
      </c>
      <c r="Q819" t="str">
        <f t="shared" si="12"/>
        <v>Apr-24</v>
      </c>
      <c r="R819">
        <f>IFERROR((VLOOKUP(D819,Products!$A:$E,5,FALSE())-VLOOKUP(D819,Products!$A:$E,4,FALSE()))/VLOOKUP(D819,Products!$A:$E,5,FALSE()),"")</f>
        <v>0.57431192660550456</v>
      </c>
    </row>
    <row r="820" spans="1:18" x14ac:dyDescent="0.3">
      <c r="A820" s="22" t="s">
        <v>2097</v>
      </c>
      <c r="B820" s="23">
        <v>45328</v>
      </c>
      <c r="C820" s="22" t="s">
        <v>1253</v>
      </c>
      <c r="D820" s="22" t="s">
        <v>459</v>
      </c>
      <c r="E820" s="22" t="s">
        <v>2098</v>
      </c>
      <c r="F820" s="24">
        <v>10</v>
      </c>
      <c r="G820" s="24">
        <v>2380</v>
      </c>
      <c r="H820" s="24">
        <v>7</v>
      </c>
      <c r="I820" s="24">
        <v>22134</v>
      </c>
      <c r="J820" s="22" t="s">
        <v>104</v>
      </c>
      <c r="K820" s="22" t="s">
        <v>134</v>
      </c>
      <c r="L820" t="str">
        <f>VLOOKUP(D820,Products!A:F,3,FALSE())</f>
        <v>Grocery</v>
      </c>
      <c r="M820" t="str">
        <f>VLOOKUP(C820,Customers!A:F,5,FALSE())</f>
        <v>Corporate</v>
      </c>
      <c r="O820" t="str">
        <f>IFERROR(VLOOKUP(E820,Sales_Reps!$A:$C,3,FALSE()),"")</f>
        <v/>
      </c>
      <c r="P820">
        <f>IFERROR(VLOOKUP(C820,Customers!$A:$C,3,FALSE()),"")</f>
        <v>41</v>
      </c>
      <c r="Q820" t="str">
        <f t="shared" si="12"/>
        <v>Feb-24</v>
      </c>
      <c r="R820">
        <f>IFERROR((VLOOKUP(D820,Products!$A:$E,5,FALSE())-VLOOKUP(D820,Products!$A:$E,4,FALSE()))/VLOOKUP(D820,Products!$A:$E,5,FALSE()),"")</f>
        <v>0.50336134453781511</v>
      </c>
    </row>
    <row r="821" spans="1:18" x14ac:dyDescent="0.3">
      <c r="A821" s="22" t="s">
        <v>2099</v>
      </c>
      <c r="B821" s="23">
        <v>45490</v>
      </c>
      <c r="C821" s="22" t="s">
        <v>2100</v>
      </c>
      <c r="D821" s="22" t="s">
        <v>123</v>
      </c>
      <c r="E821" s="22" t="s">
        <v>2101</v>
      </c>
      <c r="F821" s="24">
        <v>5</v>
      </c>
      <c r="G821" s="24">
        <v>3160</v>
      </c>
      <c r="H821" s="24">
        <v>25.6</v>
      </c>
      <c r="I821" s="24">
        <v>11755.2</v>
      </c>
      <c r="J821" s="22" t="s">
        <v>104</v>
      </c>
      <c r="K821" s="22" t="s">
        <v>111</v>
      </c>
      <c r="L821" t="str">
        <f>VLOOKUP(D821,Products!A:F,3,FALSE())</f>
        <v>Apparel</v>
      </c>
      <c r="M821" t="str">
        <f>VLOOKUP(C821,Customers!A:F,5,FALSE())</f>
        <v>SMB</v>
      </c>
      <c r="O821" t="str">
        <f>IFERROR(VLOOKUP(E821,Sales_Reps!$A:$C,3,FALSE()),"")</f>
        <v/>
      </c>
      <c r="P821">
        <f>IFERROR(VLOOKUP(C821,Customers!$A:$C,3,FALSE()),"")</f>
        <v>43</v>
      </c>
      <c r="Q821" t="str">
        <f t="shared" si="12"/>
        <v>Jul-24</v>
      </c>
      <c r="R821">
        <f>IFERROR((VLOOKUP(D821,Products!$A:$E,5,FALSE())-VLOOKUP(D821,Products!$A:$E,4,FALSE()))/VLOOKUP(D821,Products!$A:$E,5,FALSE()),"")</f>
        <v>0.4031645569620253</v>
      </c>
    </row>
    <row r="822" spans="1:18" x14ac:dyDescent="0.3">
      <c r="A822" s="22" t="s">
        <v>2102</v>
      </c>
      <c r="B822" s="23">
        <v>45362</v>
      </c>
      <c r="C822" s="22" t="s">
        <v>1367</v>
      </c>
      <c r="D822" s="22" t="s">
        <v>171</v>
      </c>
      <c r="E822" s="22" t="s">
        <v>2103</v>
      </c>
      <c r="F822" s="24">
        <v>9</v>
      </c>
      <c r="G822" s="24">
        <v>2400</v>
      </c>
      <c r="H822" s="24">
        <v>8.4</v>
      </c>
      <c r="I822" s="24">
        <v>19785.599999999999</v>
      </c>
      <c r="J822" s="22" t="s">
        <v>104</v>
      </c>
      <c r="K822" s="22" t="s">
        <v>129</v>
      </c>
      <c r="L822" t="str">
        <f>VLOOKUP(D822,Products!A:F,3,FALSE())</f>
        <v>Sports</v>
      </c>
      <c r="M822" t="str">
        <f>VLOOKUP(C822,Customers!A:F,5,FALSE())</f>
        <v>SMB</v>
      </c>
      <c r="O822" t="str">
        <f>IFERROR(VLOOKUP(E822,Sales_Reps!$A:$C,3,FALSE()),"")</f>
        <v/>
      </c>
      <c r="P822">
        <f>IFERROR(VLOOKUP(C822,Customers!$A:$C,3,FALSE()),"")</f>
        <v>43</v>
      </c>
      <c r="Q822" t="str">
        <f t="shared" si="12"/>
        <v>Mar-24</v>
      </c>
      <c r="R822">
        <f>IFERROR((VLOOKUP(D822,Products!$A:$E,5,FALSE())-VLOOKUP(D822,Products!$A:$E,4,FALSE()))/VLOOKUP(D822,Products!$A:$E,5,FALSE()),"")</f>
        <v>0.59416666666666662</v>
      </c>
    </row>
    <row r="823" spans="1:18" x14ac:dyDescent="0.3">
      <c r="A823" s="22" t="s">
        <v>2104</v>
      </c>
      <c r="B823" s="23">
        <v>45449</v>
      </c>
      <c r="C823" s="22" t="s">
        <v>2105</v>
      </c>
      <c r="D823" s="22" t="s">
        <v>157</v>
      </c>
      <c r="E823" s="22" t="s">
        <v>2106</v>
      </c>
      <c r="F823" s="24">
        <v>4</v>
      </c>
      <c r="G823" s="24">
        <v>2600</v>
      </c>
      <c r="H823" s="24">
        <v>4.2</v>
      </c>
      <c r="I823" s="24">
        <v>9963.2000000000007</v>
      </c>
      <c r="J823" s="22" t="s">
        <v>104</v>
      </c>
      <c r="K823" s="22" t="s">
        <v>129</v>
      </c>
      <c r="L823" t="str">
        <f>VLOOKUP(D823,Products!A:F,3,FALSE())</f>
        <v>Electronics</v>
      </c>
      <c r="M823" t="str">
        <f>VLOOKUP(C823,Customers!A:F,5,FALSE())</f>
        <v>Retail</v>
      </c>
      <c r="O823" t="str">
        <f>IFERROR(VLOOKUP(E823,Sales_Reps!$A:$C,3,FALSE()),"")</f>
        <v/>
      </c>
      <c r="P823">
        <f>IFERROR(VLOOKUP(C823,Customers!$A:$C,3,FALSE()),"")</f>
        <v>38</v>
      </c>
      <c r="Q823" t="str">
        <f t="shared" si="12"/>
        <v>Jun-24</v>
      </c>
      <c r="R823">
        <f>IFERROR((VLOOKUP(D823,Products!$A:$E,5,FALSE())-VLOOKUP(D823,Products!$A:$E,4,FALSE()))/VLOOKUP(D823,Products!$A:$E,5,FALSE()),"")</f>
        <v>0.5953846153846154</v>
      </c>
    </row>
    <row r="824" spans="1:18" x14ac:dyDescent="0.3">
      <c r="A824" s="22" t="s">
        <v>2107</v>
      </c>
      <c r="B824" s="23">
        <v>45409</v>
      </c>
      <c r="C824" s="22" t="s">
        <v>2108</v>
      </c>
      <c r="D824" s="22" t="s">
        <v>149</v>
      </c>
      <c r="E824" s="22" t="s">
        <v>2109</v>
      </c>
      <c r="F824" s="24">
        <v>5</v>
      </c>
      <c r="G824" s="24">
        <v>2270</v>
      </c>
      <c r="H824" s="24">
        <v>0.1</v>
      </c>
      <c r="I824" s="24">
        <v>11338.65</v>
      </c>
      <c r="J824" s="22" t="s">
        <v>104</v>
      </c>
      <c r="K824" s="22" t="s">
        <v>129</v>
      </c>
      <c r="L824" t="str">
        <f>VLOOKUP(D824,Products!A:F,3,FALSE())</f>
        <v>Grocery</v>
      </c>
      <c r="M824" t="e">
        <f>VLOOKUP(C824,Customers!A:F,5,FALSE())</f>
        <v>#N/A</v>
      </c>
      <c r="O824" t="str">
        <f>IFERROR(VLOOKUP(E824,Sales_Reps!$A:$C,3,FALSE()),"")</f>
        <v/>
      </c>
      <c r="P824" t="str">
        <f>IFERROR(VLOOKUP(C824,Customers!$A:$C,3,FALSE()),"")</f>
        <v/>
      </c>
      <c r="Q824" t="str">
        <f t="shared" si="12"/>
        <v>Apr-24</v>
      </c>
      <c r="R824">
        <f>IFERROR((VLOOKUP(D824,Products!$A:$E,5,FALSE())-VLOOKUP(D824,Products!$A:$E,4,FALSE()))/VLOOKUP(D824,Products!$A:$E,5,FALSE()),"")</f>
        <v>0.47004405286343615</v>
      </c>
    </row>
    <row r="825" spans="1:18" x14ac:dyDescent="0.3">
      <c r="A825" s="22" t="s">
        <v>2110</v>
      </c>
      <c r="B825" s="23">
        <v>45465</v>
      </c>
      <c r="C825" s="22" t="s">
        <v>1253</v>
      </c>
      <c r="D825" s="22" t="s">
        <v>141</v>
      </c>
      <c r="E825" s="22" t="s">
        <v>2111</v>
      </c>
      <c r="F825" s="24">
        <v>7</v>
      </c>
      <c r="G825" s="24">
        <v>5490</v>
      </c>
      <c r="H825" s="24">
        <v>14.9</v>
      </c>
      <c r="I825" s="24">
        <v>32703.93</v>
      </c>
      <c r="J825" s="22" t="s">
        <v>104</v>
      </c>
      <c r="K825" s="22" t="s">
        <v>134</v>
      </c>
      <c r="L825" t="str">
        <f>VLOOKUP(D825,Products!A:F,3,FALSE())</f>
        <v>Home</v>
      </c>
      <c r="M825" t="str">
        <f>VLOOKUP(C825,Customers!A:F,5,FALSE())</f>
        <v>Corporate</v>
      </c>
      <c r="O825" t="str">
        <f>IFERROR(VLOOKUP(E825,Sales_Reps!$A:$C,3,FALSE()),"")</f>
        <v/>
      </c>
      <c r="P825">
        <f>IFERROR(VLOOKUP(C825,Customers!$A:$C,3,FALSE()),"")</f>
        <v>41</v>
      </c>
      <c r="Q825" t="str">
        <f t="shared" si="12"/>
        <v>Jun-24</v>
      </c>
      <c r="R825">
        <f>IFERROR((VLOOKUP(D825,Products!$A:$E,5,FALSE())-VLOOKUP(D825,Products!$A:$E,4,FALSE()))/VLOOKUP(D825,Products!$A:$E,5,FALSE()),"")</f>
        <v>0.53570127504553733</v>
      </c>
    </row>
    <row r="826" spans="1:18" x14ac:dyDescent="0.3">
      <c r="A826" s="22" t="s">
        <v>2112</v>
      </c>
      <c r="B826" s="23">
        <v>45415</v>
      </c>
      <c r="C826" s="22" t="s">
        <v>965</v>
      </c>
      <c r="D826" s="22" t="s">
        <v>293</v>
      </c>
      <c r="E826" s="22" t="s">
        <v>2113</v>
      </c>
      <c r="F826" s="24">
        <v>5</v>
      </c>
      <c r="G826" s="24">
        <v>3870</v>
      </c>
      <c r="H826" s="24">
        <v>13.3</v>
      </c>
      <c r="I826" s="24">
        <v>16776.45</v>
      </c>
      <c r="J826" s="22" t="s">
        <v>159</v>
      </c>
      <c r="K826" s="22" t="s">
        <v>105</v>
      </c>
      <c r="L826" t="str">
        <f>VLOOKUP(D826,Products!A:F,3,FALSE())</f>
        <v>Electronics</v>
      </c>
      <c r="M826" t="str">
        <f>VLOOKUP(C826,Customers!A:F,5,FALSE())</f>
        <v>SMB</v>
      </c>
      <c r="O826" t="str">
        <f>IFERROR(VLOOKUP(E826,Sales_Reps!$A:$C,3,FALSE()),"")</f>
        <v/>
      </c>
      <c r="P826">
        <f>IFERROR(VLOOKUP(C826,Customers!$A:$C,3,FALSE()),"")</f>
        <v>35</v>
      </c>
      <c r="Q826" t="str">
        <f t="shared" si="12"/>
        <v>May-24</v>
      </c>
      <c r="R826">
        <f>IFERROR((VLOOKUP(D826,Products!$A:$E,5,FALSE())-VLOOKUP(D826,Products!$A:$E,4,FALSE()))/VLOOKUP(D826,Products!$A:$E,5,FALSE()),"")</f>
        <v>0.59715762273901807</v>
      </c>
    </row>
    <row r="827" spans="1:18" x14ac:dyDescent="0.3">
      <c r="A827" s="22" t="s">
        <v>2114</v>
      </c>
      <c r="B827" s="23">
        <v>45372</v>
      </c>
      <c r="C827" s="22" t="s">
        <v>987</v>
      </c>
      <c r="D827" s="22" t="s">
        <v>479</v>
      </c>
      <c r="E827" s="22" t="s">
        <v>2115</v>
      </c>
      <c r="F827" s="24">
        <v>2</v>
      </c>
      <c r="G827" s="24">
        <v>960</v>
      </c>
      <c r="H827" s="24">
        <v>17.5</v>
      </c>
      <c r="I827" s="24">
        <v>1584</v>
      </c>
      <c r="J827" s="22" t="s">
        <v>104</v>
      </c>
      <c r="K827" s="22" t="s">
        <v>151</v>
      </c>
      <c r="L827" t="str">
        <f>VLOOKUP(D827,Products!A:F,3,FALSE())</f>
        <v>Beauty</v>
      </c>
      <c r="M827" t="str">
        <f>VLOOKUP(C827,Customers!A:F,5,FALSE())</f>
        <v>Retail</v>
      </c>
      <c r="O827" t="str">
        <f>IFERROR(VLOOKUP(E827,Sales_Reps!$A:$C,3,FALSE()),"")</f>
        <v/>
      </c>
      <c r="P827">
        <f>IFERROR(VLOOKUP(C827,Customers!$A:$C,3,FALSE()),"")</f>
        <v>28</v>
      </c>
      <c r="Q827" t="str">
        <f t="shared" si="12"/>
        <v>Mar-24</v>
      </c>
      <c r="R827">
        <f>IFERROR((VLOOKUP(D827,Products!$A:$E,5,FALSE())-VLOOKUP(D827,Products!$A:$E,4,FALSE()))/VLOOKUP(D827,Products!$A:$E,5,FALSE()),"")</f>
        <v>0.296875</v>
      </c>
    </row>
    <row r="828" spans="1:18" x14ac:dyDescent="0.3">
      <c r="A828" s="22" t="s">
        <v>2116</v>
      </c>
      <c r="B828" s="23">
        <v>45405</v>
      </c>
      <c r="C828" s="22" t="s">
        <v>1641</v>
      </c>
      <c r="D828" s="22" t="s">
        <v>212</v>
      </c>
      <c r="E828" s="22" t="s">
        <v>2117</v>
      </c>
      <c r="F828" s="24">
        <v>4</v>
      </c>
      <c r="G828" s="24">
        <v>4880</v>
      </c>
      <c r="H828" s="24">
        <v>12.2</v>
      </c>
      <c r="I828" s="24">
        <v>17138.560000000001</v>
      </c>
      <c r="J828" s="22" t="s">
        <v>159</v>
      </c>
      <c r="K828" s="22" t="s">
        <v>129</v>
      </c>
      <c r="L828" t="str">
        <f>VLOOKUP(D828,Products!A:F,3,FALSE())</f>
        <v>Beauty</v>
      </c>
      <c r="M828" t="str">
        <f>VLOOKUP(C828,Customers!A:F,5,FALSE())</f>
        <v>Retail</v>
      </c>
      <c r="O828" t="str">
        <f>IFERROR(VLOOKUP(E828,Sales_Reps!$A:$C,3,FALSE()),"")</f>
        <v/>
      </c>
      <c r="P828">
        <f>IFERROR(VLOOKUP(C828,Customers!$A:$C,3,FALSE()),"")</f>
        <v>37</v>
      </c>
      <c r="Q828" t="str">
        <f t="shared" si="12"/>
        <v>Apr-24</v>
      </c>
      <c r="R828">
        <f>IFERROR((VLOOKUP(D828,Products!$A:$E,5,FALSE())-VLOOKUP(D828,Products!$A:$E,4,FALSE()))/VLOOKUP(D828,Products!$A:$E,5,FALSE()),"")</f>
        <v>0.43278688524590164</v>
      </c>
    </row>
    <row r="829" spans="1:18" x14ac:dyDescent="0.3">
      <c r="A829" s="22" t="s">
        <v>2118</v>
      </c>
      <c r="B829" s="23">
        <v>45419</v>
      </c>
      <c r="C829" s="22" t="s">
        <v>906</v>
      </c>
      <c r="D829" s="22" t="s">
        <v>171</v>
      </c>
      <c r="E829" s="22" t="s">
        <v>2119</v>
      </c>
      <c r="F829" s="24">
        <v>5</v>
      </c>
      <c r="G829" s="24">
        <v>2400</v>
      </c>
      <c r="H829" s="24">
        <v>15</v>
      </c>
      <c r="I829" s="24">
        <v>10200</v>
      </c>
      <c r="J829" s="22" t="s">
        <v>104</v>
      </c>
      <c r="K829" s="22" t="s">
        <v>129</v>
      </c>
      <c r="L829" t="str">
        <f>VLOOKUP(D829,Products!A:F,3,FALSE())</f>
        <v>Sports</v>
      </c>
      <c r="M829" t="str">
        <f>VLOOKUP(C829,Customers!A:F,5,FALSE())</f>
        <v>SMB</v>
      </c>
      <c r="O829" t="str">
        <f>IFERROR(VLOOKUP(E829,Sales_Reps!$A:$C,3,FALSE()),"")</f>
        <v/>
      </c>
      <c r="P829">
        <f>IFERROR(VLOOKUP(C829,Customers!$A:$C,3,FALSE()),"")</f>
        <v>27</v>
      </c>
      <c r="Q829" t="str">
        <f t="shared" si="12"/>
        <v>May-24</v>
      </c>
      <c r="R829">
        <f>IFERROR((VLOOKUP(D829,Products!$A:$E,5,FALSE())-VLOOKUP(D829,Products!$A:$E,4,FALSE()))/VLOOKUP(D829,Products!$A:$E,5,FALSE()),"")</f>
        <v>0.59416666666666662</v>
      </c>
    </row>
    <row r="830" spans="1:18" x14ac:dyDescent="0.3">
      <c r="A830" s="22" t="s">
        <v>2120</v>
      </c>
      <c r="B830" s="23">
        <v>45522</v>
      </c>
      <c r="C830" s="22" t="s">
        <v>374</v>
      </c>
      <c r="D830" s="22" t="s">
        <v>352</v>
      </c>
      <c r="E830" s="22" t="s">
        <v>2121</v>
      </c>
      <c r="F830" s="24">
        <v>9</v>
      </c>
      <c r="G830" s="24">
        <v>620</v>
      </c>
      <c r="H830" s="24">
        <v>20.399999999999999</v>
      </c>
      <c r="I830" s="24">
        <v>4441.68</v>
      </c>
      <c r="J830" s="22" t="s">
        <v>110</v>
      </c>
      <c r="K830" s="22" t="s">
        <v>105</v>
      </c>
      <c r="L830" t="str">
        <f>VLOOKUP(D830,Products!A:F,3,FALSE())</f>
        <v>Apparel</v>
      </c>
      <c r="M830" t="str">
        <f>VLOOKUP(C830,Customers!A:F,5,FALSE())</f>
        <v>SMB</v>
      </c>
      <c r="O830" t="str">
        <f>IFERROR(VLOOKUP(E830,Sales_Reps!$A:$C,3,FALSE()),"")</f>
        <v/>
      </c>
      <c r="P830">
        <f>IFERROR(VLOOKUP(C830,Customers!$A:$C,3,FALSE()),"")</f>
        <v>54</v>
      </c>
      <c r="Q830" t="str">
        <f t="shared" si="12"/>
        <v>Aug-24</v>
      </c>
      <c r="R830">
        <f>IFERROR((VLOOKUP(D830,Products!$A:$E,5,FALSE())-VLOOKUP(D830,Products!$A:$E,4,FALSE()))/VLOOKUP(D830,Products!$A:$E,5,FALSE()),"")</f>
        <v>0.36129032258064514</v>
      </c>
    </row>
    <row r="831" spans="1:18" x14ac:dyDescent="0.3">
      <c r="A831" s="22" t="s">
        <v>2122</v>
      </c>
      <c r="B831" s="23">
        <v>45513</v>
      </c>
      <c r="C831" s="22" t="s">
        <v>1072</v>
      </c>
      <c r="D831" s="22" t="s">
        <v>323</v>
      </c>
      <c r="E831" s="22" t="s">
        <v>2123</v>
      </c>
      <c r="F831" s="24">
        <v>1</v>
      </c>
      <c r="G831" s="24">
        <v>4610</v>
      </c>
      <c r="H831" s="24">
        <v>1.8</v>
      </c>
      <c r="I831" s="24">
        <v>4527.0200000000004</v>
      </c>
      <c r="J831" s="22" t="s">
        <v>110</v>
      </c>
      <c r="K831" s="22" t="s">
        <v>105</v>
      </c>
      <c r="L831" t="str">
        <f>VLOOKUP(D831,Products!A:F,3,FALSE())</f>
        <v>Home</v>
      </c>
      <c r="M831" t="str">
        <f>VLOOKUP(C831,Customers!A:F,5,FALSE())</f>
        <v>Retail</v>
      </c>
      <c r="O831" t="str">
        <f>IFERROR(VLOOKUP(E831,Sales_Reps!$A:$C,3,FALSE()),"")</f>
        <v/>
      </c>
      <c r="P831">
        <f>IFERROR(VLOOKUP(C831,Customers!$A:$C,3,FALSE()),"")</f>
        <v>36</v>
      </c>
      <c r="Q831" t="str">
        <f t="shared" si="12"/>
        <v>Aug-24</v>
      </c>
      <c r="R831">
        <f>IFERROR((VLOOKUP(D831,Products!$A:$E,5,FALSE())-VLOOKUP(D831,Products!$A:$E,4,FALSE()))/VLOOKUP(D831,Products!$A:$E,5,FALSE()),"")</f>
        <v>0.59869848156182215</v>
      </c>
    </row>
    <row r="832" spans="1:18" x14ac:dyDescent="0.3">
      <c r="A832" s="22" t="s">
        <v>2124</v>
      </c>
      <c r="B832" s="23">
        <v>45500</v>
      </c>
      <c r="C832" s="22" t="s">
        <v>2125</v>
      </c>
      <c r="D832" s="22" t="s">
        <v>323</v>
      </c>
      <c r="E832" s="22" t="s">
        <v>2126</v>
      </c>
      <c r="F832" s="24">
        <v>7</v>
      </c>
      <c r="G832" s="24">
        <v>4610</v>
      </c>
      <c r="H832" s="24">
        <v>27</v>
      </c>
      <c r="I832" s="24">
        <v>23557.1</v>
      </c>
      <c r="J832" s="22" t="s">
        <v>104</v>
      </c>
      <c r="K832" s="22" t="s">
        <v>111</v>
      </c>
      <c r="L832" t="str">
        <f>VLOOKUP(D832,Products!A:F,3,FALSE())</f>
        <v>Home</v>
      </c>
      <c r="M832" t="str">
        <f>VLOOKUP(C832,Customers!A:F,5,FALSE())</f>
        <v>SMB</v>
      </c>
      <c r="O832" t="str">
        <f>IFERROR(VLOOKUP(E832,Sales_Reps!$A:$C,3,FALSE()),"")</f>
        <v/>
      </c>
      <c r="P832">
        <f>IFERROR(VLOOKUP(C832,Customers!$A:$C,3,FALSE()),"")</f>
        <v>51</v>
      </c>
      <c r="Q832" t="str">
        <f t="shared" si="12"/>
        <v>Jul-24</v>
      </c>
      <c r="R832">
        <f>IFERROR((VLOOKUP(D832,Products!$A:$E,5,FALSE())-VLOOKUP(D832,Products!$A:$E,4,FALSE()))/VLOOKUP(D832,Products!$A:$E,5,FALSE()),"")</f>
        <v>0.59869848156182215</v>
      </c>
    </row>
    <row r="833" spans="1:18" x14ac:dyDescent="0.3">
      <c r="A833" s="22" t="s">
        <v>2127</v>
      </c>
      <c r="B833" s="23">
        <v>45608</v>
      </c>
      <c r="C833" s="22" t="s">
        <v>1478</v>
      </c>
      <c r="D833" s="22" t="s">
        <v>145</v>
      </c>
      <c r="E833" s="22" t="s">
        <v>2128</v>
      </c>
      <c r="F833" s="24">
        <v>6</v>
      </c>
      <c r="G833" s="24">
        <v>970</v>
      </c>
      <c r="H833" s="24">
        <v>4.7</v>
      </c>
      <c r="I833" s="24">
        <v>5546.46</v>
      </c>
      <c r="J833" s="22" t="s">
        <v>159</v>
      </c>
      <c r="K833" s="22" t="s">
        <v>151</v>
      </c>
      <c r="L833" t="str">
        <f>VLOOKUP(D833,Products!A:F,3,FALSE())</f>
        <v>Grocery</v>
      </c>
      <c r="M833" t="str">
        <f>VLOOKUP(C833,Customers!A:F,5,FALSE())</f>
        <v>SMB</v>
      </c>
      <c r="O833" t="str">
        <f>IFERROR(VLOOKUP(E833,Sales_Reps!$A:$C,3,FALSE()),"")</f>
        <v/>
      </c>
      <c r="P833">
        <f>IFERROR(VLOOKUP(C833,Customers!$A:$C,3,FALSE()),"")</f>
        <v>31</v>
      </c>
      <c r="Q833" t="str">
        <f t="shared" si="12"/>
        <v>Nov-24</v>
      </c>
      <c r="R833">
        <f>IFERROR((VLOOKUP(D833,Products!$A:$E,5,FALSE())-VLOOKUP(D833,Products!$A:$E,4,FALSE()))/VLOOKUP(D833,Products!$A:$E,5,FALSE()),"")</f>
        <v>0.5525773195876289</v>
      </c>
    </row>
    <row r="834" spans="1:18" x14ac:dyDescent="0.3">
      <c r="A834" s="22" t="s">
        <v>2129</v>
      </c>
      <c r="B834" s="23">
        <v>45362</v>
      </c>
      <c r="C834" s="22" t="s">
        <v>623</v>
      </c>
      <c r="D834" s="22" t="s">
        <v>137</v>
      </c>
      <c r="E834" s="22" t="s">
        <v>2130</v>
      </c>
      <c r="F834" s="24">
        <v>8</v>
      </c>
      <c r="G834" s="24">
        <v>1430</v>
      </c>
      <c r="H834" s="24">
        <v>8.6999999999999993</v>
      </c>
      <c r="I834" s="24">
        <v>10444.719999999999</v>
      </c>
      <c r="J834" s="22" t="s">
        <v>104</v>
      </c>
      <c r="K834" s="22" t="s">
        <v>111</v>
      </c>
      <c r="L834" t="str">
        <f>VLOOKUP(D834,Products!A:F,3,FALSE())</f>
        <v>Electronics</v>
      </c>
      <c r="M834" t="str">
        <f>VLOOKUP(C834,Customers!A:F,5,FALSE())</f>
        <v>Corporate</v>
      </c>
      <c r="O834" t="str">
        <f>IFERROR(VLOOKUP(E834,Sales_Reps!$A:$C,3,FALSE()),"")</f>
        <v/>
      </c>
      <c r="P834">
        <f>IFERROR(VLOOKUP(C834,Customers!$A:$C,3,FALSE()),"")</f>
        <v>35</v>
      </c>
      <c r="Q834" t="str">
        <f t="shared" ref="Q834:Q897" si="13">TEXT(B834,"mmm-yy")</f>
        <v>Mar-24</v>
      </c>
      <c r="R834">
        <f>IFERROR((VLOOKUP(D834,Products!$A:$E,5,FALSE())-VLOOKUP(D834,Products!$A:$E,4,FALSE()))/VLOOKUP(D834,Products!$A:$E,5,FALSE()),"")</f>
        <v>0.39790209790209791</v>
      </c>
    </row>
    <row r="835" spans="1:18" x14ac:dyDescent="0.3">
      <c r="A835" s="22" t="s">
        <v>2131</v>
      </c>
      <c r="B835" s="23">
        <v>45348</v>
      </c>
      <c r="C835" s="22" t="s">
        <v>255</v>
      </c>
      <c r="D835" s="22" t="s">
        <v>275</v>
      </c>
      <c r="E835" s="22" t="s">
        <v>2132</v>
      </c>
      <c r="F835" s="24">
        <v>5</v>
      </c>
      <c r="G835" s="24">
        <v>3780</v>
      </c>
      <c r="H835" s="24">
        <v>2.9</v>
      </c>
      <c r="I835" s="24">
        <v>18351.900000000001</v>
      </c>
      <c r="J835" s="22" t="s">
        <v>104</v>
      </c>
      <c r="K835" s="22" t="s">
        <v>116</v>
      </c>
      <c r="L835" t="str">
        <f>VLOOKUP(D835,Products!A:F,3,FALSE())</f>
        <v>Grocery</v>
      </c>
      <c r="M835" t="str">
        <f>VLOOKUP(C835,Customers!A:F,5,FALSE())</f>
        <v>SMB</v>
      </c>
      <c r="O835" t="str">
        <f>IFERROR(VLOOKUP(E835,Sales_Reps!$A:$C,3,FALSE()),"")</f>
        <v/>
      </c>
      <c r="P835">
        <f>IFERROR(VLOOKUP(C835,Customers!$A:$C,3,FALSE()),"")</f>
        <v>50</v>
      </c>
      <c r="Q835" t="str">
        <f t="shared" si="13"/>
        <v>Feb-24</v>
      </c>
      <c r="R835">
        <f>IFERROR((VLOOKUP(D835,Products!$A:$E,5,FALSE())-VLOOKUP(D835,Products!$A:$E,4,FALSE()))/VLOOKUP(D835,Products!$A:$E,5,FALSE()),"")</f>
        <v>0.35555555555555557</v>
      </c>
    </row>
    <row r="836" spans="1:18" x14ac:dyDescent="0.3">
      <c r="A836" s="22" t="s">
        <v>2133</v>
      </c>
      <c r="B836" s="23">
        <v>45532</v>
      </c>
      <c r="C836" s="22" t="s">
        <v>673</v>
      </c>
      <c r="D836" s="22" t="s">
        <v>308</v>
      </c>
      <c r="E836" s="22" t="s">
        <v>2134</v>
      </c>
      <c r="F836" s="24">
        <v>2</v>
      </c>
      <c r="G836" s="24">
        <v>1540</v>
      </c>
      <c r="H836" s="24">
        <v>12.7</v>
      </c>
      <c r="I836" s="24">
        <v>2688.84</v>
      </c>
      <c r="J836" s="22" t="s">
        <v>104</v>
      </c>
      <c r="K836" s="22" t="s">
        <v>151</v>
      </c>
      <c r="L836" t="str">
        <f>VLOOKUP(D836,Products!A:F,3,FALSE())</f>
        <v>Beauty</v>
      </c>
      <c r="M836" t="str">
        <f>VLOOKUP(C836,Customers!A:F,5,FALSE())</f>
        <v>SMB</v>
      </c>
      <c r="O836" t="str">
        <f>IFERROR(VLOOKUP(E836,Sales_Reps!$A:$C,3,FALSE()),"")</f>
        <v/>
      </c>
      <c r="P836">
        <f>IFERROR(VLOOKUP(C836,Customers!$A:$C,3,FALSE()),"")</f>
        <v>65</v>
      </c>
      <c r="Q836" t="str">
        <f t="shared" si="13"/>
        <v>Aug-24</v>
      </c>
      <c r="R836">
        <f>IFERROR((VLOOKUP(D836,Products!$A:$E,5,FALSE())-VLOOKUP(D836,Products!$A:$E,4,FALSE()))/VLOOKUP(D836,Products!$A:$E,5,FALSE()),"")</f>
        <v>0.57987012987012987</v>
      </c>
    </row>
    <row r="837" spans="1:18" x14ac:dyDescent="0.3">
      <c r="A837" s="22" t="s">
        <v>2135</v>
      </c>
      <c r="B837" s="23">
        <v>45492</v>
      </c>
      <c r="C837" s="22" t="s">
        <v>1867</v>
      </c>
      <c r="D837" s="22" t="s">
        <v>186</v>
      </c>
      <c r="E837" s="22" t="s">
        <v>2136</v>
      </c>
      <c r="F837" s="24">
        <v>9</v>
      </c>
      <c r="G837" s="24">
        <v>1080</v>
      </c>
      <c r="H837" s="24">
        <v>11.2</v>
      </c>
      <c r="I837" s="24">
        <v>8631.36</v>
      </c>
      <c r="J837" s="22" t="s">
        <v>159</v>
      </c>
      <c r="K837" s="22" t="s">
        <v>105</v>
      </c>
      <c r="L837" t="str">
        <f>VLOOKUP(D837,Products!A:F,3,FALSE())</f>
        <v>Home</v>
      </c>
      <c r="M837" t="str">
        <f>VLOOKUP(C837,Customers!A:F,5,FALSE())</f>
        <v>Retail</v>
      </c>
      <c r="O837" t="str">
        <f>IFERROR(VLOOKUP(E837,Sales_Reps!$A:$C,3,FALSE()),"")</f>
        <v/>
      </c>
      <c r="P837">
        <f>IFERROR(VLOOKUP(C837,Customers!$A:$C,3,FALSE()),"")</f>
        <v>39</v>
      </c>
      <c r="Q837" t="str">
        <f t="shared" si="13"/>
        <v>Jul-24</v>
      </c>
      <c r="R837">
        <f>IFERROR((VLOOKUP(D837,Products!$A:$E,5,FALSE())-VLOOKUP(D837,Products!$A:$E,4,FALSE()))/VLOOKUP(D837,Products!$A:$E,5,FALSE()),"")</f>
        <v>0.51944444444444449</v>
      </c>
    </row>
    <row r="838" spans="1:18" x14ac:dyDescent="0.3">
      <c r="A838" s="22" t="s">
        <v>2137</v>
      </c>
      <c r="B838" s="23">
        <v>45368</v>
      </c>
      <c r="C838" s="22" t="s">
        <v>1447</v>
      </c>
      <c r="D838" s="22" t="s">
        <v>171</v>
      </c>
      <c r="E838" s="22" t="s">
        <v>2138</v>
      </c>
      <c r="F838" s="24">
        <v>3</v>
      </c>
      <c r="G838" s="24">
        <v>2400</v>
      </c>
      <c r="H838" s="24">
        <v>28.6</v>
      </c>
      <c r="I838" s="24">
        <v>5140.8</v>
      </c>
      <c r="J838" s="22" t="s">
        <v>104</v>
      </c>
      <c r="K838" s="22" t="s">
        <v>105</v>
      </c>
      <c r="L838" t="str">
        <f>VLOOKUP(D838,Products!A:F,3,FALSE())</f>
        <v>Sports</v>
      </c>
      <c r="M838" t="str">
        <f>VLOOKUP(C838,Customers!A:F,5,FALSE())</f>
        <v>Retail</v>
      </c>
      <c r="O838" t="str">
        <f>IFERROR(VLOOKUP(E838,Sales_Reps!$A:$C,3,FALSE()),"")</f>
        <v/>
      </c>
      <c r="P838">
        <f>IFERROR(VLOOKUP(C838,Customers!$A:$C,3,FALSE()),"")</f>
        <v>65</v>
      </c>
      <c r="Q838" t="str">
        <f t="shared" si="13"/>
        <v>Mar-24</v>
      </c>
      <c r="R838">
        <f>IFERROR((VLOOKUP(D838,Products!$A:$E,5,FALSE())-VLOOKUP(D838,Products!$A:$E,4,FALSE()))/VLOOKUP(D838,Products!$A:$E,5,FALSE()),"")</f>
        <v>0.59416666666666662</v>
      </c>
    </row>
    <row r="839" spans="1:18" x14ac:dyDescent="0.3">
      <c r="A839" s="22" t="s">
        <v>2139</v>
      </c>
      <c r="B839" s="23">
        <v>45448</v>
      </c>
      <c r="C839" s="22" t="s">
        <v>174</v>
      </c>
      <c r="D839" s="22" t="s">
        <v>186</v>
      </c>
      <c r="E839" s="22" t="s">
        <v>2140</v>
      </c>
      <c r="F839" s="24">
        <v>5</v>
      </c>
      <c r="G839" s="24">
        <v>1080</v>
      </c>
      <c r="H839" s="24">
        <v>18.3</v>
      </c>
      <c r="I839" s="24">
        <v>4411.8</v>
      </c>
      <c r="J839" s="22" t="s">
        <v>104</v>
      </c>
      <c r="K839" s="22" t="s">
        <v>134</v>
      </c>
      <c r="L839" t="str">
        <f>VLOOKUP(D839,Products!A:F,3,FALSE())</f>
        <v>Home</v>
      </c>
      <c r="M839" t="str">
        <f>VLOOKUP(C839,Customers!A:F,5,FALSE())</f>
        <v>SMB</v>
      </c>
      <c r="O839" t="str">
        <f>IFERROR(VLOOKUP(E839,Sales_Reps!$A:$C,3,FALSE()),"")</f>
        <v/>
      </c>
      <c r="P839">
        <f>IFERROR(VLOOKUP(C839,Customers!$A:$C,3,FALSE()),"")</f>
        <v>46</v>
      </c>
      <c r="Q839" t="str">
        <f t="shared" si="13"/>
        <v>Jun-24</v>
      </c>
      <c r="R839">
        <f>IFERROR((VLOOKUP(D839,Products!$A:$E,5,FALSE())-VLOOKUP(D839,Products!$A:$E,4,FALSE()))/VLOOKUP(D839,Products!$A:$E,5,FALSE()),"")</f>
        <v>0.51944444444444449</v>
      </c>
    </row>
    <row r="840" spans="1:18" x14ac:dyDescent="0.3">
      <c r="A840" s="22" t="s">
        <v>2141</v>
      </c>
      <c r="B840" s="23">
        <v>45610</v>
      </c>
      <c r="C840" s="22" t="s">
        <v>511</v>
      </c>
      <c r="D840" s="22" t="s">
        <v>149</v>
      </c>
      <c r="E840" s="22" t="s">
        <v>2142</v>
      </c>
      <c r="F840" s="24">
        <v>7</v>
      </c>
      <c r="G840" s="24">
        <v>2270</v>
      </c>
      <c r="H840" s="24">
        <v>1.7</v>
      </c>
      <c r="I840" s="24">
        <v>15619.87</v>
      </c>
      <c r="J840" s="22" t="s">
        <v>159</v>
      </c>
      <c r="K840" s="22" t="s">
        <v>111</v>
      </c>
      <c r="L840" t="str">
        <f>VLOOKUP(D840,Products!A:F,3,FALSE())</f>
        <v>Grocery</v>
      </c>
      <c r="M840" t="str">
        <f>VLOOKUP(C840,Customers!A:F,5,FALSE())</f>
        <v>SMB</v>
      </c>
      <c r="O840" t="str">
        <f>IFERROR(VLOOKUP(E840,Sales_Reps!$A:$C,3,FALSE()),"")</f>
        <v/>
      </c>
      <c r="P840">
        <f>IFERROR(VLOOKUP(C840,Customers!$A:$C,3,FALSE()),"")</f>
        <v>51</v>
      </c>
      <c r="Q840" t="str">
        <f t="shared" si="13"/>
        <v>Nov-24</v>
      </c>
      <c r="R840">
        <f>IFERROR((VLOOKUP(D840,Products!$A:$E,5,FALSE())-VLOOKUP(D840,Products!$A:$E,4,FALSE()))/VLOOKUP(D840,Products!$A:$E,5,FALSE()),"")</f>
        <v>0.47004405286343615</v>
      </c>
    </row>
    <row r="841" spans="1:18" x14ac:dyDescent="0.3">
      <c r="A841" s="22" t="s">
        <v>2143</v>
      </c>
      <c r="B841" s="23">
        <v>45438</v>
      </c>
      <c r="C841" s="22" t="s">
        <v>906</v>
      </c>
      <c r="D841" s="22" t="s">
        <v>119</v>
      </c>
      <c r="E841" s="22" t="s">
        <v>2144</v>
      </c>
      <c r="F841" s="24">
        <v>8</v>
      </c>
      <c r="G841" s="24">
        <v>3660</v>
      </c>
      <c r="H841" s="24">
        <v>19.100000000000001</v>
      </c>
      <c r="I841" s="24">
        <v>23687.52</v>
      </c>
      <c r="J841" s="22" t="s">
        <v>159</v>
      </c>
      <c r="K841" s="22" t="s">
        <v>129</v>
      </c>
      <c r="L841" t="str">
        <f>VLOOKUP(D841,Products!A:F,3,FALSE())</f>
        <v>Grocery</v>
      </c>
      <c r="M841" t="str">
        <f>VLOOKUP(C841,Customers!A:F,5,FALSE())</f>
        <v>SMB</v>
      </c>
      <c r="O841" t="str">
        <f>IFERROR(VLOOKUP(E841,Sales_Reps!$A:$C,3,FALSE()),"")</f>
        <v/>
      </c>
      <c r="P841">
        <f>IFERROR(VLOOKUP(C841,Customers!$A:$C,3,FALSE()),"")</f>
        <v>27</v>
      </c>
      <c r="Q841" t="str">
        <f t="shared" si="13"/>
        <v>May-24</v>
      </c>
      <c r="R841">
        <f>IFERROR((VLOOKUP(D841,Products!$A:$E,5,FALSE())-VLOOKUP(D841,Products!$A:$E,4,FALSE()))/VLOOKUP(D841,Products!$A:$E,5,FALSE()),"")</f>
        <v>0.39508196721311473</v>
      </c>
    </row>
    <row r="842" spans="1:18" x14ac:dyDescent="0.3">
      <c r="A842" s="22" t="s">
        <v>2145</v>
      </c>
      <c r="B842" s="23">
        <v>45477</v>
      </c>
      <c r="C842" s="22" t="s">
        <v>724</v>
      </c>
      <c r="D842" s="22" t="s">
        <v>162</v>
      </c>
      <c r="E842" s="22" t="s">
        <v>2146</v>
      </c>
      <c r="F842" s="24">
        <v>5</v>
      </c>
      <c r="G842" s="24">
        <v>3250</v>
      </c>
      <c r="H842" s="24">
        <v>12.9</v>
      </c>
      <c r="I842" s="24">
        <v>14153.75</v>
      </c>
      <c r="J842" s="22" t="s">
        <v>104</v>
      </c>
      <c r="K842" s="22" t="s">
        <v>116</v>
      </c>
      <c r="L842" t="str">
        <f>VLOOKUP(D842,Products!A:F,3,FALSE())</f>
        <v>Home</v>
      </c>
      <c r="M842" t="str">
        <f>VLOOKUP(C842,Customers!A:F,5,FALSE())</f>
        <v>SMB</v>
      </c>
      <c r="O842" t="str">
        <f>IFERROR(VLOOKUP(E842,Sales_Reps!$A:$C,3,FALSE()),"")</f>
        <v/>
      </c>
      <c r="P842">
        <f>IFERROR(VLOOKUP(C842,Customers!$A:$C,3,FALSE()),"")</f>
        <v>48</v>
      </c>
      <c r="Q842" t="str">
        <f t="shared" si="13"/>
        <v>Jul-24</v>
      </c>
      <c r="R842">
        <f>IFERROR((VLOOKUP(D842,Products!$A:$E,5,FALSE())-VLOOKUP(D842,Products!$A:$E,4,FALSE()))/VLOOKUP(D842,Products!$A:$E,5,FALSE()),"")</f>
        <v>0.52123076923076928</v>
      </c>
    </row>
    <row r="843" spans="1:18" x14ac:dyDescent="0.3">
      <c r="A843" s="22" t="s">
        <v>2147</v>
      </c>
      <c r="B843" s="23">
        <v>45328</v>
      </c>
      <c r="C843" s="22" t="s">
        <v>772</v>
      </c>
      <c r="D843" s="22" t="s">
        <v>201</v>
      </c>
      <c r="E843" s="22" t="s">
        <v>2148</v>
      </c>
      <c r="F843" s="24">
        <v>4</v>
      </c>
      <c r="G843" s="24">
        <v>1650</v>
      </c>
      <c r="H843" s="24">
        <v>4.0999999999999996</v>
      </c>
      <c r="I843" s="24">
        <v>6329.4</v>
      </c>
      <c r="J843" s="22" t="s">
        <v>104</v>
      </c>
      <c r="K843" s="22" t="s">
        <v>105</v>
      </c>
      <c r="L843" t="str">
        <f>VLOOKUP(D843,Products!A:F,3,FALSE())</f>
        <v>Beauty</v>
      </c>
      <c r="M843" t="str">
        <f>VLOOKUP(C843,Customers!A:F,5,FALSE())</f>
        <v>SMB</v>
      </c>
      <c r="O843" t="str">
        <f>IFERROR(VLOOKUP(E843,Sales_Reps!$A:$C,3,FALSE()),"")</f>
        <v/>
      </c>
      <c r="P843">
        <f>IFERROR(VLOOKUP(C843,Customers!$A:$C,3,FALSE()),"")</f>
        <v>24</v>
      </c>
      <c r="Q843" t="str">
        <f t="shared" si="13"/>
        <v>Feb-24</v>
      </c>
      <c r="R843">
        <f>IFERROR((VLOOKUP(D843,Products!$A:$E,5,FALSE())-VLOOKUP(D843,Products!$A:$E,4,FALSE()))/VLOOKUP(D843,Products!$A:$E,5,FALSE()),"")</f>
        <v>0.2593939393939394</v>
      </c>
    </row>
    <row r="844" spans="1:18" x14ac:dyDescent="0.3">
      <c r="A844" s="22" t="s">
        <v>2149</v>
      </c>
      <c r="B844" s="23">
        <v>45624</v>
      </c>
      <c r="C844" s="22" t="s">
        <v>355</v>
      </c>
      <c r="D844" s="22" t="s">
        <v>577</v>
      </c>
      <c r="E844" s="22" t="s">
        <v>2150</v>
      </c>
      <c r="F844" s="24">
        <v>6</v>
      </c>
      <c r="G844" s="24">
        <v>5080</v>
      </c>
      <c r="H844" s="24">
        <v>3</v>
      </c>
      <c r="I844" s="24">
        <v>29565.599999999999</v>
      </c>
      <c r="J844" s="22" t="s">
        <v>104</v>
      </c>
      <c r="K844" s="22" t="s">
        <v>151</v>
      </c>
      <c r="L844" t="str">
        <f>VLOOKUP(D844,Products!A:F,3,FALSE())</f>
        <v>Home</v>
      </c>
      <c r="M844" t="str">
        <f>VLOOKUP(C844,Customers!A:F,5,FALSE())</f>
        <v>SMB</v>
      </c>
      <c r="O844" t="str">
        <f>IFERROR(VLOOKUP(E844,Sales_Reps!$A:$C,3,FALSE()),"")</f>
        <v/>
      </c>
      <c r="P844">
        <f>IFERROR(VLOOKUP(C844,Customers!$A:$C,3,FALSE()),"")</f>
        <v>43</v>
      </c>
      <c r="Q844" t="str">
        <f t="shared" si="13"/>
        <v>Nov-24</v>
      </c>
      <c r="R844">
        <f>IFERROR((VLOOKUP(D844,Products!$A:$E,5,FALSE())-VLOOKUP(D844,Products!$A:$E,4,FALSE()))/VLOOKUP(D844,Products!$A:$E,5,FALSE()),"")</f>
        <v>0.51594488188976373</v>
      </c>
    </row>
    <row r="845" spans="1:18" x14ac:dyDescent="0.3">
      <c r="A845" s="22" t="s">
        <v>2151</v>
      </c>
      <c r="B845" s="23">
        <v>45614</v>
      </c>
      <c r="C845" s="22" t="s">
        <v>1520</v>
      </c>
      <c r="D845" s="22" t="s">
        <v>182</v>
      </c>
      <c r="E845" s="22" t="s">
        <v>2152</v>
      </c>
      <c r="F845" s="24">
        <v>8</v>
      </c>
      <c r="G845" s="24">
        <v>3450</v>
      </c>
      <c r="H845" s="24">
        <v>20.9</v>
      </c>
      <c r="I845" s="24">
        <v>21831.599999999999</v>
      </c>
      <c r="J845" s="22" t="s">
        <v>104</v>
      </c>
      <c r="K845" s="22" t="s">
        <v>134</v>
      </c>
      <c r="L845" t="str">
        <f>VLOOKUP(D845,Products!A:F,3,FALSE())</f>
        <v>Sports</v>
      </c>
      <c r="M845" t="str">
        <f>VLOOKUP(C845,Customers!A:F,5,FALSE())</f>
        <v>Retail</v>
      </c>
      <c r="O845" t="str">
        <f>IFERROR(VLOOKUP(E845,Sales_Reps!$A:$C,3,FALSE()),"")</f>
        <v/>
      </c>
      <c r="P845">
        <f>IFERROR(VLOOKUP(C845,Customers!$A:$C,3,FALSE()),"")</f>
        <v>61</v>
      </c>
      <c r="Q845" t="str">
        <f t="shared" si="13"/>
        <v>Nov-24</v>
      </c>
      <c r="R845">
        <f>IFERROR((VLOOKUP(D845,Products!$A:$E,5,FALSE())-VLOOKUP(D845,Products!$A:$E,4,FALSE()))/VLOOKUP(D845,Products!$A:$E,5,FALSE()),"")</f>
        <v>0.28492753623188405</v>
      </c>
    </row>
    <row r="846" spans="1:18" x14ac:dyDescent="0.3">
      <c r="A846" s="22" t="s">
        <v>2153</v>
      </c>
      <c r="B846" s="23">
        <v>45429</v>
      </c>
      <c r="C846" s="22" t="s">
        <v>364</v>
      </c>
      <c r="D846" s="22" t="s">
        <v>205</v>
      </c>
      <c r="E846" s="22" t="s">
        <v>2154</v>
      </c>
      <c r="F846" s="24">
        <v>6</v>
      </c>
      <c r="G846" s="24">
        <v>3350</v>
      </c>
      <c r="H846" s="24">
        <v>24.8</v>
      </c>
      <c r="I846" s="24">
        <v>15115.2</v>
      </c>
      <c r="J846" s="22" t="s">
        <v>104</v>
      </c>
      <c r="K846" s="22" t="s">
        <v>111</v>
      </c>
      <c r="L846" t="str">
        <f>VLOOKUP(D846,Products!A:F,3,FALSE())</f>
        <v>Beauty</v>
      </c>
      <c r="M846" t="str">
        <f>VLOOKUP(C846,Customers!A:F,5,FALSE())</f>
        <v>Retail</v>
      </c>
      <c r="O846" t="str">
        <f>IFERROR(VLOOKUP(E846,Sales_Reps!$A:$C,3,FALSE()),"")</f>
        <v/>
      </c>
      <c r="P846">
        <f>IFERROR(VLOOKUP(C846,Customers!$A:$C,3,FALSE()),"")</f>
        <v>41</v>
      </c>
      <c r="Q846" t="str">
        <f t="shared" si="13"/>
        <v>May-24</v>
      </c>
      <c r="R846">
        <f>IFERROR((VLOOKUP(D846,Products!$A:$E,5,FALSE())-VLOOKUP(D846,Products!$A:$E,4,FALSE()))/VLOOKUP(D846,Products!$A:$E,5,FALSE()),"")</f>
        <v>0.48417910447761192</v>
      </c>
    </row>
    <row r="847" spans="1:18" x14ac:dyDescent="0.3">
      <c r="A847" s="22" t="s">
        <v>2155</v>
      </c>
      <c r="B847" s="23">
        <v>45451</v>
      </c>
      <c r="C847" s="22" t="s">
        <v>953</v>
      </c>
      <c r="D847" s="22" t="s">
        <v>419</v>
      </c>
      <c r="E847" s="22" t="s">
        <v>2156</v>
      </c>
      <c r="F847" s="24">
        <v>10</v>
      </c>
      <c r="G847" s="24">
        <v>2210</v>
      </c>
      <c r="H847" s="24">
        <v>4.2</v>
      </c>
      <c r="I847" s="24">
        <v>21171.8</v>
      </c>
      <c r="J847" s="22" t="s">
        <v>104</v>
      </c>
      <c r="K847" s="22" t="s">
        <v>151</v>
      </c>
      <c r="L847" t="str">
        <f>VLOOKUP(D847,Products!A:F,3,FALSE())</f>
        <v>Grocery</v>
      </c>
      <c r="M847" t="str">
        <f>VLOOKUP(C847,Customers!A:F,5,FALSE())</f>
        <v>Retail</v>
      </c>
      <c r="O847" t="str">
        <f>IFERROR(VLOOKUP(E847,Sales_Reps!$A:$C,3,FALSE()),"")</f>
        <v/>
      </c>
      <c r="P847">
        <f>IFERROR(VLOOKUP(C847,Customers!$A:$C,3,FALSE()),"")</f>
        <v>31</v>
      </c>
      <c r="Q847" t="str">
        <f t="shared" si="13"/>
        <v>Jun-24</v>
      </c>
      <c r="R847">
        <f>IFERROR((VLOOKUP(D847,Products!$A:$E,5,FALSE())-VLOOKUP(D847,Products!$A:$E,4,FALSE()))/VLOOKUP(D847,Products!$A:$E,5,FALSE()),"")</f>
        <v>0.54298642533936647</v>
      </c>
    </row>
    <row r="848" spans="1:18" x14ac:dyDescent="0.3">
      <c r="A848" s="22" t="s">
        <v>2157</v>
      </c>
      <c r="B848" s="23">
        <v>45444</v>
      </c>
      <c r="C848" s="22" t="s">
        <v>897</v>
      </c>
      <c r="D848" s="22" t="s">
        <v>212</v>
      </c>
      <c r="E848" s="22" t="s">
        <v>2158</v>
      </c>
      <c r="F848" s="24">
        <v>10</v>
      </c>
      <c r="G848" s="24">
        <v>4880</v>
      </c>
      <c r="H848" s="24">
        <v>0.7</v>
      </c>
      <c r="I848" s="24">
        <v>48458.400000000001</v>
      </c>
      <c r="J848" s="22" t="s">
        <v>104</v>
      </c>
      <c r="K848" s="22" t="s">
        <v>116</v>
      </c>
      <c r="L848" t="str">
        <f>VLOOKUP(D848,Products!A:F,3,FALSE())</f>
        <v>Beauty</v>
      </c>
      <c r="M848" t="str">
        <f>VLOOKUP(C848,Customers!A:F,5,FALSE())</f>
        <v>Retail</v>
      </c>
      <c r="O848" t="str">
        <f>IFERROR(VLOOKUP(E848,Sales_Reps!$A:$C,3,FALSE()),"")</f>
        <v/>
      </c>
      <c r="P848">
        <f>IFERROR(VLOOKUP(C848,Customers!$A:$C,3,FALSE()),"")</f>
        <v>43</v>
      </c>
      <c r="Q848" t="str">
        <f t="shared" si="13"/>
        <v>Jun-24</v>
      </c>
      <c r="R848">
        <f>IFERROR((VLOOKUP(D848,Products!$A:$E,5,FALSE())-VLOOKUP(D848,Products!$A:$E,4,FALSE()))/VLOOKUP(D848,Products!$A:$E,5,FALSE()),"")</f>
        <v>0.43278688524590164</v>
      </c>
    </row>
    <row r="849" spans="1:18" x14ac:dyDescent="0.3">
      <c r="A849" s="22" t="s">
        <v>2159</v>
      </c>
      <c r="B849" s="23">
        <v>45369</v>
      </c>
      <c r="C849" s="22" t="s">
        <v>185</v>
      </c>
      <c r="D849" s="22" t="s">
        <v>224</v>
      </c>
      <c r="E849" s="22" t="s">
        <v>2160</v>
      </c>
      <c r="F849" s="24">
        <v>7</v>
      </c>
      <c r="G849" s="24">
        <v>2860</v>
      </c>
      <c r="H849" s="24">
        <v>28.1</v>
      </c>
      <c r="I849" s="24">
        <v>14394.38</v>
      </c>
      <c r="J849" s="22" t="s">
        <v>110</v>
      </c>
      <c r="K849" s="22" t="s">
        <v>111</v>
      </c>
      <c r="L849" t="str">
        <f>VLOOKUP(D849,Products!A:F,3,FALSE())</f>
        <v>Sports</v>
      </c>
      <c r="M849" t="str">
        <f>VLOOKUP(C849,Customers!A:F,5,FALSE())</f>
        <v>Retail</v>
      </c>
      <c r="O849" t="str">
        <f>IFERROR(VLOOKUP(E849,Sales_Reps!$A:$C,3,FALSE()),"")</f>
        <v/>
      </c>
      <c r="P849">
        <f>IFERROR(VLOOKUP(C849,Customers!$A:$C,3,FALSE()),"")</f>
        <v>49</v>
      </c>
      <c r="Q849" t="str">
        <f t="shared" si="13"/>
        <v>Mar-24</v>
      </c>
      <c r="R849">
        <f>IFERROR((VLOOKUP(D849,Products!$A:$E,5,FALSE())-VLOOKUP(D849,Products!$A:$E,4,FALSE()))/VLOOKUP(D849,Products!$A:$E,5,FALSE()),"")</f>
        <v>0.29090909090909089</v>
      </c>
    </row>
    <row r="850" spans="1:18" x14ac:dyDescent="0.3">
      <c r="A850" s="22" t="s">
        <v>2161</v>
      </c>
      <c r="B850" s="23">
        <v>45581</v>
      </c>
      <c r="C850" s="22" t="s">
        <v>576</v>
      </c>
      <c r="D850" s="22" t="s">
        <v>145</v>
      </c>
      <c r="E850" s="22" t="s">
        <v>2162</v>
      </c>
      <c r="F850" s="24">
        <v>3</v>
      </c>
      <c r="G850" s="24">
        <v>970</v>
      </c>
      <c r="H850" s="24">
        <v>28.3</v>
      </c>
      <c r="I850" s="24">
        <v>2086.4699999999998</v>
      </c>
      <c r="J850" s="22" t="s">
        <v>104</v>
      </c>
      <c r="K850" s="22" t="s">
        <v>105</v>
      </c>
      <c r="L850" t="str">
        <f>VLOOKUP(D850,Products!A:F,3,FALSE())</f>
        <v>Grocery</v>
      </c>
      <c r="M850" t="str">
        <f>VLOOKUP(C850,Customers!A:F,5,FALSE())</f>
        <v>Retail</v>
      </c>
      <c r="O850" t="str">
        <f>IFERROR(VLOOKUP(E850,Sales_Reps!$A:$C,3,FALSE()),"")</f>
        <v/>
      </c>
      <c r="P850">
        <f>IFERROR(VLOOKUP(C850,Customers!$A:$C,3,FALSE()),"")</f>
        <v>65</v>
      </c>
      <c r="Q850" t="str">
        <f t="shared" si="13"/>
        <v>Oct-24</v>
      </c>
      <c r="R850">
        <f>IFERROR((VLOOKUP(D850,Products!$A:$E,5,FALSE())-VLOOKUP(D850,Products!$A:$E,4,FALSE()))/VLOOKUP(D850,Products!$A:$E,5,FALSE()),"")</f>
        <v>0.5525773195876289</v>
      </c>
    </row>
    <row r="851" spans="1:18" x14ac:dyDescent="0.3">
      <c r="A851" s="22" t="s">
        <v>2163</v>
      </c>
      <c r="B851" s="23">
        <v>45494</v>
      </c>
      <c r="C851" s="22" t="s">
        <v>1497</v>
      </c>
      <c r="D851" s="22" t="s">
        <v>289</v>
      </c>
      <c r="E851" s="22" t="s">
        <v>2164</v>
      </c>
      <c r="F851" s="24">
        <v>1</v>
      </c>
      <c r="G851" s="24">
        <v>2270</v>
      </c>
      <c r="H851" s="24">
        <v>15.1</v>
      </c>
      <c r="I851" s="24">
        <v>1927.23</v>
      </c>
      <c r="J851" s="22" t="s">
        <v>104</v>
      </c>
      <c r="K851" s="22" t="s">
        <v>105</v>
      </c>
      <c r="L851" t="str">
        <f>VLOOKUP(D851,Products!A:F,3,FALSE())</f>
        <v>Grocery</v>
      </c>
      <c r="M851" t="str">
        <f>VLOOKUP(C851,Customers!A:F,5,FALSE())</f>
        <v>Corporate</v>
      </c>
      <c r="O851" t="str">
        <f>IFERROR(VLOOKUP(E851,Sales_Reps!$A:$C,3,FALSE()),"")</f>
        <v/>
      </c>
      <c r="P851">
        <f>IFERROR(VLOOKUP(C851,Customers!$A:$C,3,FALSE()),"")</f>
        <v>29</v>
      </c>
      <c r="Q851" t="str">
        <f t="shared" si="13"/>
        <v>Jul-24</v>
      </c>
      <c r="R851">
        <f>IFERROR((VLOOKUP(D851,Products!$A:$E,5,FALSE())-VLOOKUP(D851,Products!$A:$E,4,FALSE()))/VLOOKUP(D851,Products!$A:$E,5,FALSE()),"")</f>
        <v>0.37797356828193834</v>
      </c>
    </row>
    <row r="852" spans="1:18" x14ac:dyDescent="0.3">
      <c r="A852" s="22" t="s">
        <v>2165</v>
      </c>
      <c r="B852" s="23">
        <v>45324</v>
      </c>
      <c r="C852" s="22" t="s">
        <v>462</v>
      </c>
      <c r="D852" s="22" t="s">
        <v>935</v>
      </c>
      <c r="E852" s="22" t="s">
        <v>2166</v>
      </c>
      <c r="F852" s="24">
        <v>5</v>
      </c>
      <c r="G852" s="24">
        <v>3560</v>
      </c>
      <c r="H852" s="24">
        <v>11.5</v>
      </c>
      <c r="I852" s="24">
        <v>15753</v>
      </c>
      <c r="J852" s="22" t="s">
        <v>104</v>
      </c>
      <c r="K852" s="22" t="s">
        <v>111</v>
      </c>
      <c r="L852" t="str">
        <f>VLOOKUP(D852,Products!A:F,3,FALSE())</f>
        <v>Apparel</v>
      </c>
      <c r="M852" t="str">
        <f>VLOOKUP(C852,Customers!A:F,5,FALSE())</f>
        <v>SMB</v>
      </c>
      <c r="O852" t="str">
        <f>IFERROR(VLOOKUP(E852,Sales_Reps!$A:$C,3,FALSE()),"")</f>
        <v/>
      </c>
      <c r="P852">
        <f>IFERROR(VLOOKUP(C852,Customers!$A:$C,3,FALSE()),"")</f>
        <v>62</v>
      </c>
      <c r="Q852" t="str">
        <f t="shared" si="13"/>
        <v>Feb-24</v>
      </c>
      <c r="R852">
        <f>IFERROR((VLOOKUP(D852,Products!$A:$E,5,FALSE())-VLOOKUP(D852,Products!$A:$E,4,FALSE()))/VLOOKUP(D852,Products!$A:$E,5,FALSE()),"")</f>
        <v>0.26151685393258428</v>
      </c>
    </row>
    <row r="853" spans="1:18" x14ac:dyDescent="0.3">
      <c r="A853" s="22" t="s">
        <v>2167</v>
      </c>
      <c r="B853" s="23">
        <v>45419</v>
      </c>
      <c r="C853" s="22" t="s">
        <v>204</v>
      </c>
      <c r="D853" s="22" t="s">
        <v>449</v>
      </c>
      <c r="E853" s="22" t="s">
        <v>2168</v>
      </c>
      <c r="F853" s="24">
        <v>2</v>
      </c>
      <c r="G853" s="24">
        <v>5410</v>
      </c>
      <c r="H853" s="24">
        <v>14.8</v>
      </c>
      <c r="I853" s="24">
        <v>9218.64</v>
      </c>
      <c r="J853" s="22" t="s">
        <v>110</v>
      </c>
      <c r="K853" s="22" t="s">
        <v>111</v>
      </c>
      <c r="L853" t="str">
        <f>VLOOKUP(D853,Products!A:F,3,FALSE())</f>
        <v>Sports</v>
      </c>
      <c r="M853" t="str">
        <f>VLOOKUP(C853,Customers!A:F,5,FALSE())</f>
        <v>Corporate</v>
      </c>
      <c r="O853" t="str">
        <f>IFERROR(VLOOKUP(E853,Sales_Reps!$A:$C,3,FALSE()),"")</f>
        <v/>
      </c>
      <c r="P853">
        <f>IFERROR(VLOOKUP(C853,Customers!$A:$C,3,FALSE()),"")</f>
        <v>55</v>
      </c>
      <c r="Q853" t="str">
        <f t="shared" si="13"/>
        <v>May-24</v>
      </c>
      <c r="R853">
        <f>IFERROR((VLOOKUP(D853,Products!$A:$E,5,FALSE())-VLOOKUP(D853,Products!$A:$E,4,FALSE()))/VLOOKUP(D853,Products!$A:$E,5,FALSE()),"")</f>
        <v>0.58133086876155271</v>
      </c>
    </row>
    <row r="854" spans="1:18" x14ac:dyDescent="0.3">
      <c r="A854" s="22" t="s">
        <v>2169</v>
      </c>
      <c r="B854" s="23">
        <v>45656</v>
      </c>
      <c r="C854" s="22" t="s">
        <v>1396</v>
      </c>
      <c r="D854" s="22" t="s">
        <v>190</v>
      </c>
      <c r="E854" s="22" t="s">
        <v>2170</v>
      </c>
      <c r="F854" s="24">
        <v>2</v>
      </c>
      <c r="G854" s="24">
        <v>2480</v>
      </c>
      <c r="H854" s="24">
        <v>27.2</v>
      </c>
      <c r="I854" s="24">
        <v>3610.88</v>
      </c>
      <c r="J854" s="22" t="s">
        <v>104</v>
      </c>
      <c r="K854" s="22" t="s">
        <v>134</v>
      </c>
      <c r="L854" t="str">
        <f>VLOOKUP(D854,Products!A:F,3,FALSE())</f>
        <v>Apparel</v>
      </c>
      <c r="M854" t="str">
        <f>VLOOKUP(C854,Customers!A:F,5,FALSE())</f>
        <v>Retail</v>
      </c>
      <c r="O854" t="str">
        <f>IFERROR(VLOOKUP(E854,Sales_Reps!$A:$C,3,FALSE()),"")</f>
        <v/>
      </c>
      <c r="P854">
        <f>IFERROR(VLOOKUP(C854,Customers!$A:$C,3,FALSE()),"")</f>
        <v>28</v>
      </c>
      <c r="Q854" t="str">
        <f t="shared" si="13"/>
        <v>Dec-24</v>
      </c>
      <c r="R854">
        <f>IFERROR((VLOOKUP(D854,Products!$A:$E,5,FALSE())-VLOOKUP(D854,Products!$A:$E,4,FALSE()))/VLOOKUP(D854,Products!$A:$E,5,FALSE()),"")</f>
        <v>0.52701612903225803</v>
      </c>
    </row>
    <row r="855" spans="1:18" x14ac:dyDescent="0.3">
      <c r="A855" s="22" t="s">
        <v>2171</v>
      </c>
      <c r="B855" s="23">
        <v>45350</v>
      </c>
      <c r="C855" s="22" t="s">
        <v>719</v>
      </c>
      <c r="D855" s="22" t="s">
        <v>108</v>
      </c>
      <c r="E855" s="22" t="s">
        <v>2172</v>
      </c>
      <c r="F855" s="24">
        <v>6</v>
      </c>
      <c r="G855" s="24">
        <v>820</v>
      </c>
      <c r="H855" s="24">
        <v>6.6</v>
      </c>
      <c r="I855" s="24">
        <v>4595.28</v>
      </c>
      <c r="J855" s="22" t="s">
        <v>104</v>
      </c>
      <c r="K855" s="22" t="s">
        <v>116</v>
      </c>
      <c r="L855" t="str">
        <f>VLOOKUP(D855,Products!A:F,3,FALSE())</f>
        <v>Apparel</v>
      </c>
      <c r="M855" t="str">
        <f>VLOOKUP(C855,Customers!A:F,5,FALSE())</f>
        <v>Retail</v>
      </c>
      <c r="O855" t="str">
        <f>IFERROR(VLOOKUP(E855,Sales_Reps!$A:$C,3,FALSE()),"")</f>
        <v/>
      </c>
      <c r="P855">
        <f>IFERROR(VLOOKUP(C855,Customers!$A:$C,3,FALSE()),"")</f>
        <v>45</v>
      </c>
      <c r="Q855" t="str">
        <f t="shared" si="13"/>
        <v>Feb-24</v>
      </c>
      <c r="R855">
        <f>IFERROR((VLOOKUP(D855,Products!$A:$E,5,FALSE())-VLOOKUP(D855,Products!$A:$E,4,FALSE()))/VLOOKUP(D855,Products!$A:$E,5,FALSE()),"")</f>
        <v>0.52317073170731709</v>
      </c>
    </row>
    <row r="856" spans="1:18" x14ac:dyDescent="0.3">
      <c r="A856" s="22" t="s">
        <v>2173</v>
      </c>
      <c r="B856" s="23">
        <v>45434</v>
      </c>
      <c r="C856" s="22" t="s">
        <v>292</v>
      </c>
      <c r="D856" s="22" t="s">
        <v>455</v>
      </c>
      <c r="E856" s="22" t="s">
        <v>2174</v>
      </c>
      <c r="F856" s="24">
        <v>10</v>
      </c>
      <c r="G856" s="24">
        <v>5330</v>
      </c>
      <c r="H856" s="24">
        <v>16.100000000000001</v>
      </c>
      <c r="I856" s="24">
        <v>44718.7</v>
      </c>
      <c r="J856" s="22" t="s">
        <v>104</v>
      </c>
      <c r="K856" s="22" t="s">
        <v>134</v>
      </c>
      <c r="L856" t="str">
        <f>VLOOKUP(D856,Products!A:F,3,FALSE())</f>
        <v>Electronics</v>
      </c>
      <c r="M856" t="str">
        <f>VLOOKUP(C856,Customers!A:F,5,FALSE())</f>
        <v>Retail</v>
      </c>
      <c r="O856" t="str">
        <f>IFERROR(VLOOKUP(E856,Sales_Reps!$A:$C,3,FALSE()),"")</f>
        <v/>
      </c>
      <c r="P856">
        <f>IFERROR(VLOOKUP(C856,Customers!$A:$C,3,FALSE()),"")</f>
        <v>34</v>
      </c>
      <c r="Q856" t="str">
        <f t="shared" si="13"/>
        <v>May-24</v>
      </c>
      <c r="R856">
        <f>IFERROR((VLOOKUP(D856,Products!$A:$E,5,FALSE())-VLOOKUP(D856,Products!$A:$E,4,FALSE()))/VLOOKUP(D856,Products!$A:$E,5,FALSE()),"")</f>
        <v>0.54878048780487809</v>
      </c>
    </row>
    <row r="857" spans="1:18" x14ac:dyDescent="0.3">
      <c r="A857" s="22" t="s">
        <v>2175</v>
      </c>
      <c r="B857" s="23">
        <v>45438</v>
      </c>
      <c r="C857" s="22" t="s">
        <v>1082</v>
      </c>
      <c r="D857" s="22" t="s">
        <v>178</v>
      </c>
      <c r="E857" s="22" t="s">
        <v>2176</v>
      </c>
      <c r="F857" s="24">
        <v>2</v>
      </c>
      <c r="G857" s="24">
        <v>3450</v>
      </c>
      <c r="H857" s="24">
        <v>11.3</v>
      </c>
      <c r="I857" s="24">
        <v>6120.3</v>
      </c>
      <c r="J857" s="22" t="s">
        <v>110</v>
      </c>
      <c r="K857" s="22" t="s">
        <v>151</v>
      </c>
      <c r="L857" t="str">
        <f>VLOOKUP(D857,Products!A:F,3,FALSE())</f>
        <v>Beauty</v>
      </c>
      <c r="M857" t="str">
        <f>VLOOKUP(C857,Customers!A:F,5,FALSE())</f>
        <v>Retail</v>
      </c>
      <c r="O857" t="str">
        <f>IFERROR(VLOOKUP(E857,Sales_Reps!$A:$C,3,FALSE()),"")</f>
        <v/>
      </c>
      <c r="P857">
        <f>IFERROR(VLOOKUP(C857,Customers!$A:$C,3,FALSE()),"")</f>
        <v>64</v>
      </c>
      <c r="Q857" t="str">
        <f t="shared" si="13"/>
        <v>May-24</v>
      </c>
      <c r="R857">
        <f>IFERROR((VLOOKUP(D857,Products!$A:$E,5,FALSE())-VLOOKUP(D857,Products!$A:$E,4,FALSE()))/VLOOKUP(D857,Products!$A:$E,5,FALSE()),"")</f>
        <v>0.29855072463768118</v>
      </c>
    </row>
    <row r="858" spans="1:18" x14ac:dyDescent="0.3">
      <c r="A858" s="22" t="s">
        <v>2177</v>
      </c>
      <c r="B858" s="23">
        <v>45486</v>
      </c>
      <c r="C858" s="22" t="s">
        <v>364</v>
      </c>
      <c r="D858" s="22" t="s">
        <v>479</v>
      </c>
      <c r="E858" s="22" t="s">
        <v>2178</v>
      </c>
      <c r="F858" s="24">
        <v>7</v>
      </c>
      <c r="G858" s="24">
        <v>960</v>
      </c>
      <c r="H858" s="24">
        <v>17.100000000000001</v>
      </c>
      <c r="I858" s="24">
        <v>5570.88</v>
      </c>
      <c r="J858" s="22" t="s">
        <v>104</v>
      </c>
      <c r="K858" s="22" t="s">
        <v>111</v>
      </c>
      <c r="L858" t="str">
        <f>VLOOKUP(D858,Products!A:F,3,FALSE())</f>
        <v>Beauty</v>
      </c>
      <c r="M858" t="str">
        <f>VLOOKUP(C858,Customers!A:F,5,FALSE())</f>
        <v>Retail</v>
      </c>
      <c r="O858" t="str">
        <f>IFERROR(VLOOKUP(E858,Sales_Reps!$A:$C,3,FALSE()),"")</f>
        <v/>
      </c>
      <c r="P858">
        <f>IFERROR(VLOOKUP(C858,Customers!$A:$C,3,FALSE()),"")</f>
        <v>41</v>
      </c>
      <c r="Q858" t="str">
        <f t="shared" si="13"/>
        <v>Jul-24</v>
      </c>
      <c r="R858">
        <f>IFERROR((VLOOKUP(D858,Products!$A:$E,5,FALSE())-VLOOKUP(D858,Products!$A:$E,4,FALSE()))/VLOOKUP(D858,Products!$A:$E,5,FALSE()),"")</f>
        <v>0.296875</v>
      </c>
    </row>
    <row r="859" spans="1:18" x14ac:dyDescent="0.3">
      <c r="A859" s="22" t="s">
        <v>2179</v>
      </c>
      <c r="B859" s="23">
        <v>45623</v>
      </c>
      <c r="C859" s="22" t="s">
        <v>355</v>
      </c>
      <c r="D859" s="22" t="s">
        <v>591</v>
      </c>
      <c r="E859" s="22" t="s">
        <v>2180</v>
      </c>
      <c r="F859" s="24">
        <v>5</v>
      </c>
      <c r="G859" s="24">
        <v>3450</v>
      </c>
      <c r="H859" s="24">
        <v>22.9</v>
      </c>
      <c r="I859" s="24">
        <v>13299.75</v>
      </c>
      <c r="J859" s="22" t="s">
        <v>104</v>
      </c>
      <c r="K859" s="22" t="s">
        <v>151</v>
      </c>
      <c r="L859" t="str">
        <f>VLOOKUP(D859,Products!A:F,3,FALSE())</f>
        <v>Apparel</v>
      </c>
      <c r="M859" t="str">
        <f>VLOOKUP(C859,Customers!A:F,5,FALSE())</f>
        <v>SMB</v>
      </c>
      <c r="O859" t="str">
        <f>IFERROR(VLOOKUP(E859,Sales_Reps!$A:$C,3,FALSE()),"")</f>
        <v/>
      </c>
      <c r="P859">
        <f>IFERROR(VLOOKUP(C859,Customers!$A:$C,3,FALSE()),"")</f>
        <v>43</v>
      </c>
      <c r="Q859" t="str">
        <f t="shared" si="13"/>
        <v>Nov-24</v>
      </c>
      <c r="R859">
        <f>IFERROR((VLOOKUP(D859,Products!$A:$E,5,FALSE())-VLOOKUP(D859,Products!$A:$E,4,FALSE()))/VLOOKUP(D859,Products!$A:$E,5,FALSE()),"")</f>
        <v>0.49333333333333335</v>
      </c>
    </row>
    <row r="860" spans="1:18" x14ac:dyDescent="0.3">
      <c r="A860" s="22" t="s">
        <v>2181</v>
      </c>
      <c r="B860" s="23">
        <v>45634</v>
      </c>
      <c r="C860" s="22" t="s">
        <v>1281</v>
      </c>
      <c r="D860" s="22" t="s">
        <v>319</v>
      </c>
      <c r="E860" s="22" t="s">
        <v>2182</v>
      </c>
      <c r="F860" s="24">
        <v>5</v>
      </c>
      <c r="G860" s="24">
        <v>1220</v>
      </c>
      <c r="H860" s="24">
        <v>0.3</v>
      </c>
      <c r="I860" s="24">
        <v>6081.7</v>
      </c>
      <c r="J860" s="22" t="s">
        <v>104</v>
      </c>
      <c r="K860" s="22" t="s">
        <v>105</v>
      </c>
      <c r="L860" t="str">
        <f>VLOOKUP(D860,Products!A:F,3,FALSE())</f>
        <v>Electronics</v>
      </c>
      <c r="M860" t="str">
        <f>VLOOKUP(C860,Customers!A:F,5,FALSE())</f>
        <v>SMB</v>
      </c>
      <c r="O860" t="str">
        <f>IFERROR(VLOOKUP(E860,Sales_Reps!$A:$C,3,FALSE()),"")</f>
        <v/>
      </c>
      <c r="P860">
        <f>IFERROR(VLOOKUP(C860,Customers!$A:$C,3,FALSE()),"")</f>
        <v>59</v>
      </c>
      <c r="Q860" t="str">
        <f t="shared" si="13"/>
        <v>Dec-24</v>
      </c>
      <c r="R860">
        <f>IFERROR((VLOOKUP(D860,Products!$A:$E,5,FALSE())-VLOOKUP(D860,Products!$A:$E,4,FALSE()))/VLOOKUP(D860,Products!$A:$E,5,FALSE()),"")</f>
        <v>0.57622950819672136</v>
      </c>
    </row>
    <row r="861" spans="1:18" x14ac:dyDescent="0.3">
      <c r="A861" s="22" t="s">
        <v>2183</v>
      </c>
      <c r="B861" s="23">
        <v>45308</v>
      </c>
      <c r="C861" s="22" t="s">
        <v>1867</v>
      </c>
      <c r="D861" s="22" t="s">
        <v>455</v>
      </c>
      <c r="E861" s="22" t="s">
        <v>2184</v>
      </c>
      <c r="F861" s="24">
        <v>5</v>
      </c>
      <c r="G861" s="24">
        <v>5330</v>
      </c>
      <c r="H861" s="24">
        <v>29</v>
      </c>
      <c r="I861" s="24">
        <v>18921.5</v>
      </c>
      <c r="J861" s="22" t="s">
        <v>104</v>
      </c>
      <c r="K861" s="22" t="s">
        <v>105</v>
      </c>
      <c r="L861" t="str">
        <f>VLOOKUP(D861,Products!A:F,3,FALSE())</f>
        <v>Electronics</v>
      </c>
      <c r="M861" t="str">
        <f>VLOOKUP(C861,Customers!A:F,5,FALSE())</f>
        <v>Retail</v>
      </c>
      <c r="O861" t="str">
        <f>IFERROR(VLOOKUP(E861,Sales_Reps!$A:$C,3,FALSE()),"")</f>
        <v/>
      </c>
      <c r="P861">
        <f>IFERROR(VLOOKUP(C861,Customers!$A:$C,3,FALSE()),"")</f>
        <v>39</v>
      </c>
      <c r="Q861" t="str">
        <f t="shared" si="13"/>
        <v>Jan-24</v>
      </c>
      <c r="R861">
        <f>IFERROR((VLOOKUP(D861,Products!$A:$E,5,FALSE())-VLOOKUP(D861,Products!$A:$E,4,FALSE()))/VLOOKUP(D861,Products!$A:$E,5,FALSE()),"")</f>
        <v>0.54878048780487809</v>
      </c>
    </row>
    <row r="862" spans="1:18" x14ac:dyDescent="0.3">
      <c r="A862" s="22" t="s">
        <v>2185</v>
      </c>
      <c r="B862" s="23">
        <v>45641</v>
      </c>
      <c r="C862" s="22" t="s">
        <v>1109</v>
      </c>
      <c r="D862" s="22" t="s">
        <v>216</v>
      </c>
      <c r="E862" s="22" t="s">
        <v>2186</v>
      </c>
      <c r="F862" s="24">
        <v>3</v>
      </c>
      <c r="G862" s="24">
        <v>3570</v>
      </c>
      <c r="H862" s="24">
        <v>20</v>
      </c>
      <c r="I862" s="24">
        <v>8568</v>
      </c>
      <c r="J862" s="22" t="s">
        <v>159</v>
      </c>
      <c r="K862" s="22" t="s">
        <v>134</v>
      </c>
      <c r="L862" t="str">
        <f>VLOOKUP(D862,Products!A:F,3,FALSE())</f>
        <v>Electronics</v>
      </c>
      <c r="M862" t="str">
        <f>VLOOKUP(C862,Customers!A:F,5,FALSE())</f>
        <v>Retail</v>
      </c>
      <c r="O862" t="str">
        <f>IFERROR(VLOOKUP(E862,Sales_Reps!$A:$C,3,FALSE()),"")</f>
        <v/>
      </c>
      <c r="P862">
        <f>IFERROR(VLOOKUP(C862,Customers!$A:$C,3,FALSE()),"")</f>
        <v>29</v>
      </c>
      <c r="Q862" t="str">
        <f t="shared" si="13"/>
        <v>Dec-24</v>
      </c>
      <c r="R862">
        <f>IFERROR((VLOOKUP(D862,Products!$A:$E,5,FALSE())-VLOOKUP(D862,Products!$A:$E,4,FALSE()))/VLOOKUP(D862,Products!$A:$E,5,FALSE()),"")</f>
        <v>0.53361344537815125</v>
      </c>
    </row>
    <row r="863" spans="1:18" x14ac:dyDescent="0.3">
      <c r="A863" s="22" t="s">
        <v>2187</v>
      </c>
      <c r="B863" s="23">
        <v>45396</v>
      </c>
      <c r="C863" s="22" t="s">
        <v>1056</v>
      </c>
      <c r="D863" s="22" t="s">
        <v>419</v>
      </c>
      <c r="E863" s="22" t="s">
        <v>2188</v>
      </c>
      <c r="F863" s="24">
        <v>9</v>
      </c>
      <c r="G863" s="24">
        <v>2210</v>
      </c>
      <c r="H863" s="24">
        <v>12.4</v>
      </c>
      <c r="I863" s="24">
        <v>17423.64</v>
      </c>
      <c r="J863" s="22" t="s">
        <v>104</v>
      </c>
      <c r="K863" s="22" t="s">
        <v>129</v>
      </c>
      <c r="L863" t="str">
        <f>VLOOKUP(D863,Products!A:F,3,FALSE())</f>
        <v>Grocery</v>
      </c>
      <c r="M863" t="str">
        <f>VLOOKUP(C863,Customers!A:F,5,FALSE())</f>
        <v>Retail</v>
      </c>
      <c r="O863" t="str">
        <f>IFERROR(VLOOKUP(E863,Sales_Reps!$A:$C,3,FALSE()),"")</f>
        <v/>
      </c>
      <c r="P863">
        <f>IFERROR(VLOOKUP(C863,Customers!$A:$C,3,FALSE()),"")</f>
        <v>56</v>
      </c>
      <c r="Q863" t="str">
        <f t="shared" si="13"/>
        <v>Apr-24</v>
      </c>
      <c r="R863">
        <f>IFERROR((VLOOKUP(D863,Products!$A:$E,5,FALSE())-VLOOKUP(D863,Products!$A:$E,4,FALSE()))/VLOOKUP(D863,Products!$A:$E,5,FALSE()),"")</f>
        <v>0.54298642533936647</v>
      </c>
    </row>
    <row r="864" spans="1:18" x14ac:dyDescent="0.3">
      <c r="A864" s="22" t="s">
        <v>2189</v>
      </c>
      <c r="B864" s="23">
        <v>45302</v>
      </c>
      <c r="C864" s="22" t="s">
        <v>161</v>
      </c>
      <c r="D864" s="22" t="s">
        <v>605</v>
      </c>
      <c r="E864" s="22" t="s">
        <v>2190</v>
      </c>
      <c r="F864" s="24">
        <v>5</v>
      </c>
      <c r="G864" s="24">
        <v>3780</v>
      </c>
      <c r="H864" s="24">
        <v>3.9</v>
      </c>
      <c r="I864" s="24">
        <v>18162.900000000001</v>
      </c>
      <c r="J864" s="22" t="s">
        <v>104</v>
      </c>
      <c r="K864" s="22" t="s">
        <v>105</v>
      </c>
      <c r="L864" t="str">
        <f>VLOOKUP(D864,Products!A:F,3,FALSE())</f>
        <v>Sports</v>
      </c>
      <c r="M864" t="str">
        <f>VLOOKUP(C864,Customers!A:F,5,FALSE())</f>
        <v>SMB</v>
      </c>
      <c r="O864" t="str">
        <f>IFERROR(VLOOKUP(E864,Sales_Reps!$A:$C,3,FALSE()),"")</f>
        <v/>
      </c>
      <c r="P864">
        <f>IFERROR(VLOOKUP(C864,Customers!$A:$C,3,FALSE()),"")</f>
        <v>39</v>
      </c>
      <c r="Q864" t="str">
        <f t="shared" si="13"/>
        <v>Jan-24</v>
      </c>
      <c r="R864">
        <f>IFERROR((VLOOKUP(D864,Products!$A:$E,5,FALSE())-VLOOKUP(D864,Products!$A:$E,4,FALSE()))/VLOOKUP(D864,Products!$A:$E,5,FALSE()),"")</f>
        <v>0.50793650793650791</v>
      </c>
    </row>
    <row r="865" spans="1:18" x14ac:dyDescent="0.3">
      <c r="A865" s="22" t="s">
        <v>2191</v>
      </c>
      <c r="B865" s="23">
        <v>45626</v>
      </c>
      <c r="C865" s="22" t="s">
        <v>193</v>
      </c>
      <c r="D865" s="22" t="s">
        <v>153</v>
      </c>
      <c r="E865" s="22" t="s">
        <v>2192</v>
      </c>
      <c r="F865" s="24">
        <v>10</v>
      </c>
      <c r="G865" s="24">
        <v>2640</v>
      </c>
      <c r="H865" s="24">
        <v>17.8</v>
      </c>
      <c r="I865" s="24">
        <v>21700.799999999999</v>
      </c>
      <c r="J865" s="22" t="s">
        <v>164</v>
      </c>
      <c r="K865" s="22" t="s">
        <v>129</v>
      </c>
      <c r="L865" t="str">
        <f>VLOOKUP(D865,Products!A:F,3,FALSE())</f>
        <v>Electronics</v>
      </c>
      <c r="M865" t="str">
        <f>VLOOKUP(C865,Customers!A:F,5,FALSE())</f>
        <v>Retail</v>
      </c>
      <c r="O865" t="str">
        <f>IFERROR(VLOOKUP(E865,Sales_Reps!$A:$C,3,FALSE()),"")</f>
        <v/>
      </c>
      <c r="P865">
        <f>IFERROR(VLOOKUP(C865,Customers!$A:$C,3,FALSE()),"")</f>
        <v>34</v>
      </c>
      <c r="Q865" t="str">
        <f t="shared" si="13"/>
        <v>Nov-24</v>
      </c>
      <c r="R865">
        <f>IFERROR((VLOOKUP(D865,Products!$A:$E,5,FALSE())-VLOOKUP(D865,Products!$A:$E,4,FALSE()))/VLOOKUP(D865,Products!$A:$E,5,FALSE()),"")</f>
        <v>0.56477272727272732</v>
      </c>
    </row>
    <row r="866" spans="1:18" x14ac:dyDescent="0.3">
      <c r="A866" s="22" t="s">
        <v>2193</v>
      </c>
      <c r="B866" s="23">
        <v>45352</v>
      </c>
      <c r="C866" s="22" t="s">
        <v>850</v>
      </c>
      <c r="D866" s="22" t="s">
        <v>338</v>
      </c>
      <c r="E866" s="22" t="s">
        <v>2194</v>
      </c>
      <c r="F866" s="24">
        <v>5</v>
      </c>
      <c r="G866" s="24">
        <v>300</v>
      </c>
      <c r="H866" s="24">
        <v>12.9</v>
      </c>
      <c r="I866" s="24">
        <v>1306.5</v>
      </c>
      <c r="J866" s="22" t="s">
        <v>104</v>
      </c>
      <c r="K866" s="22" t="s">
        <v>134</v>
      </c>
      <c r="L866" t="str">
        <f>VLOOKUP(D866,Products!A:F,3,FALSE())</f>
        <v>Electronics</v>
      </c>
      <c r="M866" t="str">
        <f>VLOOKUP(C866,Customers!A:F,5,FALSE())</f>
        <v>SMB</v>
      </c>
      <c r="O866" t="str">
        <f>IFERROR(VLOOKUP(E866,Sales_Reps!$A:$C,3,FALSE()),"")</f>
        <v/>
      </c>
      <c r="P866">
        <f>IFERROR(VLOOKUP(C866,Customers!$A:$C,3,FALSE()),"")</f>
        <v>42</v>
      </c>
      <c r="Q866" t="str">
        <f t="shared" si="13"/>
        <v>Mar-24</v>
      </c>
      <c r="R866">
        <f>IFERROR((VLOOKUP(D866,Products!$A:$E,5,FALSE())-VLOOKUP(D866,Products!$A:$E,4,FALSE()))/VLOOKUP(D866,Products!$A:$E,5,FALSE()),"")</f>
        <v>0.57333333333333336</v>
      </c>
    </row>
    <row r="867" spans="1:18" x14ac:dyDescent="0.3">
      <c r="A867" s="22" t="s">
        <v>2195</v>
      </c>
      <c r="B867" s="23">
        <v>45588</v>
      </c>
      <c r="C867" s="22" t="s">
        <v>355</v>
      </c>
      <c r="D867" s="22" t="s">
        <v>171</v>
      </c>
      <c r="E867" s="22" t="s">
        <v>2196</v>
      </c>
      <c r="F867" s="24">
        <v>2</v>
      </c>
      <c r="G867" s="24">
        <v>2400</v>
      </c>
      <c r="H867" s="24">
        <v>17.100000000000001</v>
      </c>
      <c r="I867" s="24">
        <v>3979.2</v>
      </c>
      <c r="J867" s="22" t="s">
        <v>110</v>
      </c>
      <c r="K867" s="22" t="s">
        <v>151</v>
      </c>
      <c r="L867" t="str">
        <f>VLOOKUP(D867,Products!A:F,3,FALSE())</f>
        <v>Sports</v>
      </c>
      <c r="M867" t="str">
        <f>VLOOKUP(C867,Customers!A:F,5,FALSE())</f>
        <v>SMB</v>
      </c>
      <c r="O867" t="str">
        <f>IFERROR(VLOOKUP(E867,Sales_Reps!$A:$C,3,FALSE()),"")</f>
        <v/>
      </c>
      <c r="P867">
        <f>IFERROR(VLOOKUP(C867,Customers!$A:$C,3,FALSE()),"")</f>
        <v>43</v>
      </c>
      <c r="Q867" t="str">
        <f t="shared" si="13"/>
        <v>Oct-24</v>
      </c>
      <c r="R867">
        <f>IFERROR((VLOOKUP(D867,Products!$A:$E,5,FALSE())-VLOOKUP(D867,Products!$A:$E,4,FALSE()))/VLOOKUP(D867,Products!$A:$E,5,FALSE()),"")</f>
        <v>0.59416666666666662</v>
      </c>
    </row>
    <row r="868" spans="1:18" x14ac:dyDescent="0.3">
      <c r="A868" s="22" t="s">
        <v>2197</v>
      </c>
      <c r="B868" s="23">
        <v>45583</v>
      </c>
      <c r="C868" s="22" t="s">
        <v>361</v>
      </c>
      <c r="D868" s="22" t="s">
        <v>186</v>
      </c>
      <c r="E868" s="22" t="s">
        <v>2198</v>
      </c>
      <c r="F868" s="24">
        <v>5</v>
      </c>
      <c r="G868" s="24">
        <v>1080</v>
      </c>
      <c r="H868" s="24">
        <v>15.7</v>
      </c>
      <c r="I868" s="24">
        <v>4552.2</v>
      </c>
      <c r="J868" s="22" t="s">
        <v>110</v>
      </c>
      <c r="K868" s="22" t="s">
        <v>151</v>
      </c>
      <c r="L868" t="str">
        <f>VLOOKUP(D868,Products!A:F,3,FALSE())</f>
        <v>Home</v>
      </c>
      <c r="M868" t="str">
        <f>VLOOKUP(C868,Customers!A:F,5,FALSE())</f>
        <v>Retail</v>
      </c>
      <c r="O868" t="str">
        <f>IFERROR(VLOOKUP(E868,Sales_Reps!$A:$C,3,FALSE()),"")</f>
        <v/>
      </c>
      <c r="P868">
        <f>IFERROR(VLOOKUP(C868,Customers!$A:$C,3,FALSE()),"")</f>
        <v>29</v>
      </c>
      <c r="Q868" t="str">
        <f t="shared" si="13"/>
        <v>Oct-24</v>
      </c>
      <c r="R868">
        <f>IFERROR((VLOOKUP(D868,Products!$A:$E,5,FALSE())-VLOOKUP(D868,Products!$A:$E,4,FALSE()))/VLOOKUP(D868,Products!$A:$E,5,FALSE()),"")</f>
        <v>0.51944444444444449</v>
      </c>
    </row>
    <row r="869" spans="1:18" x14ac:dyDescent="0.3">
      <c r="A869" s="22" t="s">
        <v>2199</v>
      </c>
      <c r="B869" s="23">
        <v>45528</v>
      </c>
      <c r="C869" s="22" t="s">
        <v>1030</v>
      </c>
      <c r="D869" s="22" t="s">
        <v>162</v>
      </c>
      <c r="E869" s="22" t="s">
        <v>2200</v>
      </c>
      <c r="F869" s="24">
        <v>1</v>
      </c>
      <c r="G869" s="24">
        <v>3250</v>
      </c>
      <c r="H869" s="24">
        <v>14.7</v>
      </c>
      <c r="I869" s="24">
        <v>2772.25</v>
      </c>
      <c r="J869" s="22" t="s">
        <v>104</v>
      </c>
      <c r="K869" s="22" t="s">
        <v>116</v>
      </c>
      <c r="L869" t="str">
        <f>VLOOKUP(D869,Products!A:F,3,FALSE())</f>
        <v>Home</v>
      </c>
      <c r="M869" t="str">
        <f>VLOOKUP(C869,Customers!A:F,5,FALSE())</f>
        <v>Retail</v>
      </c>
      <c r="O869" t="str">
        <f>IFERROR(VLOOKUP(E869,Sales_Reps!$A:$C,3,FALSE()),"")</f>
        <v/>
      </c>
      <c r="P869">
        <f>IFERROR(VLOOKUP(C869,Customers!$A:$C,3,FALSE()),"")</f>
        <v>24</v>
      </c>
      <c r="Q869" t="str">
        <f t="shared" si="13"/>
        <v>Aug-24</v>
      </c>
      <c r="R869">
        <f>IFERROR((VLOOKUP(D869,Products!$A:$E,5,FALSE())-VLOOKUP(D869,Products!$A:$E,4,FALSE()))/VLOOKUP(D869,Products!$A:$E,5,FALSE()),"")</f>
        <v>0.52123076923076928</v>
      </c>
    </row>
    <row r="870" spans="1:18" x14ac:dyDescent="0.3">
      <c r="A870" s="22" t="s">
        <v>2201</v>
      </c>
      <c r="B870" s="23">
        <v>45400</v>
      </c>
      <c r="C870" s="22" t="s">
        <v>534</v>
      </c>
      <c r="D870" s="22" t="s">
        <v>127</v>
      </c>
      <c r="E870" s="22" t="s">
        <v>2202</v>
      </c>
      <c r="F870" s="24">
        <v>7</v>
      </c>
      <c r="G870" s="24">
        <v>370</v>
      </c>
      <c r="H870" s="24">
        <v>6</v>
      </c>
      <c r="I870" s="24">
        <v>2434.6</v>
      </c>
      <c r="J870" s="22" t="s">
        <v>159</v>
      </c>
      <c r="K870" s="22" t="s">
        <v>134</v>
      </c>
      <c r="L870" t="str">
        <f>VLOOKUP(D870,Products!A:F,3,FALSE())</f>
        <v>Home</v>
      </c>
      <c r="M870" t="str">
        <f>VLOOKUP(C870,Customers!A:F,5,FALSE())</f>
        <v>Corporate</v>
      </c>
      <c r="O870" t="str">
        <f>IFERROR(VLOOKUP(E870,Sales_Reps!$A:$C,3,FALSE()),"")</f>
        <v/>
      </c>
      <c r="P870">
        <f>IFERROR(VLOOKUP(C870,Customers!$A:$C,3,FALSE()),"")</f>
        <v>42</v>
      </c>
      <c r="Q870" t="str">
        <f t="shared" si="13"/>
        <v>Apr-24</v>
      </c>
      <c r="R870">
        <f>IFERROR((VLOOKUP(D870,Products!$A:$E,5,FALSE())-VLOOKUP(D870,Products!$A:$E,4,FALSE()))/VLOOKUP(D870,Products!$A:$E,5,FALSE()),"")</f>
        <v>0.22162162162162163</v>
      </c>
    </row>
    <row r="871" spans="1:18" x14ac:dyDescent="0.3">
      <c r="A871" s="22" t="s">
        <v>2203</v>
      </c>
      <c r="B871" s="23">
        <v>45337</v>
      </c>
      <c r="C871" s="22" t="s">
        <v>2204</v>
      </c>
      <c r="D871" s="22" t="s">
        <v>141</v>
      </c>
      <c r="E871" s="22" t="s">
        <v>2205</v>
      </c>
      <c r="F871" s="24">
        <v>7</v>
      </c>
      <c r="G871" s="24">
        <v>5490</v>
      </c>
      <c r="H871" s="24">
        <v>10.199999999999999</v>
      </c>
      <c r="I871" s="24">
        <v>34510.14</v>
      </c>
      <c r="J871" s="22" t="s">
        <v>104</v>
      </c>
      <c r="K871" s="22" t="s">
        <v>105</v>
      </c>
      <c r="L871" t="str">
        <f>VLOOKUP(D871,Products!A:F,3,FALSE())</f>
        <v>Home</v>
      </c>
      <c r="M871" t="e">
        <f>VLOOKUP(C871,Customers!A:F,5,FALSE())</f>
        <v>#N/A</v>
      </c>
      <c r="O871" t="str">
        <f>IFERROR(VLOOKUP(E871,Sales_Reps!$A:$C,3,FALSE()),"")</f>
        <v/>
      </c>
      <c r="P871" t="str">
        <f>IFERROR(VLOOKUP(C871,Customers!$A:$C,3,FALSE()),"")</f>
        <v/>
      </c>
      <c r="Q871" t="str">
        <f t="shared" si="13"/>
        <v>Feb-24</v>
      </c>
      <c r="R871">
        <f>IFERROR((VLOOKUP(D871,Products!$A:$E,5,FALSE())-VLOOKUP(D871,Products!$A:$E,4,FALSE()))/VLOOKUP(D871,Products!$A:$E,5,FALSE()),"")</f>
        <v>0.53570127504553733</v>
      </c>
    </row>
    <row r="872" spans="1:18" x14ac:dyDescent="0.3">
      <c r="A872" s="22" t="s">
        <v>2206</v>
      </c>
      <c r="B872" s="23">
        <v>45482</v>
      </c>
      <c r="C872" s="22" t="s">
        <v>2207</v>
      </c>
      <c r="D872" s="22" t="s">
        <v>521</v>
      </c>
      <c r="E872" s="22" t="s">
        <v>2208</v>
      </c>
      <c r="F872" s="24">
        <v>3</v>
      </c>
      <c r="G872" s="24">
        <v>3970</v>
      </c>
      <c r="H872" s="24">
        <v>2.4</v>
      </c>
      <c r="I872" s="24">
        <v>11624.16</v>
      </c>
      <c r="J872" s="22" t="s">
        <v>104</v>
      </c>
      <c r="K872" s="22" t="s">
        <v>129</v>
      </c>
      <c r="L872" t="str">
        <f>VLOOKUP(D872,Products!A:F,3,FALSE())</f>
        <v>Electronics</v>
      </c>
      <c r="M872" t="str">
        <f>VLOOKUP(C872,Customers!A:F,5,FALSE())</f>
        <v>Retail</v>
      </c>
      <c r="O872" t="str">
        <f>IFERROR(VLOOKUP(E872,Sales_Reps!$A:$C,3,FALSE()),"")</f>
        <v/>
      </c>
      <c r="P872">
        <f>IFERROR(VLOOKUP(C872,Customers!$A:$C,3,FALSE()),"")</f>
        <v>38</v>
      </c>
      <c r="Q872" t="str">
        <f t="shared" si="13"/>
        <v>Jul-24</v>
      </c>
      <c r="R872">
        <f>IFERROR((VLOOKUP(D872,Products!$A:$E,5,FALSE())-VLOOKUP(D872,Products!$A:$E,4,FALSE()))/VLOOKUP(D872,Products!$A:$E,5,FALSE()),"")</f>
        <v>0.27833753148614609</v>
      </c>
    </row>
    <row r="873" spans="1:18" x14ac:dyDescent="0.3">
      <c r="A873" s="22" t="s">
        <v>2209</v>
      </c>
      <c r="B873" s="23">
        <v>45583</v>
      </c>
      <c r="C873" s="22" t="s">
        <v>1114</v>
      </c>
      <c r="D873" s="22" t="s">
        <v>319</v>
      </c>
      <c r="E873" s="22" t="s">
        <v>2210</v>
      </c>
      <c r="F873" s="24">
        <v>4</v>
      </c>
      <c r="G873" s="24">
        <v>1220</v>
      </c>
      <c r="H873" s="24">
        <v>25.3</v>
      </c>
      <c r="I873" s="24">
        <v>3645.36</v>
      </c>
      <c r="J873" s="22" t="s">
        <v>104</v>
      </c>
      <c r="K873" s="22" t="s">
        <v>151</v>
      </c>
      <c r="L873" t="str">
        <f>VLOOKUP(D873,Products!A:F,3,FALSE())</f>
        <v>Electronics</v>
      </c>
      <c r="M873" t="str">
        <f>VLOOKUP(C873,Customers!A:F,5,FALSE())</f>
        <v>Retail</v>
      </c>
      <c r="O873" t="str">
        <f>IFERROR(VLOOKUP(E873,Sales_Reps!$A:$C,3,FALSE()),"")</f>
        <v/>
      </c>
      <c r="P873">
        <f>IFERROR(VLOOKUP(C873,Customers!$A:$C,3,FALSE()),"")</f>
        <v>52</v>
      </c>
      <c r="Q873" t="str">
        <f t="shared" si="13"/>
        <v>Oct-24</v>
      </c>
      <c r="R873">
        <f>IFERROR((VLOOKUP(D873,Products!$A:$E,5,FALSE())-VLOOKUP(D873,Products!$A:$E,4,FALSE()))/VLOOKUP(D873,Products!$A:$E,5,FALSE()),"")</f>
        <v>0.57622950819672136</v>
      </c>
    </row>
    <row r="874" spans="1:18" x14ac:dyDescent="0.3">
      <c r="A874" s="22" t="s">
        <v>2211</v>
      </c>
      <c r="B874" s="23">
        <v>45409</v>
      </c>
      <c r="C874" s="22" t="s">
        <v>1082</v>
      </c>
      <c r="D874" s="22" t="s">
        <v>123</v>
      </c>
      <c r="E874" s="22" t="s">
        <v>2212</v>
      </c>
      <c r="F874" s="24">
        <v>3</v>
      </c>
      <c r="G874" s="24">
        <v>3160</v>
      </c>
      <c r="H874" s="24">
        <v>19.8</v>
      </c>
      <c r="I874" s="24">
        <v>7602.96</v>
      </c>
      <c r="J874" s="22" t="s">
        <v>104</v>
      </c>
      <c r="K874" s="22" t="s">
        <v>151</v>
      </c>
      <c r="L874" t="str">
        <f>VLOOKUP(D874,Products!A:F,3,FALSE())</f>
        <v>Apparel</v>
      </c>
      <c r="M874" t="str">
        <f>VLOOKUP(C874,Customers!A:F,5,FALSE())</f>
        <v>Retail</v>
      </c>
      <c r="O874" t="str">
        <f>IFERROR(VLOOKUP(E874,Sales_Reps!$A:$C,3,FALSE()),"")</f>
        <v/>
      </c>
      <c r="P874">
        <f>IFERROR(VLOOKUP(C874,Customers!$A:$C,3,FALSE()),"")</f>
        <v>64</v>
      </c>
      <c r="Q874" t="str">
        <f t="shared" si="13"/>
        <v>Apr-24</v>
      </c>
      <c r="R874">
        <f>IFERROR((VLOOKUP(D874,Products!$A:$E,5,FALSE())-VLOOKUP(D874,Products!$A:$E,4,FALSE()))/VLOOKUP(D874,Products!$A:$E,5,FALSE()),"")</f>
        <v>0.4031645569620253</v>
      </c>
    </row>
    <row r="875" spans="1:18" x14ac:dyDescent="0.3">
      <c r="A875" s="22" t="s">
        <v>2213</v>
      </c>
      <c r="B875" s="23">
        <v>45430</v>
      </c>
      <c r="C875" s="22" t="s">
        <v>855</v>
      </c>
      <c r="D875" s="22" t="s">
        <v>338</v>
      </c>
      <c r="E875" s="22" t="s">
        <v>2214</v>
      </c>
      <c r="F875" s="24">
        <v>1</v>
      </c>
      <c r="G875" s="24">
        <v>300</v>
      </c>
      <c r="H875" s="24">
        <v>24.5</v>
      </c>
      <c r="I875" s="24">
        <v>226.5</v>
      </c>
      <c r="J875" s="22" t="s">
        <v>104</v>
      </c>
      <c r="K875" s="22" t="s">
        <v>129</v>
      </c>
      <c r="L875" t="str">
        <f>VLOOKUP(D875,Products!A:F,3,FALSE())</f>
        <v>Electronics</v>
      </c>
      <c r="M875" t="str">
        <f>VLOOKUP(C875,Customers!A:F,5,FALSE())</f>
        <v>Retail</v>
      </c>
      <c r="O875" t="str">
        <f>IFERROR(VLOOKUP(E875,Sales_Reps!$A:$C,3,FALSE()),"")</f>
        <v/>
      </c>
      <c r="P875">
        <f>IFERROR(VLOOKUP(C875,Customers!$A:$C,3,FALSE()),"")</f>
        <v>44</v>
      </c>
      <c r="Q875" t="str">
        <f t="shared" si="13"/>
        <v>May-24</v>
      </c>
      <c r="R875">
        <f>IFERROR((VLOOKUP(D875,Products!$A:$E,5,FALSE())-VLOOKUP(D875,Products!$A:$E,4,FALSE()))/VLOOKUP(D875,Products!$A:$E,5,FALSE()),"")</f>
        <v>0.57333333333333336</v>
      </c>
    </row>
    <row r="876" spans="1:18" x14ac:dyDescent="0.3">
      <c r="A876" s="22" t="s">
        <v>2215</v>
      </c>
      <c r="B876" s="23">
        <v>45654</v>
      </c>
      <c r="C876" s="22" t="s">
        <v>2125</v>
      </c>
      <c r="D876" s="22" t="s">
        <v>178</v>
      </c>
      <c r="E876" s="22" t="s">
        <v>2216</v>
      </c>
      <c r="F876" s="24">
        <v>5</v>
      </c>
      <c r="G876" s="24">
        <v>3450</v>
      </c>
      <c r="H876" s="24">
        <v>13.4</v>
      </c>
      <c r="I876" s="24">
        <v>14938.5</v>
      </c>
      <c r="J876" s="22" t="s">
        <v>110</v>
      </c>
      <c r="K876" s="22" t="s">
        <v>111</v>
      </c>
      <c r="L876" t="str">
        <f>VLOOKUP(D876,Products!A:F,3,FALSE())</f>
        <v>Beauty</v>
      </c>
      <c r="M876" t="str">
        <f>VLOOKUP(C876,Customers!A:F,5,FALSE())</f>
        <v>SMB</v>
      </c>
      <c r="O876" t="str">
        <f>IFERROR(VLOOKUP(E876,Sales_Reps!$A:$C,3,FALSE()),"")</f>
        <v/>
      </c>
      <c r="P876">
        <f>IFERROR(VLOOKUP(C876,Customers!$A:$C,3,FALSE()),"")</f>
        <v>51</v>
      </c>
      <c r="Q876" t="str">
        <f t="shared" si="13"/>
        <v>Dec-24</v>
      </c>
      <c r="R876">
        <f>IFERROR((VLOOKUP(D876,Products!$A:$E,5,FALSE())-VLOOKUP(D876,Products!$A:$E,4,FALSE()))/VLOOKUP(D876,Products!$A:$E,5,FALSE()),"")</f>
        <v>0.29855072463768118</v>
      </c>
    </row>
    <row r="877" spans="1:18" x14ac:dyDescent="0.3">
      <c r="A877" s="22" t="s">
        <v>2217</v>
      </c>
      <c r="B877" s="23">
        <v>45397</v>
      </c>
      <c r="C877" s="22" t="s">
        <v>348</v>
      </c>
      <c r="D877" s="22" t="s">
        <v>102</v>
      </c>
      <c r="E877" s="22" t="s">
        <v>2218</v>
      </c>
      <c r="F877" s="24">
        <v>7</v>
      </c>
      <c r="G877" s="24">
        <v>3620</v>
      </c>
      <c r="H877" s="24">
        <v>19.2</v>
      </c>
      <c r="I877" s="24">
        <v>20474.72</v>
      </c>
      <c r="J877" s="22" t="s">
        <v>104</v>
      </c>
      <c r="K877" s="22" t="s">
        <v>111</v>
      </c>
      <c r="L877" t="str">
        <f>VLOOKUP(D877,Products!A:F,3,FALSE())</f>
        <v>Apparel</v>
      </c>
      <c r="M877" t="str">
        <f>VLOOKUP(C877,Customers!A:F,5,FALSE())</f>
        <v>Retail</v>
      </c>
      <c r="O877" t="str">
        <f>IFERROR(VLOOKUP(E877,Sales_Reps!$A:$C,3,FALSE()),"")</f>
        <v/>
      </c>
      <c r="P877">
        <f>IFERROR(VLOOKUP(C877,Customers!$A:$C,3,FALSE()),"")</f>
        <v>38</v>
      </c>
      <c r="Q877" t="str">
        <f t="shared" si="13"/>
        <v>Apr-24</v>
      </c>
      <c r="R877">
        <f>IFERROR((VLOOKUP(D877,Products!$A:$E,5,FALSE())-VLOOKUP(D877,Products!$A:$E,4,FALSE()))/VLOOKUP(D877,Products!$A:$E,5,FALSE()),"")</f>
        <v>0.3069060773480663</v>
      </c>
    </row>
    <row r="878" spans="1:18" x14ac:dyDescent="0.3">
      <c r="A878" s="22" t="s">
        <v>2219</v>
      </c>
      <c r="B878" s="23">
        <v>45505</v>
      </c>
      <c r="C878" s="22" t="s">
        <v>126</v>
      </c>
      <c r="D878" s="22" t="s">
        <v>149</v>
      </c>
      <c r="E878" s="22" t="s">
        <v>2220</v>
      </c>
      <c r="F878" s="24">
        <v>10</v>
      </c>
      <c r="G878" s="24">
        <v>2270</v>
      </c>
      <c r="H878" s="24">
        <v>20.5</v>
      </c>
      <c r="I878" s="24">
        <v>18046.5</v>
      </c>
      <c r="J878" s="22" t="s">
        <v>104</v>
      </c>
      <c r="K878" s="22" t="s">
        <v>129</v>
      </c>
      <c r="L878" t="str">
        <f>VLOOKUP(D878,Products!A:F,3,FALSE())</f>
        <v>Grocery</v>
      </c>
      <c r="M878" t="str">
        <f>VLOOKUP(C878,Customers!A:F,5,FALSE())</f>
        <v>Retail</v>
      </c>
      <c r="O878" t="str">
        <f>IFERROR(VLOOKUP(E878,Sales_Reps!$A:$C,3,FALSE()),"")</f>
        <v/>
      </c>
      <c r="P878">
        <f>IFERROR(VLOOKUP(C878,Customers!$A:$C,3,FALSE()),"")</f>
        <v>36</v>
      </c>
      <c r="Q878" t="str">
        <f t="shared" si="13"/>
        <v>Aug-24</v>
      </c>
      <c r="R878">
        <f>IFERROR((VLOOKUP(D878,Products!$A:$E,5,FALSE())-VLOOKUP(D878,Products!$A:$E,4,FALSE()))/VLOOKUP(D878,Products!$A:$E,5,FALSE()),"")</f>
        <v>0.47004405286343615</v>
      </c>
    </row>
    <row r="879" spans="1:18" x14ac:dyDescent="0.3">
      <c r="A879" s="22" t="s">
        <v>2221</v>
      </c>
      <c r="B879" s="23">
        <v>45386</v>
      </c>
      <c r="C879" s="22" t="s">
        <v>2222</v>
      </c>
      <c r="D879" s="22" t="s">
        <v>197</v>
      </c>
      <c r="E879" s="22" t="s">
        <v>2223</v>
      </c>
      <c r="F879" s="24">
        <v>5</v>
      </c>
      <c r="G879" s="24">
        <v>2720</v>
      </c>
      <c r="H879" s="24">
        <v>29.3</v>
      </c>
      <c r="I879" s="24">
        <v>9615.2000000000007</v>
      </c>
      <c r="J879" s="22" t="s">
        <v>104</v>
      </c>
      <c r="K879" s="22" t="s">
        <v>129</v>
      </c>
      <c r="L879" t="str">
        <f>VLOOKUP(D879,Products!A:F,3,FALSE())</f>
        <v>Apparel</v>
      </c>
      <c r="M879" t="str">
        <f>VLOOKUP(C879,Customers!A:F,5,FALSE())</f>
        <v>Corporate</v>
      </c>
      <c r="O879" t="str">
        <f>IFERROR(VLOOKUP(E879,Sales_Reps!$A:$C,3,FALSE()),"")</f>
        <v/>
      </c>
      <c r="P879">
        <f>IFERROR(VLOOKUP(C879,Customers!$A:$C,3,FALSE()),"")</f>
        <v>42</v>
      </c>
      <c r="Q879" t="str">
        <f t="shared" si="13"/>
        <v>Apr-24</v>
      </c>
      <c r="R879">
        <f>IFERROR((VLOOKUP(D879,Products!$A:$E,5,FALSE())-VLOOKUP(D879,Products!$A:$E,4,FALSE()))/VLOOKUP(D879,Products!$A:$E,5,FALSE()),"")</f>
        <v>0.2786764705882353</v>
      </c>
    </row>
    <row r="880" spans="1:18" x14ac:dyDescent="0.3">
      <c r="A880" s="22" t="s">
        <v>2224</v>
      </c>
      <c r="B880" s="23">
        <v>45499</v>
      </c>
      <c r="C880" s="22" t="s">
        <v>1473</v>
      </c>
      <c r="D880" s="22" t="s">
        <v>275</v>
      </c>
      <c r="E880" s="22" t="s">
        <v>2225</v>
      </c>
      <c r="F880" s="24">
        <v>9</v>
      </c>
      <c r="G880" s="24">
        <v>3780</v>
      </c>
      <c r="H880" s="24">
        <v>2.2999999999999998</v>
      </c>
      <c r="I880" s="24">
        <v>33237.54</v>
      </c>
      <c r="J880" s="22" t="s">
        <v>104</v>
      </c>
      <c r="K880" s="22" t="s">
        <v>111</v>
      </c>
      <c r="L880" t="str">
        <f>VLOOKUP(D880,Products!A:F,3,FALSE())</f>
        <v>Grocery</v>
      </c>
      <c r="M880" t="str">
        <f>VLOOKUP(C880,Customers!A:F,5,FALSE())</f>
        <v>Retail</v>
      </c>
      <c r="O880" t="str">
        <f>IFERROR(VLOOKUP(E880,Sales_Reps!$A:$C,3,FALSE()),"")</f>
        <v/>
      </c>
      <c r="P880">
        <f>IFERROR(VLOOKUP(C880,Customers!$A:$C,3,FALSE()),"")</f>
        <v>31</v>
      </c>
      <c r="Q880" t="str">
        <f t="shared" si="13"/>
        <v>Jul-24</v>
      </c>
      <c r="R880">
        <f>IFERROR((VLOOKUP(D880,Products!$A:$E,5,FALSE())-VLOOKUP(D880,Products!$A:$E,4,FALSE()))/VLOOKUP(D880,Products!$A:$E,5,FALSE()),"")</f>
        <v>0.35555555555555557</v>
      </c>
    </row>
    <row r="881" spans="1:18" x14ac:dyDescent="0.3">
      <c r="A881" s="22" t="s">
        <v>2226</v>
      </c>
      <c r="B881" s="23">
        <v>45636</v>
      </c>
      <c r="C881" s="22" t="s">
        <v>2227</v>
      </c>
      <c r="D881" s="22" t="s">
        <v>436</v>
      </c>
      <c r="E881" s="22" t="s">
        <v>2228</v>
      </c>
      <c r="F881" s="24">
        <v>9</v>
      </c>
      <c r="G881" s="24">
        <v>4060</v>
      </c>
      <c r="H881" s="24">
        <v>11.5</v>
      </c>
      <c r="I881" s="24">
        <v>32337.9</v>
      </c>
      <c r="J881" s="22" t="s">
        <v>104</v>
      </c>
      <c r="K881" s="22" t="s">
        <v>111</v>
      </c>
      <c r="L881" t="str">
        <f>VLOOKUP(D881,Products!A:F,3,FALSE())</f>
        <v>Grocery</v>
      </c>
      <c r="M881" t="str">
        <f>VLOOKUP(C881,Customers!A:F,5,FALSE())</f>
        <v>Retail</v>
      </c>
      <c r="O881" t="str">
        <f>IFERROR(VLOOKUP(E881,Sales_Reps!$A:$C,3,FALSE()),"")</f>
        <v/>
      </c>
      <c r="P881">
        <f>IFERROR(VLOOKUP(C881,Customers!$A:$C,3,FALSE()),"")</f>
        <v>34</v>
      </c>
      <c r="Q881" t="str">
        <f t="shared" si="13"/>
        <v>Dec-24</v>
      </c>
      <c r="R881">
        <f>IFERROR((VLOOKUP(D881,Products!$A:$E,5,FALSE())-VLOOKUP(D881,Products!$A:$E,4,FALSE()))/VLOOKUP(D881,Products!$A:$E,5,FALSE()),"")</f>
        <v>0.28300492610837441</v>
      </c>
    </row>
    <row r="882" spans="1:18" x14ac:dyDescent="0.3">
      <c r="A882" s="22" t="s">
        <v>967</v>
      </c>
      <c r="B882" s="23">
        <v>45517</v>
      </c>
      <c r="C882" s="22" t="s">
        <v>540</v>
      </c>
      <c r="D882" s="22" t="s">
        <v>231</v>
      </c>
      <c r="E882" s="22" t="s">
        <v>2229</v>
      </c>
      <c r="F882" s="24">
        <v>10</v>
      </c>
      <c r="G882" s="24">
        <v>2760</v>
      </c>
      <c r="H882" s="24">
        <v>3.9</v>
      </c>
      <c r="I882" s="24">
        <v>26523.599999999999</v>
      </c>
      <c r="J882" s="22" t="s">
        <v>164</v>
      </c>
      <c r="K882" s="22" t="s">
        <v>116</v>
      </c>
      <c r="L882" t="str">
        <f>VLOOKUP(D882,Products!A:F,3,FALSE())</f>
        <v>Grocery</v>
      </c>
      <c r="M882" t="str">
        <f>VLOOKUP(C882,Customers!A:F,5,FALSE())</f>
        <v>Retail</v>
      </c>
      <c r="O882" t="str">
        <f>IFERROR(VLOOKUP(E882,Sales_Reps!$A:$C,3,FALSE()),"")</f>
        <v/>
      </c>
      <c r="P882">
        <f>IFERROR(VLOOKUP(C882,Customers!$A:$C,3,FALSE()),"")</f>
        <v>44</v>
      </c>
      <c r="Q882" t="str">
        <f t="shared" si="13"/>
        <v>Aug-24</v>
      </c>
      <c r="R882">
        <f>IFERROR((VLOOKUP(D882,Products!$A:$E,5,FALSE())-VLOOKUP(D882,Products!$A:$E,4,FALSE()))/VLOOKUP(D882,Products!$A:$E,5,FALSE()),"")</f>
        <v>0.48007246376811596</v>
      </c>
    </row>
    <row r="883" spans="1:18" x14ac:dyDescent="0.3">
      <c r="A883" s="22" t="s">
        <v>2230</v>
      </c>
      <c r="B883" s="23">
        <v>45593</v>
      </c>
      <c r="C883" s="22" t="s">
        <v>264</v>
      </c>
      <c r="D883" s="22" t="s">
        <v>186</v>
      </c>
      <c r="E883" s="22" t="s">
        <v>2231</v>
      </c>
      <c r="F883" s="24">
        <v>10</v>
      </c>
      <c r="G883" s="24">
        <v>1080</v>
      </c>
      <c r="H883" s="24">
        <v>21.4</v>
      </c>
      <c r="I883" s="24">
        <v>8488.7999999999993</v>
      </c>
      <c r="J883" s="22" t="s">
        <v>104</v>
      </c>
      <c r="K883" s="22" t="s">
        <v>111</v>
      </c>
      <c r="L883" t="str">
        <f>VLOOKUP(D883,Products!A:F,3,FALSE())</f>
        <v>Home</v>
      </c>
      <c r="M883" t="str">
        <f>VLOOKUP(C883,Customers!A:F,5,FALSE())</f>
        <v>Retail</v>
      </c>
      <c r="O883" t="str">
        <f>IFERROR(VLOOKUP(E883,Sales_Reps!$A:$C,3,FALSE()),"")</f>
        <v/>
      </c>
      <c r="P883">
        <f>IFERROR(VLOOKUP(C883,Customers!$A:$C,3,FALSE()),"")</f>
        <v>37</v>
      </c>
      <c r="Q883" t="str">
        <f t="shared" si="13"/>
        <v>Oct-24</v>
      </c>
      <c r="R883">
        <f>IFERROR((VLOOKUP(D883,Products!$A:$E,5,FALSE())-VLOOKUP(D883,Products!$A:$E,4,FALSE()))/VLOOKUP(D883,Products!$A:$E,5,FALSE()),"")</f>
        <v>0.51944444444444449</v>
      </c>
    </row>
    <row r="884" spans="1:18" x14ac:dyDescent="0.3">
      <c r="A884" s="22" t="s">
        <v>2232</v>
      </c>
      <c r="B884" s="23">
        <v>45497</v>
      </c>
      <c r="C884" s="22" t="s">
        <v>2222</v>
      </c>
      <c r="D884" s="22" t="s">
        <v>577</v>
      </c>
      <c r="E884" s="22" t="s">
        <v>2233</v>
      </c>
      <c r="F884" s="24">
        <v>6</v>
      </c>
      <c r="G884" s="24">
        <v>5080</v>
      </c>
      <c r="H884" s="24">
        <v>29.8</v>
      </c>
      <c r="I884" s="24">
        <v>21396.959999999999</v>
      </c>
      <c r="J884" s="22" t="s">
        <v>110</v>
      </c>
      <c r="K884" s="22" t="s">
        <v>129</v>
      </c>
      <c r="L884" t="str">
        <f>VLOOKUP(D884,Products!A:F,3,FALSE())</f>
        <v>Home</v>
      </c>
      <c r="M884" t="str">
        <f>VLOOKUP(C884,Customers!A:F,5,FALSE())</f>
        <v>Corporate</v>
      </c>
      <c r="O884" t="str">
        <f>IFERROR(VLOOKUP(E884,Sales_Reps!$A:$C,3,FALSE()),"")</f>
        <v/>
      </c>
      <c r="P884">
        <f>IFERROR(VLOOKUP(C884,Customers!$A:$C,3,FALSE()),"")</f>
        <v>42</v>
      </c>
      <c r="Q884" t="str">
        <f t="shared" si="13"/>
        <v>Jul-24</v>
      </c>
      <c r="R884">
        <f>IFERROR((VLOOKUP(D884,Products!$A:$E,5,FALSE())-VLOOKUP(D884,Products!$A:$E,4,FALSE()))/VLOOKUP(D884,Products!$A:$E,5,FALSE()),"")</f>
        <v>0.51594488188976373</v>
      </c>
    </row>
    <row r="885" spans="1:18" x14ac:dyDescent="0.3">
      <c r="A885" s="22" t="s">
        <v>2234</v>
      </c>
      <c r="B885" s="23">
        <v>45293</v>
      </c>
      <c r="C885" s="22" t="s">
        <v>144</v>
      </c>
      <c r="D885" s="22" t="s">
        <v>212</v>
      </c>
      <c r="E885" s="22" t="s">
        <v>2235</v>
      </c>
      <c r="F885" s="24">
        <v>1</v>
      </c>
      <c r="G885" s="24">
        <v>4880</v>
      </c>
      <c r="H885" s="24">
        <v>28.2</v>
      </c>
      <c r="I885" s="24">
        <v>3503.84</v>
      </c>
      <c r="J885" s="22" t="s">
        <v>104</v>
      </c>
      <c r="K885" s="22" t="s">
        <v>105</v>
      </c>
      <c r="L885" t="str">
        <f>VLOOKUP(D885,Products!A:F,3,FALSE())</f>
        <v>Beauty</v>
      </c>
      <c r="M885" t="str">
        <f>VLOOKUP(C885,Customers!A:F,5,FALSE())</f>
        <v>Retail</v>
      </c>
      <c r="O885" t="str">
        <f>IFERROR(VLOOKUP(E885,Sales_Reps!$A:$C,3,FALSE()),"")</f>
        <v/>
      </c>
      <c r="P885">
        <f>IFERROR(VLOOKUP(C885,Customers!$A:$C,3,FALSE()),"")</f>
        <v>56</v>
      </c>
      <c r="Q885" t="str">
        <f t="shared" si="13"/>
        <v>Jan-24</v>
      </c>
      <c r="R885">
        <f>IFERROR((VLOOKUP(D885,Products!$A:$E,5,FALSE())-VLOOKUP(D885,Products!$A:$E,4,FALSE()))/VLOOKUP(D885,Products!$A:$E,5,FALSE()),"")</f>
        <v>0.43278688524590164</v>
      </c>
    </row>
    <row r="886" spans="1:18" x14ac:dyDescent="0.3">
      <c r="A886" s="22" t="s">
        <v>2236</v>
      </c>
      <c r="B886" s="23">
        <v>45562</v>
      </c>
      <c r="C886" s="22" t="s">
        <v>246</v>
      </c>
      <c r="D886" s="22" t="s">
        <v>289</v>
      </c>
      <c r="E886" s="22" t="s">
        <v>2237</v>
      </c>
      <c r="F886" s="24">
        <v>1</v>
      </c>
      <c r="G886" s="24">
        <v>2270</v>
      </c>
      <c r="H886" s="24">
        <v>27.8</v>
      </c>
      <c r="I886" s="24">
        <v>1638.94</v>
      </c>
      <c r="J886" s="22" t="s">
        <v>104</v>
      </c>
      <c r="K886" s="22" t="s">
        <v>129</v>
      </c>
      <c r="L886" t="str">
        <f>VLOOKUP(D886,Products!A:F,3,FALSE())</f>
        <v>Grocery</v>
      </c>
      <c r="M886" t="str">
        <f>VLOOKUP(C886,Customers!A:F,5,FALSE())</f>
        <v>SMB</v>
      </c>
      <c r="O886" t="str">
        <f>IFERROR(VLOOKUP(E886,Sales_Reps!$A:$C,3,FALSE()),"")</f>
        <v/>
      </c>
      <c r="P886">
        <f>IFERROR(VLOOKUP(C886,Customers!$A:$C,3,FALSE()),"")</f>
        <v>36</v>
      </c>
      <c r="Q886" t="str">
        <f t="shared" si="13"/>
        <v>Sep-24</v>
      </c>
      <c r="R886">
        <f>IFERROR((VLOOKUP(D886,Products!$A:$E,5,FALSE())-VLOOKUP(D886,Products!$A:$E,4,FALSE()))/VLOOKUP(D886,Products!$A:$E,5,FALSE()),"")</f>
        <v>0.37797356828193834</v>
      </c>
    </row>
    <row r="887" spans="1:18" x14ac:dyDescent="0.3">
      <c r="A887" s="22" t="s">
        <v>2238</v>
      </c>
      <c r="B887" s="23">
        <v>45638</v>
      </c>
      <c r="C887" s="22" t="s">
        <v>706</v>
      </c>
      <c r="D887" s="22" t="s">
        <v>521</v>
      </c>
      <c r="E887" s="22" t="s">
        <v>2239</v>
      </c>
      <c r="F887" s="24">
        <v>9</v>
      </c>
      <c r="G887" s="24">
        <v>3970</v>
      </c>
      <c r="H887" s="24">
        <v>7</v>
      </c>
      <c r="I887" s="24">
        <v>33228.9</v>
      </c>
      <c r="J887" s="22" t="s">
        <v>104</v>
      </c>
      <c r="K887" s="22" t="s">
        <v>116</v>
      </c>
      <c r="L887" t="str">
        <f>VLOOKUP(D887,Products!A:F,3,FALSE())</f>
        <v>Electronics</v>
      </c>
      <c r="M887" t="str">
        <f>VLOOKUP(C887,Customers!A:F,5,FALSE())</f>
        <v>SMB</v>
      </c>
      <c r="O887" t="str">
        <f>IFERROR(VLOOKUP(E887,Sales_Reps!$A:$C,3,FALSE()),"")</f>
        <v/>
      </c>
      <c r="P887">
        <f>IFERROR(VLOOKUP(C887,Customers!$A:$C,3,FALSE()),"")</f>
        <v>55</v>
      </c>
      <c r="Q887" t="str">
        <f t="shared" si="13"/>
        <v>Dec-24</v>
      </c>
      <c r="R887">
        <f>IFERROR((VLOOKUP(D887,Products!$A:$E,5,FALSE())-VLOOKUP(D887,Products!$A:$E,4,FALSE()))/VLOOKUP(D887,Products!$A:$E,5,FALSE()),"")</f>
        <v>0.27833753148614609</v>
      </c>
    </row>
    <row r="888" spans="1:18" x14ac:dyDescent="0.3">
      <c r="A888" s="22" t="s">
        <v>2240</v>
      </c>
      <c r="B888" s="23">
        <v>45408</v>
      </c>
      <c r="C888" s="22" t="s">
        <v>844</v>
      </c>
      <c r="D888" s="22" t="s">
        <v>220</v>
      </c>
      <c r="E888" s="22" t="s">
        <v>2241</v>
      </c>
      <c r="F888" s="24">
        <v>9</v>
      </c>
      <c r="G888" s="24">
        <v>5100</v>
      </c>
      <c r="H888" s="24">
        <v>9.6999999999999993</v>
      </c>
      <c r="I888" s="24">
        <v>41447.699999999997</v>
      </c>
      <c r="J888" s="22" t="s">
        <v>104</v>
      </c>
      <c r="K888" s="22" t="s">
        <v>129</v>
      </c>
      <c r="L888" t="str">
        <f>VLOOKUP(D888,Products!A:F,3,FALSE())</f>
        <v>Beauty</v>
      </c>
      <c r="M888" t="str">
        <f>VLOOKUP(C888,Customers!A:F,5,FALSE())</f>
        <v>Retail</v>
      </c>
      <c r="O888" t="str">
        <f>IFERROR(VLOOKUP(E888,Sales_Reps!$A:$C,3,FALSE()),"")</f>
        <v/>
      </c>
      <c r="P888">
        <f>IFERROR(VLOOKUP(C888,Customers!$A:$C,3,FALSE()),"")</f>
        <v>52</v>
      </c>
      <c r="Q888" t="str">
        <f t="shared" si="13"/>
        <v>Apr-24</v>
      </c>
      <c r="R888">
        <f>IFERROR((VLOOKUP(D888,Products!$A:$E,5,FALSE())-VLOOKUP(D888,Products!$A:$E,4,FALSE()))/VLOOKUP(D888,Products!$A:$E,5,FALSE()),"")</f>
        <v>0.56137254901960787</v>
      </c>
    </row>
    <row r="889" spans="1:18" x14ac:dyDescent="0.3">
      <c r="A889" s="22" t="s">
        <v>2242</v>
      </c>
      <c r="B889" s="23">
        <v>45498</v>
      </c>
      <c r="C889" s="22" t="s">
        <v>745</v>
      </c>
      <c r="D889" s="22" t="s">
        <v>167</v>
      </c>
      <c r="E889" s="22" t="s">
        <v>2243</v>
      </c>
      <c r="F889" s="24">
        <v>8</v>
      </c>
      <c r="G889" s="24">
        <v>190</v>
      </c>
      <c r="H889" s="24">
        <v>10.199999999999999</v>
      </c>
      <c r="I889" s="24">
        <v>1364.96</v>
      </c>
      <c r="J889" s="22" t="s">
        <v>104</v>
      </c>
      <c r="K889" s="22" t="s">
        <v>116</v>
      </c>
      <c r="L889" t="str">
        <f>VLOOKUP(D889,Products!A:F,3,FALSE())</f>
        <v>Sports</v>
      </c>
      <c r="M889" t="str">
        <f>VLOOKUP(C889,Customers!A:F,5,FALSE())</f>
        <v>SMB</v>
      </c>
      <c r="O889" t="str">
        <f>IFERROR(VLOOKUP(E889,Sales_Reps!$A:$C,3,FALSE()),"")</f>
        <v/>
      </c>
      <c r="P889">
        <f>IFERROR(VLOOKUP(C889,Customers!$A:$C,3,FALSE()),"")</f>
        <v>29</v>
      </c>
      <c r="Q889" t="str">
        <f t="shared" si="13"/>
        <v>Jul-24</v>
      </c>
      <c r="R889">
        <f>IFERROR((VLOOKUP(D889,Products!$A:$E,5,FALSE())-VLOOKUP(D889,Products!$A:$E,4,FALSE()))/VLOOKUP(D889,Products!$A:$E,5,FALSE()),"")</f>
        <v>0.22631578947368422</v>
      </c>
    </row>
    <row r="890" spans="1:18" x14ac:dyDescent="0.3">
      <c r="A890" s="22" t="s">
        <v>2244</v>
      </c>
      <c r="B890" s="23">
        <v>45649</v>
      </c>
      <c r="C890" s="22" t="s">
        <v>465</v>
      </c>
      <c r="D890" s="22" t="s">
        <v>283</v>
      </c>
      <c r="E890" s="22" t="s">
        <v>2245</v>
      </c>
      <c r="F890" s="24">
        <v>1</v>
      </c>
      <c r="G890" s="24">
        <v>6080</v>
      </c>
      <c r="H890" s="24">
        <v>5.6</v>
      </c>
      <c r="I890" s="24">
        <v>5739.52</v>
      </c>
      <c r="J890" s="22" t="s">
        <v>104</v>
      </c>
      <c r="K890" s="22" t="s">
        <v>129</v>
      </c>
      <c r="L890" t="str">
        <f>VLOOKUP(D890,Products!A:F,3,FALSE())</f>
        <v>Beauty</v>
      </c>
      <c r="M890" t="str">
        <f>VLOOKUP(C890,Customers!A:F,5,FALSE())</f>
        <v>Retail</v>
      </c>
      <c r="O890" t="str">
        <f>IFERROR(VLOOKUP(E890,Sales_Reps!$A:$C,3,FALSE()),"")</f>
        <v/>
      </c>
      <c r="P890">
        <f>IFERROR(VLOOKUP(C890,Customers!$A:$C,3,FALSE()),"")</f>
        <v>42</v>
      </c>
      <c r="Q890" t="str">
        <f t="shared" si="13"/>
        <v>Dec-24</v>
      </c>
      <c r="R890">
        <f>IFERROR((VLOOKUP(D890,Products!$A:$E,5,FALSE())-VLOOKUP(D890,Products!$A:$E,4,FALSE()))/VLOOKUP(D890,Products!$A:$E,5,FALSE()),"")</f>
        <v>0.56957236842105263</v>
      </c>
    </row>
    <row r="891" spans="1:18" x14ac:dyDescent="0.3">
      <c r="A891" s="22" t="s">
        <v>2246</v>
      </c>
      <c r="B891" s="23">
        <v>45484</v>
      </c>
      <c r="C891" s="22" t="s">
        <v>830</v>
      </c>
      <c r="D891" s="22" t="s">
        <v>132</v>
      </c>
      <c r="E891" s="22" t="s">
        <v>2247</v>
      </c>
      <c r="F891" s="24">
        <v>6</v>
      </c>
      <c r="G891" s="24">
        <v>960</v>
      </c>
      <c r="H891" s="24">
        <v>1.9</v>
      </c>
      <c r="I891" s="24">
        <v>5650.56</v>
      </c>
      <c r="J891" s="22" t="s">
        <v>104</v>
      </c>
      <c r="K891" s="22" t="s">
        <v>129</v>
      </c>
      <c r="L891" t="str">
        <f>VLOOKUP(D891,Products!A:F,3,FALSE())</f>
        <v>Sports</v>
      </c>
      <c r="M891" t="str">
        <f>VLOOKUP(C891,Customers!A:F,5,FALSE())</f>
        <v>Retail</v>
      </c>
      <c r="O891" t="str">
        <f>IFERROR(VLOOKUP(E891,Sales_Reps!$A:$C,3,FALSE()),"")</f>
        <v/>
      </c>
      <c r="P891">
        <f>IFERROR(VLOOKUP(C891,Customers!$A:$C,3,FALSE()),"")</f>
        <v>39</v>
      </c>
      <c r="Q891" t="str">
        <f t="shared" si="13"/>
        <v>Jul-24</v>
      </c>
      <c r="R891">
        <f>IFERROR((VLOOKUP(D891,Products!$A:$E,5,FALSE())-VLOOKUP(D891,Products!$A:$E,4,FALSE()))/VLOOKUP(D891,Products!$A:$E,5,FALSE()),"")</f>
        <v>0.265625</v>
      </c>
    </row>
    <row r="892" spans="1:18" x14ac:dyDescent="0.3">
      <c r="A892" s="22" t="s">
        <v>2248</v>
      </c>
      <c r="B892" s="23">
        <v>45316</v>
      </c>
      <c r="C892" s="22" t="s">
        <v>724</v>
      </c>
      <c r="D892" s="22" t="s">
        <v>308</v>
      </c>
      <c r="E892" s="22" t="s">
        <v>2249</v>
      </c>
      <c r="F892" s="24">
        <v>7</v>
      </c>
      <c r="G892" s="24">
        <v>1540</v>
      </c>
      <c r="H892" s="24">
        <v>7.1</v>
      </c>
      <c r="I892" s="24">
        <v>10014.620000000001</v>
      </c>
      <c r="J892" s="22" t="s">
        <v>104</v>
      </c>
      <c r="K892" s="22" t="s">
        <v>116</v>
      </c>
      <c r="L892" t="str">
        <f>VLOOKUP(D892,Products!A:F,3,FALSE())</f>
        <v>Beauty</v>
      </c>
      <c r="M892" t="str">
        <f>VLOOKUP(C892,Customers!A:F,5,FALSE())</f>
        <v>SMB</v>
      </c>
      <c r="O892" t="str">
        <f>IFERROR(VLOOKUP(E892,Sales_Reps!$A:$C,3,FALSE()),"")</f>
        <v/>
      </c>
      <c r="P892">
        <f>IFERROR(VLOOKUP(C892,Customers!$A:$C,3,FALSE()),"")</f>
        <v>48</v>
      </c>
      <c r="Q892" t="str">
        <f t="shared" si="13"/>
        <v>Jan-24</v>
      </c>
      <c r="R892">
        <f>IFERROR((VLOOKUP(D892,Products!$A:$E,5,FALSE())-VLOOKUP(D892,Products!$A:$E,4,FALSE()))/VLOOKUP(D892,Products!$A:$E,5,FALSE()),"")</f>
        <v>0.57987012987012987</v>
      </c>
    </row>
    <row r="893" spans="1:18" x14ac:dyDescent="0.3">
      <c r="A893" s="22" t="s">
        <v>2250</v>
      </c>
      <c r="B893" s="23">
        <v>45328</v>
      </c>
      <c r="C893" s="22" t="s">
        <v>311</v>
      </c>
      <c r="D893" s="22" t="s">
        <v>338</v>
      </c>
      <c r="E893" s="22" t="s">
        <v>2251</v>
      </c>
      <c r="F893" s="24">
        <v>10</v>
      </c>
      <c r="G893" s="24">
        <v>300</v>
      </c>
      <c r="H893" s="24">
        <v>12.8</v>
      </c>
      <c r="I893" s="24">
        <v>2616</v>
      </c>
      <c r="J893" s="22" t="s">
        <v>159</v>
      </c>
      <c r="K893" s="22" t="s">
        <v>116</v>
      </c>
      <c r="L893" t="str">
        <f>VLOOKUP(D893,Products!A:F,3,FALSE())</f>
        <v>Electronics</v>
      </c>
      <c r="M893" t="str">
        <f>VLOOKUP(C893,Customers!A:F,5,FALSE())</f>
        <v>Retail</v>
      </c>
      <c r="O893" t="str">
        <f>IFERROR(VLOOKUP(E893,Sales_Reps!$A:$C,3,FALSE()),"")</f>
        <v/>
      </c>
      <c r="P893">
        <f>IFERROR(VLOOKUP(C893,Customers!$A:$C,3,FALSE()),"")</f>
        <v>54</v>
      </c>
      <c r="Q893" t="str">
        <f t="shared" si="13"/>
        <v>Feb-24</v>
      </c>
      <c r="R893">
        <f>IFERROR((VLOOKUP(D893,Products!$A:$E,5,FALSE())-VLOOKUP(D893,Products!$A:$E,4,FALSE()))/VLOOKUP(D893,Products!$A:$E,5,FALSE()),"")</f>
        <v>0.57333333333333336</v>
      </c>
    </row>
    <row r="894" spans="1:18" x14ac:dyDescent="0.3">
      <c r="A894" s="22" t="s">
        <v>2252</v>
      </c>
      <c r="B894" s="23">
        <v>45456</v>
      </c>
      <c r="C894" s="22" t="s">
        <v>731</v>
      </c>
      <c r="D894" s="22" t="s">
        <v>212</v>
      </c>
      <c r="E894" s="22" t="s">
        <v>2253</v>
      </c>
      <c r="F894" s="24">
        <v>4</v>
      </c>
      <c r="G894" s="24">
        <v>4880</v>
      </c>
      <c r="H894" s="24">
        <v>26.5</v>
      </c>
      <c r="I894" s="24">
        <v>14347.2</v>
      </c>
      <c r="J894" s="22" t="s">
        <v>104</v>
      </c>
      <c r="K894" s="22" t="s">
        <v>151</v>
      </c>
      <c r="L894" t="str">
        <f>VLOOKUP(D894,Products!A:F,3,FALSE())</f>
        <v>Beauty</v>
      </c>
      <c r="M894" t="str">
        <f>VLOOKUP(C894,Customers!A:F,5,FALSE())</f>
        <v>SMB</v>
      </c>
      <c r="O894" t="str">
        <f>IFERROR(VLOOKUP(E894,Sales_Reps!$A:$C,3,FALSE()),"")</f>
        <v/>
      </c>
      <c r="P894">
        <f>IFERROR(VLOOKUP(C894,Customers!$A:$C,3,FALSE()),"")</f>
        <v>48</v>
      </c>
      <c r="Q894" t="str">
        <f t="shared" si="13"/>
        <v>Jun-24</v>
      </c>
      <c r="R894">
        <f>IFERROR((VLOOKUP(D894,Products!$A:$E,5,FALSE())-VLOOKUP(D894,Products!$A:$E,4,FALSE()))/VLOOKUP(D894,Products!$A:$E,5,FALSE()),"")</f>
        <v>0.43278688524590164</v>
      </c>
    </row>
    <row r="895" spans="1:18" x14ac:dyDescent="0.3">
      <c r="A895" s="22" t="s">
        <v>2254</v>
      </c>
      <c r="B895" s="23">
        <v>45589</v>
      </c>
      <c r="C895" s="22" t="s">
        <v>2036</v>
      </c>
      <c r="D895" s="22" t="s">
        <v>127</v>
      </c>
      <c r="E895" s="22" t="s">
        <v>2255</v>
      </c>
      <c r="F895" s="24">
        <v>2</v>
      </c>
      <c r="G895" s="24">
        <v>370</v>
      </c>
      <c r="H895" s="24">
        <v>26.5</v>
      </c>
      <c r="I895" s="24">
        <v>543.9</v>
      </c>
      <c r="J895" s="22" t="s">
        <v>104</v>
      </c>
      <c r="K895" s="22" t="s">
        <v>134</v>
      </c>
      <c r="L895" t="str">
        <f>VLOOKUP(D895,Products!A:F,3,FALSE())</f>
        <v>Home</v>
      </c>
      <c r="M895" t="str">
        <f>VLOOKUP(C895,Customers!A:F,5,FALSE())</f>
        <v>Retail</v>
      </c>
      <c r="O895" t="str">
        <f>IFERROR(VLOOKUP(E895,Sales_Reps!$A:$C,3,FALSE()),"")</f>
        <v/>
      </c>
      <c r="P895">
        <f>IFERROR(VLOOKUP(C895,Customers!$A:$C,3,FALSE()),"")</f>
        <v>54</v>
      </c>
      <c r="Q895" t="str">
        <f t="shared" si="13"/>
        <v>Oct-24</v>
      </c>
      <c r="R895">
        <f>IFERROR((VLOOKUP(D895,Products!$A:$E,5,FALSE())-VLOOKUP(D895,Products!$A:$E,4,FALSE()))/VLOOKUP(D895,Products!$A:$E,5,FALSE()),"")</f>
        <v>0.22162162162162163</v>
      </c>
    </row>
    <row r="896" spans="1:18" x14ac:dyDescent="0.3">
      <c r="A896" s="22" t="s">
        <v>2256</v>
      </c>
      <c r="B896" s="23">
        <v>45593</v>
      </c>
      <c r="C896" s="22" t="s">
        <v>473</v>
      </c>
      <c r="D896" s="22" t="s">
        <v>323</v>
      </c>
      <c r="E896" s="22" t="s">
        <v>2257</v>
      </c>
      <c r="F896" s="24">
        <v>3</v>
      </c>
      <c r="G896" s="24">
        <v>4610</v>
      </c>
      <c r="H896" s="24">
        <v>29.7</v>
      </c>
      <c r="I896" s="24">
        <v>9722.49</v>
      </c>
      <c r="J896" s="22" t="s">
        <v>104</v>
      </c>
      <c r="K896" s="22" t="s">
        <v>134</v>
      </c>
      <c r="L896" t="str">
        <f>VLOOKUP(D896,Products!A:F,3,FALSE())</f>
        <v>Home</v>
      </c>
      <c r="M896" t="str">
        <f>VLOOKUP(C896,Customers!A:F,5,FALSE())</f>
        <v>SMB</v>
      </c>
      <c r="O896" t="str">
        <f>IFERROR(VLOOKUP(E896,Sales_Reps!$A:$C,3,FALSE()),"")</f>
        <v/>
      </c>
      <c r="P896">
        <f>IFERROR(VLOOKUP(C896,Customers!$A:$C,3,FALSE()),"")</f>
        <v>44</v>
      </c>
      <c r="Q896" t="str">
        <f t="shared" si="13"/>
        <v>Oct-24</v>
      </c>
      <c r="R896">
        <f>IFERROR((VLOOKUP(D896,Products!$A:$E,5,FALSE())-VLOOKUP(D896,Products!$A:$E,4,FALSE()))/VLOOKUP(D896,Products!$A:$E,5,FALSE()),"")</f>
        <v>0.59869848156182215</v>
      </c>
    </row>
    <row r="897" spans="1:18" x14ac:dyDescent="0.3">
      <c r="A897" s="22" t="s">
        <v>2258</v>
      </c>
      <c r="B897" s="23">
        <v>45539</v>
      </c>
      <c r="C897" s="22" t="s">
        <v>960</v>
      </c>
      <c r="D897" s="22" t="s">
        <v>157</v>
      </c>
      <c r="E897" s="22" t="s">
        <v>2259</v>
      </c>
      <c r="F897" s="24">
        <v>5</v>
      </c>
      <c r="G897" s="24">
        <v>2600</v>
      </c>
      <c r="H897" s="24">
        <v>21.4</v>
      </c>
      <c r="I897" s="24">
        <v>10218</v>
      </c>
      <c r="J897" s="22" t="s">
        <v>104</v>
      </c>
      <c r="K897" s="22" t="s">
        <v>129</v>
      </c>
      <c r="L897" t="str">
        <f>VLOOKUP(D897,Products!A:F,3,FALSE())</f>
        <v>Electronics</v>
      </c>
      <c r="M897" t="str">
        <f>VLOOKUP(C897,Customers!A:F,5,FALSE())</f>
        <v>Retail</v>
      </c>
      <c r="O897" t="str">
        <f>IFERROR(VLOOKUP(E897,Sales_Reps!$A:$C,3,FALSE()),"")</f>
        <v/>
      </c>
      <c r="P897">
        <f>IFERROR(VLOOKUP(C897,Customers!$A:$C,3,FALSE()),"")</f>
        <v>35</v>
      </c>
      <c r="Q897" t="str">
        <f t="shared" si="13"/>
        <v>Sep-24</v>
      </c>
      <c r="R897">
        <f>IFERROR((VLOOKUP(D897,Products!$A:$E,5,FALSE())-VLOOKUP(D897,Products!$A:$E,4,FALSE()))/VLOOKUP(D897,Products!$A:$E,5,FALSE()),"")</f>
        <v>0.5953846153846154</v>
      </c>
    </row>
    <row r="898" spans="1:18" x14ac:dyDescent="0.3">
      <c r="A898" s="22" t="s">
        <v>1640</v>
      </c>
      <c r="B898" s="23">
        <v>45436</v>
      </c>
      <c r="C898" s="22" t="s">
        <v>1041</v>
      </c>
      <c r="D898" s="22" t="s">
        <v>319</v>
      </c>
      <c r="E898" s="22" t="s">
        <v>2260</v>
      </c>
      <c r="F898" s="24">
        <v>10</v>
      </c>
      <c r="G898" s="24">
        <v>1220</v>
      </c>
      <c r="H898" s="24">
        <v>24.3</v>
      </c>
      <c r="I898" s="24">
        <v>9235.4</v>
      </c>
      <c r="J898" s="22" t="s">
        <v>104</v>
      </c>
      <c r="K898" s="22" t="s">
        <v>105</v>
      </c>
      <c r="L898" t="str">
        <f>VLOOKUP(D898,Products!A:F,3,FALSE())</f>
        <v>Electronics</v>
      </c>
      <c r="M898" t="str">
        <f>VLOOKUP(C898,Customers!A:F,5,FALSE())</f>
        <v>Retail</v>
      </c>
      <c r="O898" t="str">
        <f>IFERROR(VLOOKUP(E898,Sales_Reps!$A:$C,3,FALSE()),"")</f>
        <v/>
      </c>
      <c r="P898">
        <f>IFERROR(VLOOKUP(C898,Customers!$A:$C,3,FALSE()),"")</f>
        <v>48</v>
      </c>
      <c r="Q898" t="str">
        <f t="shared" ref="Q898:Q961" si="14">TEXT(B898,"mmm-yy")</f>
        <v>May-24</v>
      </c>
      <c r="R898">
        <f>IFERROR((VLOOKUP(D898,Products!$A:$E,5,FALSE())-VLOOKUP(D898,Products!$A:$E,4,FALSE()))/VLOOKUP(D898,Products!$A:$E,5,FALSE()),"")</f>
        <v>0.57622950819672136</v>
      </c>
    </row>
    <row r="899" spans="1:18" x14ac:dyDescent="0.3">
      <c r="A899" s="22" t="s">
        <v>2261</v>
      </c>
      <c r="B899" s="23">
        <v>45646</v>
      </c>
      <c r="C899" s="22" t="s">
        <v>2262</v>
      </c>
      <c r="D899" s="22" t="s">
        <v>137</v>
      </c>
      <c r="E899" s="22" t="s">
        <v>2263</v>
      </c>
      <c r="F899" s="24">
        <v>10</v>
      </c>
      <c r="G899" s="24">
        <v>1430</v>
      </c>
      <c r="H899" s="24">
        <v>5.0999999999999996</v>
      </c>
      <c r="I899" s="24">
        <v>13570.7</v>
      </c>
      <c r="J899" s="22" t="s">
        <v>159</v>
      </c>
      <c r="K899" s="22" t="s">
        <v>111</v>
      </c>
      <c r="L899" t="str">
        <f>VLOOKUP(D899,Products!A:F,3,FALSE())</f>
        <v>Electronics</v>
      </c>
      <c r="M899" t="e">
        <f>VLOOKUP(C899,Customers!A:F,5,FALSE())</f>
        <v>#N/A</v>
      </c>
      <c r="O899" t="str">
        <f>IFERROR(VLOOKUP(E899,Sales_Reps!$A:$C,3,FALSE()),"")</f>
        <v/>
      </c>
      <c r="P899" t="str">
        <f>IFERROR(VLOOKUP(C899,Customers!$A:$C,3,FALSE()),"")</f>
        <v/>
      </c>
      <c r="Q899" t="str">
        <f t="shared" si="14"/>
        <v>Dec-24</v>
      </c>
      <c r="R899">
        <f>IFERROR((VLOOKUP(D899,Products!$A:$E,5,FALSE())-VLOOKUP(D899,Products!$A:$E,4,FALSE()))/VLOOKUP(D899,Products!$A:$E,5,FALSE()),"")</f>
        <v>0.39790209790209791</v>
      </c>
    </row>
    <row r="900" spans="1:18" x14ac:dyDescent="0.3">
      <c r="A900" s="22" t="s">
        <v>2264</v>
      </c>
      <c r="B900" s="23">
        <v>45478</v>
      </c>
      <c r="C900" s="22" t="s">
        <v>364</v>
      </c>
      <c r="D900" s="22" t="s">
        <v>212</v>
      </c>
      <c r="E900" s="22" t="s">
        <v>2265</v>
      </c>
      <c r="F900" s="24">
        <v>10</v>
      </c>
      <c r="G900" s="24">
        <v>4880</v>
      </c>
      <c r="H900" s="24">
        <v>25.5</v>
      </c>
      <c r="I900" s="24">
        <v>36356</v>
      </c>
      <c r="J900" s="22" t="s">
        <v>159</v>
      </c>
      <c r="K900" s="22" t="s">
        <v>111</v>
      </c>
      <c r="L900" t="str">
        <f>VLOOKUP(D900,Products!A:F,3,FALSE())</f>
        <v>Beauty</v>
      </c>
      <c r="M900" t="str">
        <f>VLOOKUP(C900,Customers!A:F,5,FALSE())</f>
        <v>Retail</v>
      </c>
      <c r="O900" t="str">
        <f>IFERROR(VLOOKUP(E900,Sales_Reps!$A:$C,3,FALSE()),"")</f>
        <v/>
      </c>
      <c r="P900">
        <f>IFERROR(VLOOKUP(C900,Customers!$A:$C,3,FALSE()),"")</f>
        <v>41</v>
      </c>
      <c r="Q900" t="str">
        <f t="shared" si="14"/>
        <v>Jul-24</v>
      </c>
      <c r="R900">
        <f>IFERROR((VLOOKUP(D900,Products!$A:$E,5,FALSE())-VLOOKUP(D900,Products!$A:$E,4,FALSE()))/VLOOKUP(D900,Products!$A:$E,5,FALSE()),"")</f>
        <v>0.43278688524590164</v>
      </c>
    </row>
    <row r="901" spans="1:18" x14ac:dyDescent="0.3">
      <c r="A901" s="22" t="s">
        <v>2266</v>
      </c>
      <c r="B901" s="23">
        <v>45518</v>
      </c>
      <c r="C901" s="22" t="s">
        <v>1478</v>
      </c>
      <c r="D901" s="22" t="s">
        <v>283</v>
      </c>
      <c r="E901" s="22" t="s">
        <v>2267</v>
      </c>
      <c r="F901" s="24">
        <v>6</v>
      </c>
      <c r="G901" s="24">
        <v>6080</v>
      </c>
      <c r="H901" s="24">
        <v>21.6</v>
      </c>
      <c r="I901" s="24">
        <v>28600.32</v>
      </c>
      <c r="J901" s="22" t="s">
        <v>104</v>
      </c>
      <c r="K901" s="22" t="s">
        <v>151</v>
      </c>
      <c r="L901" t="str">
        <f>VLOOKUP(D901,Products!A:F,3,FALSE())</f>
        <v>Beauty</v>
      </c>
      <c r="M901" t="str">
        <f>VLOOKUP(C901,Customers!A:F,5,FALSE())</f>
        <v>SMB</v>
      </c>
      <c r="O901" t="str">
        <f>IFERROR(VLOOKUP(E901,Sales_Reps!$A:$C,3,FALSE()),"")</f>
        <v/>
      </c>
      <c r="P901">
        <f>IFERROR(VLOOKUP(C901,Customers!$A:$C,3,FALSE()),"")</f>
        <v>31</v>
      </c>
      <c r="Q901" t="str">
        <f t="shared" si="14"/>
        <v>Aug-24</v>
      </c>
      <c r="R901">
        <f>IFERROR((VLOOKUP(D901,Products!$A:$E,5,FALSE())-VLOOKUP(D901,Products!$A:$E,4,FALSE()))/VLOOKUP(D901,Products!$A:$E,5,FALSE()),"")</f>
        <v>0.56957236842105263</v>
      </c>
    </row>
    <row r="902" spans="1:18" x14ac:dyDescent="0.3">
      <c r="A902" s="22" t="s">
        <v>2268</v>
      </c>
      <c r="B902" s="23">
        <v>45319</v>
      </c>
      <c r="C902" s="22" t="s">
        <v>737</v>
      </c>
      <c r="D902" s="22" t="s">
        <v>330</v>
      </c>
      <c r="E902" s="22" t="s">
        <v>2269</v>
      </c>
      <c r="F902" s="24">
        <v>3</v>
      </c>
      <c r="G902" s="24">
        <v>3020</v>
      </c>
      <c r="H902" s="24">
        <v>20.7</v>
      </c>
      <c r="I902" s="24">
        <v>7184.58</v>
      </c>
      <c r="J902" s="22" t="s">
        <v>104</v>
      </c>
      <c r="K902" s="22" t="s">
        <v>111</v>
      </c>
      <c r="L902" t="str">
        <f>VLOOKUP(D902,Products!A:F,3,FALSE())</f>
        <v>Beauty</v>
      </c>
      <c r="M902" t="str">
        <f>VLOOKUP(C902,Customers!A:F,5,FALSE())</f>
        <v>Corporate</v>
      </c>
      <c r="O902" t="str">
        <f>IFERROR(VLOOKUP(E902,Sales_Reps!$A:$C,3,FALSE()),"")</f>
        <v/>
      </c>
      <c r="P902">
        <f>IFERROR(VLOOKUP(C902,Customers!$A:$C,3,FALSE()),"")</f>
        <v>34</v>
      </c>
      <c r="Q902" t="str">
        <f t="shared" si="14"/>
        <v>Jan-24</v>
      </c>
      <c r="R902">
        <f>IFERROR((VLOOKUP(D902,Products!$A:$E,5,FALSE())-VLOOKUP(D902,Products!$A:$E,4,FALSE()))/VLOOKUP(D902,Products!$A:$E,5,FALSE()),"")</f>
        <v>0.46158940397350995</v>
      </c>
    </row>
    <row r="903" spans="1:18" x14ac:dyDescent="0.3">
      <c r="A903" s="22" t="s">
        <v>2270</v>
      </c>
      <c r="B903" s="23">
        <v>45445</v>
      </c>
      <c r="C903" s="22" t="s">
        <v>408</v>
      </c>
      <c r="D903" s="22" t="s">
        <v>197</v>
      </c>
      <c r="E903" s="22" t="s">
        <v>2271</v>
      </c>
      <c r="F903" s="24">
        <v>9</v>
      </c>
      <c r="G903" s="24">
        <v>2720</v>
      </c>
      <c r="H903" s="24">
        <v>21.4</v>
      </c>
      <c r="I903" s="24">
        <v>19241.28</v>
      </c>
      <c r="J903" s="22" t="s">
        <v>104</v>
      </c>
      <c r="K903" s="22" t="s">
        <v>134</v>
      </c>
      <c r="L903" t="str">
        <f>VLOOKUP(D903,Products!A:F,3,FALSE())</f>
        <v>Apparel</v>
      </c>
      <c r="M903" t="str">
        <f>VLOOKUP(C903,Customers!A:F,5,FALSE())</f>
        <v>Corporate</v>
      </c>
      <c r="O903" t="str">
        <f>IFERROR(VLOOKUP(E903,Sales_Reps!$A:$C,3,FALSE()),"")</f>
        <v/>
      </c>
      <c r="P903">
        <f>IFERROR(VLOOKUP(C903,Customers!$A:$C,3,FALSE()),"")</f>
        <v>59</v>
      </c>
      <c r="Q903" t="str">
        <f t="shared" si="14"/>
        <v>Jun-24</v>
      </c>
      <c r="R903">
        <f>IFERROR((VLOOKUP(D903,Products!$A:$E,5,FALSE())-VLOOKUP(D903,Products!$A:$E,4,FALSE()))/VLOOKUP(D903,Products!$A:$E,5,FALSE()),"")</f>
        <v>0.2786764705882353</v>
      </c>
    </row>
    <row r="904" spans="1:18" x14ac:dyDescent="0.3">
      <c r="A904" s="22" t="s">
        <v>2272</v>
      </c>
      <c r="B904" s="23">
        <v>45417</v>
      </c>
      <c r="C904" s="22" t="s">
        <v>326</v>
      </c>
      <c r="D904" s="22" t="s">
        <v>216</v>
      </c>
      <c r="E904" s="22" t="s">
        <v>2273</v>
      </c>
      <c r="F904" s="24">
        <v>10</v>
      </c>
      <c r="G904" s="24">
        <v>3570</v>
      </c>
      <c r="H904" s="24">
        <v>4.4000000000000004</v>
      </c>
      <c r="I904" s="24">
        <v>34129.199999999997</v>
      </c>
      <c r="J904" s="22" t="s">
        <v>104</v>
      </c>
      <c r="K904" s="22" t="s">
        <v>111</v>
      </c>
      <c r="L904" t="str">
        <f>VLOOKUP(D904,Products!A:F,3,FALSE())</f>
        <v>Electronics</v>
      </c>
      <c r="M904" t="str">
        <f>VLOOKUP(C904,Customers!A:F,5,FALSE())</f>
        <v>SMB</v>
      </c>
      <c r="O904" t="str">
        <f>IFERROR(VLOOKUP(E904,Sales_Reps!$A:$C,3,FALSE()),"")</f>
        <v/>
      </c>
      <c r="P904">
        <f>IFERROR(VLOOKUP(C904,Customers!$A:$C,3,FALSE()),"")</f>
        <v>55</v>
      </c>
      <c r="Q904" t="str">
        <f t="shared" si="14"/>
        <v>May-24</v>
      </c>
      <c r="R904">
        <f>IFERROR((VLOOKUP(D904,Products!$A:$E,5,FALSE())-VLOOKUP(D904,Products!$A:$E,4,FALSE()))/VLOOKUP(D904,Products!$A:$E,5,FALSE()),"")</f>
        <v>0.53361344537815125</v>
      </c>
    </row>
    <row r="905" spans="1:18" x14ac:dyDescent="0.3">
      <c r="A905" s="22" t="s">
        <v>2274</v>
      </c>
      <c r="B905" s="23">
        <v>45309</v>
      </c>
      <c r="C905" s="22" t="s">
        <v>1589</v>
      </c>
      <c r="D905" s="22" t="s">
        <v>186</v>
      </c>
      <c r="E905" s="22" t="s">
        <v>2275</v>
      </c>
      <c r="F905" s="24">
        <v>8</v>
      </c>
      <c r="G905" s="24">
        <v>1080</v>
      </c>
      <c r="H905" s="24">
        <v>23.8</v>
      </c>
      <c r="I905" s="24">
        <v>6583.68</v>
      </c>
      <c r="J905" s="22" t="s">
        <v>104</v>
      </c>
      <c r="K905" s="22" t="s">
        <v>129</v>
      </c>
      <c r="L905" t="str">
        <f>VLOOKUP(D905,Products!A:F,3,FALSE())</f>
        <v>Home</v>
      </c>
      <c r="M905" t="str">
        <f>VLOOKUP(C905,Customers!A:F,5,FALSE())</f>
        <v>SMB</v>
      </c>
      <c r="O905" t="str">
        <f>IFERROR(VLOOKUP(E905,Sales_Reps!$A:$C,3,FALSE()),"")</f>
        <v/>
      </c>
      <c r="P905">
        <f>IFERROR(VLOOKUP(C905,Customers!$A:$C,3,FALSE()),"")</f>
        <v>47</v>
      </c>
      <c r="Q905" t="str">
        <f t="shared" si="14"/>
        <v>Jan-24</v>
      </c>
      <c r="R905">
        <f>IFERROR((VLOOKUP(D905,Products!$A:$E,5,FALSE())-VLOOKUP(D905,Products!$A:$E,4,FALSE()))/VLOOKUP(D905,Products!$A:$E,5,FALSE()),"")</f>
        <v>0.51944444444444449</v>
      </c>
    </row>
    <row r="906" spans="1:18" x14ac:dyDescent="0.3">
      <c r="A906" s="22" t="s">
        <v>2276</v>
      </c>
      <c r="B906" s="23">
        <v>45367</v>
      </c>
      <c r="C906" s="22" t="s">
        <v>1246</v>
      </c>
      <c r="D906" s="22" t="s">
        <v>674</v>
      </c>
      <c r="E906" s="22" t="s">
        <v>2277</v>
      </c>
      <c r="F906" s="24">
        <v>8</v>
      </c>
      <c r="G906" s="24">
        <v>1090</v>
      </c>
      <c r="H906" s="24">
        <v>17.5</v>
      </c>
      <c r="I906" s="24">
        <v>7194</v>
      </c>
      <c r="J906" s="22" t="s">
        <v>104</v>
      </c>
      <c r="K906" s="22" t="s">
        <v>134</v>
      </c>
      <c r="L906" t="str">
        <f>VLOOKUP(D906,Products!A:F,3,FALSE())</f>
        <v>Home</v>
      </c>
      <c r="M906" t="str">
        <f>VLOOKUP(C906,Customers!A:F,5,FALSE())</f>
        <v>Retail</v>
      </c>
      <c r="O906" t="str">
        <f>IFERROR(VLOOKUP(E906,Sales_Reps!$A:$C,3,FALSE()),"")</f>
        <v/>
      </c>
      <c r="P906">
        <f>IFERROR(VLOOKUP(C906,Customers!$A:$C,3,FALSE()),"")</f>
        <v>37</v>
      </c>
      <c r="Q906" t="str">
        <f t="shared" si="14"/>
        <v>Mar-24</v>
      </c>
      <c r="R906">
        <f>IFERROR((VLOOKUP(D906,Products!$A:$E,5,FALSE())-VLOOKUP(D906,Products!$A:$E,4,FALSE()))/VLOOKUP(D906,Products!$A:$E,5,FALSE()),"")</f>
        <v>0.57431192660550456</v>
      </c>
    </row>
    <row r="907" spans="1:18" x14ac:dyDescent="0.3">
      <c r="A907" s="22" t="s">
        <v>2278</v>
      </c>
      <c r="B907" s="23">
        <v>45615</v>
      </c>
      <c r="C907" s="22" t="s">
        <v>2125</v>
      </c>
      <c r="D907" s="22" t="s">
        <v>935</v>
      </c>
      <c r="E907" s="22" t="s">
        <v>2279</v>
      </c>
      <c r="F907" s="24">
        <v>7</v>
      </c>
      <c r="G907" s="24">
        <v>3560</v>
      </c>
      <c r="H907" s="24">
        <v>11.1</v>
      </c>
      <c r="I907" s="24">
        <v>22153.88</v>
      </c>
      <c r="J907" s="22" t="s">
        <v>104</v>
      </c>
      <c r="K907" s="22" t="s">
        <v>111</v>
      </c>
      <c r="L907" t="str">
        <f>VLOOKUP(D907,Products!A:F,3,FALSE())</f>
        <v>Apparel</v>
      </c>
      <c r="M907" t="str">
        <f>VLOOKUP(C907,Customers!A:F,5,FALSE())</f>
        <v>SMB</v>
      </c>
      <c r="O907" t="str">
        <f>IFERROR(VLOOKUP(E907,Sales_Reps!$A:$C,3,FALSE()),"")</f>
        <v/>
      </c>
      <c r="P907">
        <f>IFERROR(VLOOKUP(C907,Customers!$A:$C,3,FALSE()),"")</f>
        <v>51</v>
      </c>
      <c r="Q907" t="str">
        <f t="shared" si="14"/>
        <v>Nov-24</v>
      </c>
      <c r="R907">
        <f>IFERROR((VLOOKUP(D907,Products!$A:$E,5,FALSE())-VLOOKUP(D907,Products!$A:$E,4,FALSE()))/VLOOKUP(D907,Products!$A:$E,5,FALSE()),"")</f>
        <v>0.26151685393258428</v>
      </c>
    </row>
    <row r="908" spans="1:18" x14ac:dyDescent="0.3">
      <c r="A908" s="22" t="s">
        <v>2280</v>
      </c>
      <c r="B908" s="23">
        <v>45499</v>
      </c>
      <c r="C908" s="22" t="s">
        <v>268</v>
      </c>
      <c r="D908" s="22" t="s">
        <v>167</v>
      </c>
      <c r="E908" s="22" t="s">
        <v>2281</v>
      </c>
      <c r="F908" s="24">
        <v>6</v>
      </c>
      <c r="G908" s="24">
        <v>190</v>
      </c>
      <c r="H908" s="24">
        <v>17.100000000000001</v>
      </c>
      <c r="I908" s="24">
        <v>945.06</v>
      </c>
      <c r="J908" s="22" t="s">
        <v>159</v>
      </c>
      <c r="K908" s="22" t="s">
        <v>129</v>
      </c>
      <c r="L908" t="str">
        <f>VLOOKUP(D908,Products!A:F,3,FALSE())</f>
        <v>Sports</v>
      </c>
      <c r="M908" t="str">
        <f>VLOOKUP(C908,Customers!A:F,5,FALSE())</f>
        <v>SMB</v>
      </c>
      <c r="O908" t="str">
        <f>IFERROR(VLOOKUP(E908,Sales_Reps!$A:$C,3,FALSE()),"")</f>
        <v/>
      </c>
      <c r="P908">
        <f>IFERROR(VLOOKUP(C908,Customers!$A:$C,3,FALSE()),"")</f>
        <v>54</v>
      </c>
      <c r="Q908" t="str">
        <f t="shared" si="14"/>
        <v>Jul-24</v>
      </c>
      <c r="R908">
        <f>IFERROR((VLOOKUP(D908,Products!$A:$E,5,FALSE())-VLOOKUP(D908,Products!$A:$E,4,FALSE()))/VLOOKUP(D908,Products!$A:$E,5,FALSE()),"")</f>
        <v>0.22631578947368422</v>
      </c>
    </row>
    <row r="909" spans="1:18" x14ac:dyDescent="0.3">
      <c r="A909" s="22" t="s">
        <v>2282</v>
      </c>
      <c r="B909" s="23">
        <v>45356</v>
      </c>
      <c r="C909" s="22" t="s">
        <v>1035</v>
      </c>
      <c r="D909" s="22" t="s">
        <v>436</v>
      </c>
      <c r="E909" s="22" t="s">
        <v>2283</v>
      </c>
      <c r="F909" s="24">
        <v>7</v>
      </c>
      <c r="G909" s="24">
        <v>4060</v>
      </c>
      <c r="H909" s="24">
        <v>0.6</v>
      </c>
      <c r="I909" s="24">
        <v>28249.48</v>
      </c>
      <c r="J909" s="22" t="s">
        <v>104</v>
      </c>
      <c r="K909" s="22" t="s">
        <v>111</v>
      </c>
      <c r="L909" t="str">
        <f>VLOOKUP(D909,Products!A:F,3,FALSE())</f>
        <v>Grocery</v>
      </c>
      <c r="M909" t="str">
        <f>VLOOKUP(C909,Customers!A:F,5,FALSE())</f>
        <v>Retail</v>
      </c>
      <c r="O909" t="str">
        <f>IFERROR(VLOOKUP(E909,Sales_Reps!$A:$C,3,FALSE()),"")</f>
        <v/>
      </c>
      <c r="P909">
        <f>IFERROR(VLOOKUP(C909,Customers!$A:$C,3,FALSE()),"")</f>
        <v>24</v>
      </c>
      <c r="Q909" t="str">
        <f t="shared" si="14"/>
        <v>Mar-24</v>
      </c>
      <c r="R909">
        <f>IFERROR((VLOOKUP(D909,Products!$A:$E,5,FALSE())-VLOOKUP(D909,Products!$A:$E,4,FALSE()))/VLOOKUP(D909,Products!$A:$E,5,FALSE()),"")</f>
        <v>0.28300492610837441</v>
      </c>
    </row>
    <row r="910" spans="1:18" x14ac:dyDescent="0.3">
      <c r="A910" s="22" t="s">
        <v>2284</v>
      </c>
      <c r="B910" s="23">
        <v>45346</v>
      </c>
      <c r="C910" s="22" t="s">
        <v>847</v>
      </c>
      <c r="D910" s="22" t="s">
        <v>323</v>
      </c>
      <c r="E910" s="22" t="s">
        <v>2285</v>
      </c>
      <c r="F910" s="24">
        <v>4</v>
      </c>
      <c r="G910" s="24">
        <v>4610</v>
      </c>
      <c r="H910" s="24">
        <v>1.9</v>
      </c>
      <c r="I910" s="24">
        <v>18089.64</v>
      </c>
      <c r="J910" s="22" t="s">
        <v>110</v>
      </c>
      <c r="K910" s="22" t="s">
        <v>105</v>
      </c>
      <c r="L910" t="str">
        <f>VLOOKUP(D910,Products!A:F,3,FALSE())</f>
        <v>Home</v>
      </c>
      <c r="M910" t="str">
        <f>VLOOKUP(C910,Customers!A:F,5,FALSE())</f>
        <v>Corporate</v>
      </c>
      <c r="O910" t="str">
        <f>IFERROR(VLOOKUP(E910,Sales_Reps!$A:$C,3,FALSE()),"")</f>
        <v/>
      </c>
      <c r="P910">
        <f>IFERROR(VLOOKUP(C910,Customers!$A:$C,3,FALSE()),"")</f>
        <v>40</v>
      </c>
      <c r="Q910" t="str">
        <f t="shared" si="14"/>
        <v>Feb-24</v>
      </c>
      <c r="R910">
        <f>IFERROR((VLOOKUP(D910,Products!$A:$E,5,FALSE())-VLOOKUP(D910,Products!$A:$E,4,FALSE()))/VLOOKUP(D910,Products!$A:$E,5,FALSE()),"")</f>
        <v>0.59869848156182215</v>
      </c>
    </row>
    <row r="911" spans="1:18" x14ac:dyDescent="0.3">
      <c r="A911" s="22" t="s">
        <v>2286</v>
      </c>
      <c r="B911" s="23">
        <v>45640</v>
      </c>
      <c r="C911" s="22" t="s">
        <v>868</v>
      </c>
      <c r="D911" s="22" t="s">
        <v>315</v>
      </c>
      <c r="E911" s="22" t="s">
        <v>2287</v>
      </c>
      <c r="F911" s="24">
        <v>4</v>
      </c>
      <c r="G911" s="24">
        <v>4070</v>
      </c>
      <c r="H911" s="24">
        <v>26.8</v>
      </c>
      <c r="I911" s="24">
        <v>11916.96</v>
      </c>
      <c r="J911" s="22" t="s">
        <v>104</v>
      </c>
      <c r="K911" s="22" t="s">
        <v>111</v>
      </c>
      <c r="L911" t="str">
        <f>VLOOKUP(D911,Products!A:F,3,FALSE())</f>
        <v>Grocery</v>
      </c>
      <c r="M911" t="str">
        <f>VLOOKUP(C911,Customers!A:F,5,FALSE())</f>
        <v>Corporate</v>
      </c>
      <c r="O911" t="str">
        <f>IFERROR(VLOOKUP(E911,Sales_Reps!$A:$C,3,FALSE()),"")</f>
        <v/>
      </c>
      <c r="P911">
        <f>IFERROR(VLOOKUP(C911,Customers!$A:$C,3,FALSE()),"")</f>
        <v>22</v>
      </c>
      <c r="Q911" t="str">
        <f t="shared" si="14"/>
        <v>Dec-24</v>
      </c>
      <c r="R911">
        <f>IFERROR((VLOOKUP(D911,Products!$A:$E,5,FALSE())-VLOOKUP(D911,Products!$A:$E,4,FALSE()))/VLOOKUP(D911,Products!$A:$E,5,FALSE()),"")</f>
        <v>0.50196560196560192</v>
      </c>
    </row>
    <row r="912" spans="1:18" x14ac:dyDescent="0.3">
      <c r="A912" s="22" t="s">
        <v>2288</v>
      </c>
      <c r="B912" s="23">
        <v>45633</v>
      </c>
      <c r="C912" s="22" t="s">
        <v>304</v>
      </c>
      <c r="D912" s="22" t="s">
        <v>102</v>
      </c>
      <c r="E912" s="22" t="s">
        <v>2289</v>
      </c>
      <c r="F912" s="24">
        <v>4</v>
      </c>
      <c r="G912" s="24">
        <v>3620</v>
      </c>
      <c r="H912" s="24">
        <v>11.7</v>
      </c>
      <c r="I912" s="24">
        <v>12785.84</v>
      </c>
      <c r="J912" s="22" t="s">
        <v>104</v>
      </c>
      <c r="K912" s="22" t="s">
        <v>151</v>
      </c>
      <c r="L912" t="str">
        <f>VLOOKUP(D912,Products!A:F,3,FALSE())</f>
        <v>Apparel</v>
      </c>
      <c r="M912" t="str">
        <f>VLOOKUP(C912,Customers!A:F,5,FALSE())</f>
        <v>Retail</v>
      </c>
      <c r="O912" t="str">
        <f>IFERROR(VLOOKUP(E912,Sales_Reps!$A:$C,3,FALSE()),"")</f>
        <v/>
      </c>
      <c r="P912">
        <f>IFERROR(VLOOKUP(C912,Customers!$A:$C,3,FALSE()),"")</f>
        <v>27</v>
      </c>
      <c r="Q912" t="str">
        <f t="shared" si="14"/>
        <v>Dec-24</v>
      </c>
      <c r="R912">
        <f>IFERROR((VLOOKUP(D912,Products!$A:$E,5,FALSE())-VLOOKUP(D912,Products!$A:$E,4,FALSE()))/VLOOKUP(D912,Products!$A:$E,5,FALSE()),"")</f>
        <v>0.3069060773480663</v>
      </c>
    </row>
    <row r="913" spans="1:18" x14ac:dyDescent="0.3">
      <c r="A913" s="22" t="s">
        <v>2290</v>
      </c>
      <c r="B913" s="23">
        <v>45430</v>
      </c>
      <c r="C913" s="22" t="s">
        <v>389</v>
      </c>
      <c r="D913" s="22" t="s">
        <v>521</v>
      </c>
      <c r="E913" s="22" t="s">
        <v>2291</v>
      </c>
      <c r="F913" s="24">
        <v>3</v>
      </c>
      <c r="G913" s="24">
        <v>3970</v>
      </c>
      <c r="H913" s="24">
        <v>24.7</v>
      </c>
      <c r="I913" s="24">
        <v>8968.23</v>
      </c>
      <c r="J913" s="22" t="s">
        <v>104</v>
      </c>
      <c r="K913" s="22" t="s">
        <v>111</v>
      </c>
      <c r="L913" t="str">
        <f>VLOOKUP(D913,Products!A:F,3,FALSE())</f>
        <v>Electronics</v>
      </c>
      <c r="M913" t="str">
        <f>VLOOKUP(C913,Customers!A:F,5,FALSE())</f>
        <v>SMB</v>
      </c>
      <c r="O913" t="str">
        <f>IFERROR(VLOOKUP(E913,Sales_Reps!$A:$C,3,FALSE()),"")</f>
        <v/>
      </c>
      <c r="P913">
        <f>IFERROR(VLOOKUP(C913,Customers!$A:$C,3,FALSE()),"")</f>
        <v>57</v>
      </c>
      <c r="Q913" t="str">
        <f t="shared" si="14"/>
        <v>May-24</v>
      </c>
      <c r="R913">
        <f>IFERROR((VLOOKUP(D913,Products!$A:$E,5,FALSE())-VLOOKUP(D913,Products!$A:$E,4,FALSE()))/VLOOKUP(D913,Products!$A:$E,5,FALSE()),"")</f>
        <v>0.27833753148614609</v>
      </c>
    </row>
    <row r="914" spans="1:18" x14ac:dyDescent="0.3">
      <c r="A914" s="22" t="s">
        <v>2292</v>
      </c>
      <c r="B914" s="23">
        <v>45355</v>
      </c>
      <c r="C914" s="22" t="s">
        <v>534</v>
      </c>
      <c r="D914" s="22" t="s">
        <v>145</v>
      </c>
      <c r="E914" s="22" t="s">
        <v>2293</v>
      </c>
      <c r="F914" s="24">
        <v>4</v>
      </c>
      <c r="G914" s="24">
        <v>970</v>
      </c>
      <c r="H914" s="24">
        <v>0.4</v>
      </c>
      <c r="I914" s="24">
        <v>3864.48</v>
      </c>
      <c r="J914" s="22" t="s">
        <v>104</v>
      </c>
      <c r="K914" s="22" t="s">
        <v>134</v>
      </c>
      <c r="L914" t="str">
        <f>VLOOKUP(D914,Products!A:F,3,FALSE())</f>
        <v>Grocery</v>
      </c>
      <c r="M914" t="str">
        <f>VLOOKUP(C914,Customers!A:F,5,FALSE())</f>
        <v>Corporate</v>
      </c>
      <c r="O914" t="str">
        <f>IFERROR(VLOOKUP(E914,Sales_Reps!$A:$C,3,FALSE()),"")</f>
        <v/>
      </c>
      <c r="P914">
        <f>IFERROR(VLOOKUP(C914,Customers!$A:$C,3,FALSE()),"")</f>
        <v>42</v>
      </c>
      <c r="Q914" t="str">
        <f t="shared" si="14"/>
        <v>Mar-24</v>
      </c>
      <c r="R914">
        <f>IFERROR((VLOOKUP(D914,Products!$A:$E,5,FALSE())-VLOOKUP(D914,Products!$A:$E,4,FALSE()))/VLOOKUP(D914,Products!$A:$E,5,FALSE()),"")</f>
        <v>0.5525773195876289</v>
      </c>
    </row>
    <row r="915" spans="1:18" x14ac:dyDescent="0.3">
      <c r="A915" s="22" t="s">
        <v>2294</v>
      </c>
      <c r="B915" s="23">
        <v>45379</v>
      </c>
      <c r="C915" s="22" t="s">
        <v>361</v>
      </c>
      <c r="D915" s="22" t="s">
        <v>132</v>
      </c>
      <c r="E915" s="22" t="s">
        <v>2295</v>
      </c>
      <c r="F915" s="24">
        <v>2</v>
      </c>
      <c r="G915" s="24">
        <v>960</v>
      </c>
      <c r="H915" s="24">
        <v>1.4</v>
      </c>
      <c r="I915" s="24">
        <v>1893.12</v>
      </c>
      <c r="J915" s="22" t="s">
        <v>104</v>
      </c>
      <c r="K915" s="22" t="s">
        <v>151</v>
      </c>
      <c r="L915" t="str">
        <f>VLOOKUP(D915,Products!A:F,3,FALSE())</f>
        <v>Sports</v>
      </c>
      <c r="M915" t="str">
        <f>VLOOKUP(C915,Customers!A:F,5,FALSE())</f>
        <v>Retail</v>
      </c>
      <c r="O915" t="str">
        <f>IFERROR(VLOOKUP(E915,Sales_Reps!$A:$C,3,FALSE()),"")</f>
        <v/>
      </c>
      <c r="P915">
        <f>IFERROR(VLOOKUP(C915,Customers!$A:$C,3,FALSE()),"")</f>
        <v>29</v>
      </c>
      <c r="Q915" t="str">
        <f t="shared" si="14"/>
        <v>Mar-24</v>
      </c>
      <c r="R915">
        <f>IFERROR((VLOOKUP(D915,Products!$A:$E,5,FALSE())-VLOOKUP(D915,Products!$A:$E,4,FALSE()))/VLOOKUP(D915,Products!$A:$E,5,FALSE()),"")</f>
        <v>0.265625</v>
      </c>
    </row>
    <row r="916" spans="1:18" x14ac:dyDescent="0.3">
      <c r="A916" s="22" t="s">
        <v>2296</v>
      </c>
      <c r="B916" s="23">
        <v>45375</v>
      </c>
      <c r="C916" s="22" t="s">
        <v>181</v>
      </c>
      <c r="D916" s="22" t="s">
        <v>338</v>
      </c>
      <c r="E916" s="22" t="s">
        <v>2297</v>
      </c>
      <c r="F916" s="24">
        <v>7</v>
      </c>
      <c r="G916" s="24">
        <v>300</v>
      </c>
      <c r="H916" s="24">
        <v>20.399999999999999</v>
      </c>
      <c r="I916" s="24">
        <v>1671.6</v>
      </c>
      <c r="J916" s="22" t="s">
        <v>104</v>
      </c>
      <c r="K916" s="22" t="s">
        <v>129</v>
      </c>
      <c r="L916" t="str">
        <f>VLOOKUP(D916,Products!A:F,3,FALSE())</f>
        <v>Electronics</v>
      </c>
      <c r="M916" t="str">
        <f>VLOOKUP(C916,Customers!A:F,5,FALSE())</f>
        <v>Retail</v>
      </c>
      <c r="O916" t="str">
        <f>IFERROR(VLOOKUP(E916,Sales_Reps!$A:$C,3,FALSE()),"")</f>
        <v/>
      </c>
      <c r="P916">
        <f>IFERROR(VLOOKUP(C916,Customers!$A:$C,3,FALSE()),"")</f>
        <v>54</v>
      </c>
      <c r="Q916" t="str">
        <f t="shared" si="14"/>
        <v>Mar-24</v>
      </c>
      <c r="R916">
        <f>IFERROR((VLOOKUP(D916,Products!$A:$E,5,FALSE())-VLOOKUP(D916,Products!$A:$E,4,FALSE()))/VLOOKUP(D916,Products!$A:$E,5,FALSE()),"")</f>
        <v>0.57333333333333336</v>
      </c>
    </row>
    <row r="917" spans="1:18" x14ac:dyDescent="0.3">
      <c r="A917" s="22" t="s">
        <v>2298</v>
      </c>
      <c r="B917" s="23">
        <v>45397</v>
      </c>
      <c r="C917" s="22" t="s">
        <v>380</v>
      </c>
      <c r="D917" s="22" t="s">
        <v>157</v>
      </c>
      <c r="E917" s="22" t="s">
        <v>2299</v>
      </c>
      <c r="F917" s="24">
        <v>8</v>
      </c>
      <c r="G917" s="24">
        <v>2600</v>
      </c>
      <c r="H917" s="24">
        <v>2.2000000000000002</v>
      </c>
      <c r="I917" s="24">
        <v>20342.400000000001</v>
      </c>
      <c r="J917" s="22" t="s">
        <v>159</v>
      </c>
      <c r="K917" s="22" t="s">
        <v>151</v>
      </c>
      <c r="L917" t="str">
        <f>VLOOKUP(D917,Products!A:F,3,FALSE())</f>
        <v>Electronics</v>
      </c>
      <c r="M917" t="str">
        <f>VLOOKUP(C917,Customers!A:F,5,FALSE())</f>
        <v>Retail</v>
      </c>
      <c r="O917" t="str">
        <f>IFERROR(VLOOKUP(E917,Sales_Reps!$A:$C,3,FALSE()),"")</f>
        <v/>
      </c>
      <c r="P917">
        <f>IFERROR(VLOOKUP(C917,Customers!$A:$C,3,FALSE()),"")</f>
        <v>46</v>
      </c>
      <c r="Q917" t="str">
        <f t="shared" si="14"/>
        <v>Apr-24</v>
      </c>
      <c r="R917">
        <f>IFERROR((VLOOKUP(D917,Products!$A:$E,5,FALSE())-VLOOKUP(D917,Products!$A:$E,4,FALSE()))/VLOOKUP(D917,Products!$A:$E,5,FALSE()),"")</f>
        <v>0.5953846153846154</v>
      </c>
    </row>
    <row r="918" spans="1:18" x14ac:dyDescent="0.3">
      <c r="A918" s="22" t="s">
        <v>2300</v>
      </c>
      <c r="B918" s="23">
        <v>45571</v>
      </c>
      <c r="C918" s="22" t="s">
        <v>645</v>
      </c>
      <c r="D918" s="22" t="s">
        <v>127</v>
      </c>
      <c r="E918" s="22" t="s">
        <v>2301</v>
      </c>
      <c r="F918" s="24">
        <v>2</v>
      </c>
      <c r="G918" s="24">
        <v>370</v>
      </c>
      <c r="H918" s="24">
        <v>17.7</v>
      </c>
      <c r="I918" s="24">
        <v>609.02</v>
      </c>
      <c r="J918" s="22" t="s">
        <v>104</v>
      </c>
      <c r="K918" s="22" t="s">
        <v>105</v>
      </c>
      <c r="L918" t="str">
        <f>VLOOKUP(D918,Products!A:F,3,FALSE())</f>
        <v>Home</v>
      </c>
      <c r="M918" t="str">
        <f>VLOOKUP(C918,Customers!A:F,5,FALSE())</f>
        <v>Retail</v>
      </c>
      <c r="O918" t="str">
        <f>IFERROR(VLOOKUP(E918,Sales_Reps!$A:$C,3,FALSE()),"")</f>
        <v/>
      </c>
      <c r="P918">
        <f>IFERROR(VLOOKUP(C918,Customers!$A:$C,3,FALSE()),"")</f>
        <v>49</v>
      </c>
      <c r="Q918" t="str">
        <f t="shared" si="14"/>
        <v>Oct-24</v>
      </c>
      <c r="R918">
        <f>IFERROR((VLOOKUP(D918,Products!$A:$E,5,FALSE())-VLOOKUP(D918,Products!$A:$E,4,FALSE()))/VLOOKUP(D918,Products!$A:$E,5,FALSE()),"")</f>
        <v>0.22162162162162163</v>
      </c>
    </row>
    <row r="919" spans="1:18" x14ac:dyDescent="0.3">
      <c r="A919" s="22" t="s">
        <v>2302</v>
      </c>
      <c r="B919" s="23">
        <v>45455</v>
      </c>
      <c r="C919" s="22" t="s">
        <v>204</v>
      </c>
      <c r="D919" s="22" t="s">
        <v>178</v>
      </c>
      <c r="E919" s="22" t="s">
        <v>2303</v>
      </c>
      <c r="F919" s="24">
        <v>4</v>
      </c>
      <c r="G919" s="24">
        <v>3450</v>
      </c>
      <c r="H919" s="24">
        <v>9.8000000000000007</v>
      </c>
      <c r="I919" s="24">
        <v>12447.6</v>
      </c>
      <c r="J919" s="22" t="s">
        <v>159</v>
      </c>
      <c r="K919" s="22" t="s">
        <v>111</v>
      </c>
      <c r="L919" t="str">
        <f>VLOOKUP(D919,Products!A:F,3,FALSE())</f>
        <v>Beauty</v>
      </c>
      <c r="M919" t="str">
        <f>VLOOKUP(C919,Customers!A:F,5,FALSE())</f>
        <v>Corporate</v>
      </c>
      <c r="O919" t="str">
        <f>IFERROR(VLOOKUP(E919,Sales_Reps!$A:$C,3,FALSE()),"")</f>
        <v/>
      </c>
      <c r="P919">
        <f>IFERROR(VLOOKUP(C919,Customers!$A:$C,3,FALSE()),"")</f>
        <v>55</v>
      </c>
      <c r="Q919" t="str">
        <f t="shared" si="14"/>
        <v>Jun-24</v>
      </c>
      <c r="R919">
        <f>IFERROR((VLOOKUP(D919,Products!$A:$E,5,FALSE())-VLOOKUP(D919,Products!$A:$E,4,FALSE()))/VLOOKUP(D919,Products!$A:$E,5,FALSE()),"")</f>
        <v>0.29855072463768118</v>
      </c>
    </row>
    <row r="920" spans="1:18" x14ac:dyDescent="0.3">
      <c r="A920" s="22" t="s">
        <v>2304</v>
      </c>
      <c r="B920" s="23">
        <v>45486</v>
      </c>
      <c r="C920" s="22" t="s">
        <v>1147</v>
      </c>
      <c r="D920" s="22" t="s">
        <v>190</v>
      </c>
      <c r="E920" s="22" t="s">
        <v>2305</v>
      </c>
      <c r="F920" s="24">
        <v>1</v>
      </c>
      <c r="G920" s="24">
        <v>2480</v>
      </c>
      <c r="H920" s="24">
        <v>5.8</v>
      </c>
      <c r="I920" s="24">
        <v>2336.16</v>
      </c>
      <c r="J920" s="22" t="s">
        <v>104</v>
      </c>
      <c r="K920" s="22" t="s">
        <v>116</v>
      </c>
      <c r="L920" t="str">
        <f>VLOOKUP(D920,Products!A:F,3,FALSE())</f>
        <v>Apparel</v>
      </c>
      <c r="M920" t="str">
        <f>VLOOKUP(C920,Customers!A:F,5,FALSE())</f>
        <v>SMB</v>
      </c>
      <c r="O920" t="str">
        <f>IFERROR(VLOOKUP(E920,Sales_Reps!$A:$C,3,FALSE()),"")</f>
        <v/>
      </c>
      <c r="P920">
        <f>IFERROR(VLOOKUP(C920,Customers!$A:$C,3,FALSE()),"")</f>
        <v>29</v>
      </c>
      <c r="Q920" t="str">
        <f t="shared" si="14"/>
        <v>Jul-24</v>
      </c>
      <c r="R920">
        <f>IFERROR((VLOOKUP(D920,Products!$A:$E,5,FALSE())-VLOOKUP(D920,Products!$A:$E,4,FALSE()))/VLOOKUP(D920,Products!$A:$E,5,FALSE()),"")</f>
        <v>0.52701612903225803</v>
      </c>
    </row>
    <row r="921" spans="1:18" x14ac:dyDescent="0.3">
      <c r="A921" s="22" t="s">
        <v>2306</v>
      </c>
      <c r="B921" s="23">
        <v>45329</v>
      </c>
      <c r="C921" s="22" t="s">
        <v>754</v>
      </c>
      <c r="D921" s="22" t="s">
        <v>119</v>
      </c>
      <c r="E921" s="22" t="s">
        <v>2307</v>
      </c>
      <c r="F921" s="24">
        <v>5</v>
      </c>
      <c r="G921" s="24">
        <v>3660</v>
      </c>
      <c r="H921" s="24">
        <v>4.7</v>
      </c>
      <c r="I921" s="24">
        <v>17439.900000000001</v>
      </c>
      <c r="J921" s="22" t="s">
        <v>110</v>
      </c>
      <c r="K921" s="22" t="s">
        <v>129</v>
      </c>
      <c r="L921" t="str">
        <f>VLOOKUP(D921,Products!A:F,3,FALSE())</f>
        <v>Grocery</v>
      </c>
      <c r="M921" t="str">
        <f>VLOOKUP(C921,Customers!A:F,5,FALSE())</f>
        <v>Corporate</v>
      </c>
      <c r="O921" t="str">
        <f>IFERROR(VLOOKUP(E921,Sales_Reps!$A:$C,3,FALSE()),"")</f>
        <v/>
      </c>
      <c r="P921">
        <f>IFERROR(VLOOKUP(C921,Customers!$A:$C,3,FALSE()),"")</f>
        <v>60</v>
      </c>
      <c r="Q921" t="str">
        <f t="shared" si="14"/>
        <v>Feb-24</v>
      </c>
      <c r="R921">
        <f>IFERROR((VLOOKUP(D921,Products!$A:$E,5,FALSE())-VLOOKUP(D921,Products!$A:$E,4,FALSE()))/VLOOKUP(D921,Products!$A:$E,5,FALSE()),"")</f>
        <v>0.39508196721311473</v>
      </c>
    </row>
    <row r="922" spans="1:18" x14ac:dyDescent="0.3">
      <c r="A922" s="22" t="s">
        <v>2308</v>
      </c>
      <c r="B922" s="23">
        <v>45315</v>
      </c>
      <c r="C922" s="22" t="s">
        <v>425</v>
      </c>
      <c r="D922" s="22" t="s">
        <v>201</v>
      </c>
      <c r="E922" s="22" t="s">
        <v>2309</v>
      </c>
      <c r="F922" s="24">
        <v>7</v>
      </c>
      <c r="G922" s="24">
        <v>1650</v>
      </c>
      <c r="H922" s="24">
        <v>8.6</v>
      </c>
      <c r="I922" s="24">
        <v>10556.7</v>
      </c>
      <c r="J922" s="22" t="s">
        <v>104</v>
      </c>
      <c r="K922" s="22" t="s">
        <v>111</v>
      </c>
      <c r="L922" t="str">
        <f>VLOOKUP(D922,Products!A:F,3,FALSE())</f>
        <v>Beauty</v>
      </c>
      <c r="M922" t="str">
        <f>VLOOKUP(C922,Customers!A:F,5,FALSE())</f>
        <v>Retail</v>
      </c>
      <c r="O922" t="str">
        <f>IFERROR(VLOOKUP(E922,Sales_Reps!$A:$C,3,FALSE()),"")</f>
        <v/>
      </c>
      <c r="P922">
        <f>IFERROR(VLOOKUP(C922,Customers!$A:$C,3,FALSE()),"")</f>
        <v>26</v>
      </c>
      <c r="Q922" t="str">
        <f t="shared" si="14"/>
        <v>Jan-24</v>
      </c>
      <c r="R922">
        <f>IFERROR((VLOOKUP(D922,Products!$A:$E,5,FALSE())-VLOOKUP(D922,Products!$A:$E,4,FALSE()))/VLOOKUP(D922,Products!$A:$E,5,FALSE()),"")</f>
        <v>0.2593939393939394</v>
      </c>
    </row>
    <row r="923" spans="1:18" x14ac:dyDescent="0.3">
      <c r="A923" s="22" t="s">
        <v>2310</v>
      </c>
      <c r="B923" s="23">
        <v>45473</v>
      </c>
      <c r="C923" s="22" t="s">
        <v>219</v>
      </c>
      <c r="D923" s="22" t="s">
        <v>167</v>
      </c>
      <c r="E923" s="22" t="s">
        <v>2311</v>
      </c>
      <c r="F923" s="24">
        <v>6</v>
      </c>
      <c r="G923" s="24">
        <v>190</v>
      </c>
      <c r="H923" s="24">
        <v>14.6</v>
      </c>
      <c r="I923" s="24">
        <v>973.56</v>
      </c>
      <c r="J923" s="22" t="s">
        <v>104</v>
      </c>
      <c r="K923" s="22" t="s">
        <v>151</v>
      </c>
      <c r="L923" t="str">
        <f>VLOOKUP(D923,Products!A:F,3,FALSE())</f>
        <v>Sports</v>
      </c>
      <c r="M923" t="str">
        <f>VLOOKUP(C923,Customers!A:F,5,FALSE())</f>
        <v>Corporate</v>
      </c>
      <c r="O923" t="str">
        <f>IFERROR(VLOOKUP(E923,Sales_Reps!$A:$C,3,FALSE()),"")</f>
        <v/>
      </c>
      <c r="P923">
        <f>IFERROR(VLOOKUP(C923,Customers!$A:$C,3,FALSE()),"")</f>
        <v>56</v>
      </c>
      <c r="Q923" t="str">
        <f t="shared" si="14"/>
        <v>Jun-24</v>
      </c>
      <c r="R923">
        <f>IFERROR((VLOOKUP(D923,Products!$A:$E,5,FALSE())-VLOOKUP(D923,Products!$A:$E,4,FALSE()))/VLOOKUP(D923,Products!$A:$E,5,FALSE()),"")</f>
        <v>0.22631578947368422</v>
      </c>
    </row>
    <row r="924" spans="1:18" x14ac:dyDescent="0.3">
      <c r="A924" s="22" t="s">
        <v>2312</v>
      </c>
      <c r="B924" s="23">
        <v>45546</v>
      </c>
      <c r="C924" s="22" t="s">
        <v>847</v>
      </c>
      <c r="D924" s="22" t="s">
        <v>289</v>
      </c>
      <c r="E924" s="22" t="s">
        <v>2313</v>
      </c>
      <c r="F924" s="24">
        <v>5</v>
      </c>
      <c r="G924" s="24">
        <v>2270</v>
      </c>
      <c r="H924" s="24">
        <v>5.9</v>
      </c>
      <c r="I924" s="24">
        <v>10680.35</v>
      </c>
      <c r="J924" s="22" t="s">
        <v>104</v>
      </c>
      <c r="K924" s="22" t="s">
        <v>105</v>
      </c>
      <c r="L924" t="str">
        <f>VLOOKUP(D924,Products!A:F,3,FALSE())</f>
        <v>Grocery</v>
      </c>
      <c r="M924" t="str">
        <f>VLOOKUP(C924,Customers!A:F,5,FALSE())</f>
        <v>Corporate</v>
      </c>
      <c r="O924" t="str">
        <f>IFERROR(VLOOKUP(E924,Sales_Reps!$A:$C,3,FALSE()),"")</f>
        <v/>
      </c>
      <c r="P924">
        <f>IFERROR(VLOOKUP(C924,Customers!$A:$C,3,FALSE()),"")</f>
        <v>40</v>
      </c>
      <c r="Q924" t="str">
        <f t="shared" si="14"/>
        <v>Sep-24</v>
      </c>
      <c r="R924">
        <f>IFERROR((VLOOKUP(D924,Products!$A:$E,5,FALSE())-VLOOKUP(D924,Products!$A:$E,4,FALSE()))/VLOOKUP(D924,Products!$A:$E,5,FALSE()),"")</f>
        <v>0.37797356828193834</v>
      </c>
    </row>
    <row r="925" spans="1:18" x14ac:dyDescent="0.3">
      <c r="A925" s="22" t="s">
        <v>2314</v>
      </c>
      <c r="B925" s="23">
        <v>45625</v>
      </c>
      <c r="C925" s="22" t="s">
        <v>1520</v>
      </c>
      <c r="D925" s="22" t="s">
        <v>149</v>
      </c>
      <c r="E925" s="22" t="s">
        <v>2315</v>
      </c>
      <c r="F925" s="24">
        <v>1</v>
      </c>
      <c r="G925" s="24">
        <v>2270</v>
      </c>
      <c r="H925" s="24">
        <v>14.9</v>
      </c>
      <c r="I925" s="24">
        <v>1931.77</v>
      </c>
      <c r="J925" s="22" t="s">
        <v>104</v>
      </c>
      <c r="K925" s="22" t="s">
        <v>134</v>
      </c>
      <c r="L925" t="str">
        <f>VLOOKUP(D925,Products!A:F,3,FALSE())</f>
        <v>Grocery</v>
      </c>
      <c r="M925" t="str">
        <f>VLOOKUP(C925,Customers!A:F,5,FALSE())</f>
        <v>Retail</v>
      </c>
      <c r="O925" t="str">
        <f>IFERROR(VLOOKUP(E925,Sales_Reps!$A:$C,3,FALSE()),"")</f>
        <v/>
      </c>
      <c r="P925">
        <f>IFERROR(VLOOKUP(C925,Customers!$A:$C,3,FALSE()),"")</f>
        <v>61</v>
      </c>
      <c r="Q925" t="str">
        <f t="shared" si="14"/>
        <v>Nov-24</v>
      </c>
      <c r="R925">
        <f>IFERROR((VLOOKUP(D925,Products!$A:$E,5,FALSE())-VLOOKUP(D925,Products!$A:$E,4,FALSE()))/VLOOKUP(D925,Products!$A:$E,5,FALSE()),"")</f>
        <v>0.47004405286343615</v>
      </c>
    </row>
    <row r="926" spans="1:18" x14ac:dyDescent="0.3">
      <c r="A926" s="22" t="s">
        <v>2316</v>
      </c>
      <c r="B926" s="23">
        <v>45579</v>
      </c>
      <c r="C926" s="22" t="s">
        <v>844</v>
      </c>
      <c r="D926" s="22" t="s">
        <v>591</v>
      </c>
      <c r="E926" s="22" t="s">
        <v>2317</v>
      </c>
      <c r="F926" s="24">
        <v>4</v>
      </c>
      <c r="G926" s="24">
        <v>3450</v>
      </c>
      <c r="H926" s="24">
        <v>11.7</v>
      </c>
      <c r="I926" s="24">
        <v>12185.4</v>
      </c>
      <c r="J926" s="22" t="s">
        <v>159</v>
      </c>
      <c r="K926" s="22" t="s">
        <v>129</v>
      </c>
      <c r="L926" t="str">
        <f>VLOOKUP(D926,Products!A:F,3,FALSE())</f>
        <v>Apparel</v>
      </c>
      <c r="M926" t="str">
        <f>VLOOKUP(C926,Customers!A:F,5,FALSE())</f>
        <v>Retail</v>
      </c>
      <c r="O926" t="str">
        <f>IFERROR(VLOOKUP(E926,Sales_Reps!$A:$C,3,FALSE()),"")</f>
        <v/>
      </c>
      <c r="P926">
        <f>IFERROR(VLOOKUP(C926,Customers!$A:$C,3,FALSE()),"")</f>
        <v>52</v>
      </c>
      <c r="Q926" t="str">
        <f t="shared" si="14"/>
        <v>Oct-24</v>
      </c>
      <c r="R926">
        <f>IFERROR((VLOOKUP(D926,Products!$A:$E,5,FALSE())-VLOOKUP(D926,Products!$A:$E,4,FALSE()))/VLOOKUP(D926,Products!$A:$E,5,FALSE()),"")</f>
        <v>0.49333333333333335</v>
      </c>
    </row>
    <row r="927" spans="1:18" x14ac:dyDescent="0.3">
      <c r="A927" s="22" t="s">
        <v>2318</v>
      </c>
      <c r="B927" s="23">
        <v>45323</v>
      </c>
      <c r="C927" s="22" t="s">
        <v>716</v>
      </c>
      <c r="D927" s="22" t="s">
        <v>330</v>
      </c>
      <c r="E927" s="22" t="s">
        <v>2319</v>
      </c>
      <c r="F927" s="24">
        <v>7</v>
      </c>
      <c r="G927" s="24">
        <v>3020</v>
      </c>
      <c r="H927" s="24">
        <v>18.8</v>
      </c>
      <c r="I927" s="24">
        <v>17165.68</v>
      </c>
      <c r="J927" s="22" t="s">
        <v>104</v>
      </c>
      <c r="K927" s="22" t="s">
        <v>129</v>
      </c>
      <c r="L927" t="str">
        <f>VLOOKUP(D927,Products!A:F,3,FALSE())</f>
        <v>Beauty</v>
      </c>
      <c r="M927" t="str">
        <f>VLOOKUP(C927,Customers!A:F,5,FALSE())</f>
        <v>Retail</v>
      </c>
      <c r="O927" t="str">
        <f>IFERROR(VLOOKUP(E927,Sales_Reps!$A:$C,3,FALSE()),"")</f>
        <v/>
      </c>
      <c r="P927">
        <f>IFERROR(VLOOKUP(C927,Customers!$A:$C,3,FALSE()),"")</f>
        <v>44</v>
      </c>
      <c r="Q927" t="str">
        <f t="shared" si="14"/>
        <v>Feb-24</v>
      </c>
      <c r="R927">
        <f>IFERROR((VLOOKUP(D927,Products!$A:$E,5,FALSE())-VLOOKUP(D927,Products!$A:$E,4,FALSE()))/VLOOKUP(D927,Products!$A:$E,5,FALSE()),"")</f>
        <v>0.46158940397350995</v>
      </c>
    </row>
    <row r="928" spans="1:18" x14ac:dyDescent="0.3">
      <c r="A928" s="22" t="s">
        <v>2320</v>
      </c>
      <c r="B928" s="23">
        <v>45613</v>
      </c>
      <c r="C928" s="22" t="s">
        <v>1306</v>
      </c>
      <c r="D928" s="22" t="s">
        <v>356</v>
      </c>
      <c r="E928" s="22" t="s">
        <v>2321</v>
      </c>
      <c r="F928" s="24">
        <v>4</v>
      </c>
      <c r="G928" s="24">
        <v>2030</v>
      </c>
      <c r="H928" s="24">
        <v>25.7</v>
      </c>
      <c r="I928" s="24">
        <v>6033.16</v>
      </c>
      <c r="J928" s="22" t="s">
        <v>104</v>
      </c>
      <c r="K928" s="22" t="s">
        <v>134</v>
      </c>
      <c r="L928" t="str">
        <f>VLOOKUP(D928,Products!A:F,3,FALSE())</f>
        <v>Home</v>
      </c>
      <c r="M928" t="str">
        <f>VLOOKUP(C928,Customers!A:F,5,FALSE())</f>
        <v>Retail</v>
      </c>
      <c r="O928" t="str">
        <f>IFERROR(VLOOKUP(E928,Sales_Reps!$A:$C,3,FALSE()),"")</f>
        <v/>
      </c>
      <c r="P928">
        <f>IFERROR(VLOOKUP(C928,Customers!$A:$C,3,FALSE()),"")</f>
        <v>47</v>
      </c>
      <c r="Q928" t="str">
        <f t="shared" si="14"/>
        <v>Nov-24</v>
      </c>
      <c r="R928">
        <f>IFERROR((VLOOKUP(D928,Products!$A:$E,5,FALSE())-VLOOKUP(D928,Products!$A:$E,4,FALSE()))/VLOOKUP(D928,Products!$A:$E,5,FALSE()),"")</f>
        <v>0.43694581280788175</v>
      </c>
    </row>
    <row r="929" spans="1:18" x14ac:dyDescent="0.3">
      <c r="A929" s="22" t="s">
        <v>2322</v>
      </c>
      <c r="B929" s="23">
        <v>45362</v>
      </c>
      <c r="C929" s="22" t="s">
        <v>348</v>
      </c>
      <c r="D929" s="22" t="s">
        <v>591</v>
      </c>
      <c r="E929" s="22" t="s">
        <v>2323</v>
      </c>
      <c r="F929" s="24">
        <v>4</v>
      </c>
      <c r="G929" s="24">
        <v>3450</v>
      </c>
      <c r="H929" s="24">
        <v>3.9</v>
      </c>
      <c r="I929" s="24">
        <v>13261.8</v>
      </c>
      <c r="J929" s="22" t="s">
        <v>104</v>
      </c>
      <c r="K929" s="22" t="s">
        <v>111</v>
      </c>
      <c r="L929" t="str">
        <f>VLOOKUP(D929,Products!A:F,3,FALSE())</f>
        <v>Apparel</v>
      </c>
      <c r="M929" t="str">
        <f>VLOOKUP(C929,Customers!A:F,5,FALSE())</f>
        <v>Retail</v>
      </c>
      <c r="O929" t="str">
        <f>IFERROR(VLOOKUP(E929,Sales_Reps!$A:$C,3,FALSE()),"")</f>
        <v/>
      </c>
      <c r="P929">
        <f>IFERROR(VLOOKUP(C929,Customers!$A:$C,3,FALSE()),"")</f>
        <v>38</v>
      </c>
      <c r="Q929" t="str">
        <f t="shared" si="14"/>
        <v>Mar-24</v>
      </c>
      <c r="R929">
        <f>IFERROR((VLOOKUP(D929,Products!$A:$E,5,FALSE())-VLOOKUP(D929,Products!$A:$E,4,FALSE()))/VLOOKUP(D929,Products!$A:$E,5,FALSE()),"")</f>
        <v>0.49333333333333335</v>
      </c>
    </row>
    <row r="930" spans="1:18" x14ac:dyDescent="0.3">
      <c r="A930" s="22" t="s">
        <v>2324</v>
      </c>
      <c r="B930" s="23">
        <v>45347</v>
      </c>
      <c r="C930" s="22" t="s">
        <v>716</v>
      </c>
      <c r="D930" s="22" t="s">
        <v>479</v>
      </c>
      <c r="E930" s="22" t="s">
        <v>2325</v>
      </c>
      <c r="F930" s="24">
        <v>5</v>
      </c>
      <c r="G930" s="24">
        <v>960</v>
      </c>
      <c r="H930" s="24">
        <v>8</v>
      </c>
      <c r="I930" s="24">
        <v>4416</v>
      </c>
      <c r="J930" s="22" t="s">
        <v>104</v>
      </c>
      <c r="K930" s="22" t="s">
        <v>129</v>
      </c>
      <c r="L930" t="str">
        <f>VLOOKUP(D930,Products!A:F,3,FALSE())</f>
        <v>Beauty</v>
      </c>
      <c r="M930" t="str">
        <f>VLOOKUP(C930,Customers!A:F,5,FALSE())</f>
        <v>Retail</v>
      </c>
      <c r="O930" t="str">
        <f>IFERROR(VLOOKUP(E930,Sales_Reps!$A:$C,3,FALSE()),"")</f>
        <v/>
      </c>
      <c r="P930">
        <f>IFERROR(VLOOKUP(C930,Customers!$A:$C,3,FALSE()),"")</f>
        <v>44</v>
      </c>
      <c r="Q930" t="str">
        <f t="shared" si="14"/>
        <v>Feb-24</v>
      </c>
      <c r="R930">
        <f>IFERROR((VLOOKUP(D930,Products!$A:$E,5,FALSE())-VLOOKUP(D930,Products!$A:$E,4,FALSE()))/VLOOKUP(D930,Products!$A:$E,5,FALSE()),"")</f>
        <v>0.296875</v>
      </c>
    </row>
    <row r="931" spans="1:18" x14ac:dyDescent="0.3">
      <c r="A931" s="22" t="s">
        <v>2326</v>
      </c>
      <c r="B931" s="23">
        <v>45550</v>
      </c>
      <c r="C931" s="22" t="s">
        <v>113</v>
      </c>
      <c r="D931" s="22" t="s">
        <v>521</v>
      </c>
      <c r="E931" s="22" t="s">
        <v>2327</v>
      </c>
      <c r="F931" s="24">
        <v>7</v>
      </c>
      <c r="G931" s="24">
        <v>3970</v>
      </c>
      <c r="H931" s="24">
        <v>11.7</v>
      </c>
      <c r="I931" s="24">
        <v>24538.57</v>
      </c>
      <c r="J931" s="22" t="s">
        <v>104</v>
      </c>
      <c r="K931" s="22" t="s">
        <v>116</v>
      </c>
      <c r="L931" t="str">
        <f>VLOOKUP(D931,Products!A:F,3,FALSE())</f>
        <v>Electronics</v>
      </c>
      <c r="M931" t="str">
        <f>VLOOKUP(C931,Customers!A:F,5,FALSE())</f>
        <v>Retail</v>
      </c>
      <c r="O931" t="str">
        <f>IFERROR(VLOOKUP(E931,Sales_Reps!$A:$C,3,FALSE()),"")</f>
        <v/>
      </c>
      <c r="P931">
        <f>IFERROR(VLOOKUP(C931,Customers!$A:$C,3,FALSE()),"")</f>
        <v>52</v>
      </c>
      <c r="Q931" t="str">
        <f t="shared" si="14"/>
        <v>Sep-24</v>
      </c>
      <c r="R931">
        <f>IFERROR((VLOOKUP(D931,Products!$A:$E,5,FALSE())-VLOOKUP(D931,Products!$A:$E,4,FALSE()))/VLOOKUP(D931,Products!$A:$E,5,FALSE()),"")</f>
        <v>0.27833753148614609</v>
      </c>
    </row>
    <row r="932" spans="1:18" x14ac:dyDescent="0.3">
      <c r="A932" s="22" t="s">
        <v>2328</v>
      </c>
      <c r="B932" s="23">
        <v>45554</v>
      </c>
      <c r="C932" s="22" t="s">
        <v>369</v>
      </c>
      <c r="D932" s="22" t="s">
        <v>449</v>
      </c>
      <c r="E932" s="22" t="s">
        <v>2329</v>
      </c>
      <c r="F932" s="24">
        <v>3</v>
      </c>
      <c r="G932" s="24">
        <v>5410</v>
      </c>
      <c r="H932" s="24">
        <v>10</v>
      </c>
      <c r="I932" s="24">
        <v>14607</v>
      </c>
      <c r="J932" s="22" t="s">
        <v>104</v>
      </c>
      <c r="K932" s="22" t="s">
        <v>151</v>
      </c>
      <c r="L932" t="str">
        <f>VLOOKUP(D932,Products!A:F,3,FALSE())</f>
        <v>Sports</v>
      </c>
      <c r="M932" t="str">
        <f>VLOOKUP(C932,Customers!A:F,5,FALSE())</f>
        <v>Corporate</v>
      </c>
      <c r="O932" t="str">
        <f>IFERROR(VLOOKUP(E932,Sales_Reps!$A:$C,3,FALSE()),"")</f>
        <v/>
      </c>
      <c r="P932">
        <f>IFERROR(VLOOKUP(C932,Customers!$A:$C,3,FALSE()),"")</f>
        <v>46</v>
      </c>
      <c r="Q932" t="str">
        <f t="shared" si="14"/>
        <v>Sep-24</v>
      </c>
      <c r="R932">
        <f>IFERROR((VLOOKUP(D932,Products!$A:$E,5,FALSE())-VLOOKUP(D932,Products!$A:$E,4,FALSE()))/VLOOKUP(D932,Products!$A:$E,5,FALSE()),"")</f>
        <v>0.58133086876155271</v>
      </c>
    </row>
    <row r="933" spans="1:18" x14ac:dyDescent="0.3">
      <c r="A933" s="22" t="s">
        <v>2330</v>
      </c>
      <c r="B933" s="23">
        <v>45428</v>
      </c>
      <c r="C933" s="22" t="s">
        <v>604</v>
      </c>
      <c r="D933" s="22" t="s">
        <v>216</v>
      </c>
      <c r="E933" s="22" t="s">
        <v>2331</v>
      </c>
      <c r="F933" s="24">
        <v>8</v>
      </c>
      <c r="G933" s="24">
        <v>3570</v>
      </c>
      <c r="H933" s="24">
        <v>8.5</v>
      </c>
      <c r="I933" s="24">
        <v>26132.400000000001</v>
      </c>
      <c r="J933" s="22" t="s">
        <v>104</v>
      </c>
      <c r="K933" s="22" t="s">
        <v>105</v>
      </c>
      <c r="L933" t="str">
        <f>VLOOKUP(D933,Products!A:F,3,FALSE())</f>
        <v>Electronics</v>
      </c>
      <c r="M933" t="str">
        <f>VLOOKUP(C933,Customers!A:F,5,FALSE())</f>
        <v>Corporate</v>
      </c>
      <c r="O933" t="str">
        <f>IFERROR(VLOOKUP(E933,Sales_Reps!$A:$C,3,FALSE()),"")</f>
        <v/>
      </c>
      <c r="P933">
        <f>IFERROR(VLOOKUP(C933,Customers!$A:$C,3,FALSE()),"")</f>
        <v>37</v>
      </c>
      <c r="Q933" t="str">
        <f t="shared" si="14"/>
        <v>May-24</v>
      </c>
      <c r="R933">
        <f>IFERROR((VLOOKUP(D933,Products!$A:$E,5,FALSE())-VLOOKUP(D933,Products!$A:$E,4,FALSE()))/VLOOKUP(D933,Products!$A:$E,5,FALSE()),"")</f>
        <v>0.53361344537815125</v>
      </c>
    </row>
    <row r="934" spans="1:18" x14ac:dyDescent="0.3">
      <c r="A934" s="22" t="s">
        <v>2332</v>
      </c>
      <c r="B934" s="23">
        <v>45517</v>
      </c>
      <c r="C934" s="22" t="s">
        <v>268</v>
      </c>
      <c r="D934" s="22" t="s">
        <v>157</v>
      </c>
      <c r="E934" s="22" t="s">
        <v>2333</v>
      </c>
      <c r="F934" s="24">
        <v>7</v>
      </c>
      <c r="G934" s="24">
        <v>2600</v>
      </c>
      <c r="H934" s="24">
        <v>27.1</v>
      </c>
      <c r="I934" s="24">
        <v>13267.8</v>
      </c>
      <c r="J934" s="22" t="s">
        <v>104</v>
      </c>
      <c r="K934" s="22" t="s">
        <v>129</v>
      </c>
      <c r="L934" t="str">
        <f>VLOOKUP(D934,Products!A:F,3,FALSE())</f>
        <v>Electronics</v>
      </c>
      <c r="M934" t="str">
        <f>VLOOKUP(C934,Customers!A:F,5,FALSE())</f>
        <v>SMB</v>
      </c>
      <c r="O934" t="str">
        <f>IFERROR(VLOOKUP(E934,Sales_Reps!$A:$C,3,FALSE()),"")</f>
        <v/>
      </c>
      <c r="P934">
        <f>IFERROR(VLOOKUP(C934,Customers!$A:$C,3,FALSE()),"")</f>
        <v>54</v>
      </c>
      <c r="Q934" t="str">
        <f t="shared" si="14"/>
        <v>Aug-24</v>
      </c>
      <c r="R934">
        <f>IFERROR((VLOOKUP(D934,Products!$A:$E,5,FALSE())-VLOOKUP(D934,Products!$A:$E,4,FALSE()))/VLOOKUP(D934,Products!$A:$E,5,FALSE()),"")</f>
        <v>0.5953846153846154</v>
      </c>
    </row>
    <row r="935" spans="1:18" x14ac:dyDescent="0.3">
      <c r="A935" s="22" t="s">
        <v>2334</v>
      </c>
      <c r="B935" s="23">
        <v>45442</v>
      </c>
      <c r="C935" s="22" t="s">
        <v>318</v>
      </c>
      <c r="D935" s="22" t="s">
        <v>114</v>
      </c>
      <c r="E935" s="22" t="s">
        <v>2335</v>
      </c>
      <c r="F935" s="24">
        <v>6</v>
      </c>
      <c r="G935" s="24">
        <v>470</v>
      </c>
      <c r="H935" s="24">
        <v>2.4</v>
      </c>
      <c r="I935" s="24">
        <v>2752.32</v>
      </c>
      <c r="J935" s="22" t="s">
        <v>110</v>
      </c>
      <c r="K935" s="22" t="s">
        <v>116</v>
      </c>
      <c r="L935" t="str">
        <f>VLOOKUP(D935,Products!A:F,3,FALSE())</f>
        <v>Sports</v>
      </c>
      <c r="M935" t="str">
        <f>VLOOKUP(C935,Customers!A:F,5,FALSE())</f>
        <v>Corporate</v>
      </c>
      <c r="O935" t="str">
        <f>IFERROR(VLOOKUP(E935,Sales_Reps!$A:$C,3,FALSE()),"")</f>
        <v/>
      </c>
      <c r="P935">
        <f>IFERROR(VLOOKUP(C935,Customers!$A:$C,3,FALSE()),"")</f>
        <v>55</v>
      </c>
      <c r="Q935" t="str">
        <f t="shared" si="14"/>
        <v>May-24</v>
      </c>
      <c r="R935">
        <f>IFERROR((VLOOKUP(D935,Products!$A:$E,5,FALSE())-VLOOKUP(D935,Products!$A:$E,4,FALSE()))/VLOOKUP(D935,Products!$A:$E,5,FALSE()),"")</f>
        <v>0.35744680851063831</v>
      </c>
    </row>
    <row r="936" spans="1:18" x14ac:dyDescent="0.3">
      <c r="A936" s="22" t="s">
        <v>2336</v>
      </c>
      <c r="B936" s="23">
        <v>45371</v>
      </c>
      <c r="C936" s="22" t="s">
        <v>1109</v>
      </c>
      <c r="D936" s="22" t="s">
        <v>114</v>
      </c>
      <c r="E936" s="22" t="s">
        <v>2337</v>
      </c>
      <c r="F936" s="24">
        <v>3</v>
      </c>
      <c r="G936" s="24">
        <v>470</v>
      </c>
      <c r="H936" s="24">
        <v>6.3</v>
      </c>
      <c r="I936" s="24">
        <v>1321.17</v>
      </c>
      <c r="J936" s="22" t="s">
        <v>104</v>
      </c>
      <c r="K936" s="22" t="s">
        <v>134</v>
      </c>
      <c r="L936" t="str">
        <f>VLOOKUP(D936,Products!A:F,3,FALSE())</f>
        <v>Sports</v>
      </c>
      <c r="M936" t="str">
        <f>VLOOKUP(C936,Customers!A:F,5,FALSE())</f>
        <v>Retail</v>
      </c>
      <c r="O936" t="str">
        <f>IFERROR(VLOOKUP(E936,Sales_Reps!$A:$C,3,FALSE()),"")</f>
        <v/>
      </c>
      <c r="P936">
        <f>IFERROR(VLOOKUP(C936,Customers!$A:$C,3,FALSE()),"")</f>
        <v>29</v>
      </c>
      <c r="Q936" t="str">
        <f t="shared" si="14"/>
        <v>Mar-24</v>
      </c>
      <c r="R936">
        <f>IFERROR((VLOOKUP(D936,Products!$A:$E,5,FALSE())-VLOOKUP(D936,Products!$A:$E,4,FALSE()))/VLOOKUP(D936,Products!$A:$E,5,FALSE()),"")</f>
        <v>0.35744680851063831</v>
      </c>
    </row>
    <row r="937" spans="1:18" x14ac:dyDescent="0.3">
      <c r="A937" s="22" t="s">
        <v>2338</v>
      </c>
      <c r="B937" s="23">
        <v>45540</v>
      </c>
      <c r="C937" s="22" t="s">
        <v>2125</v>
      </c>
      <c r="D937" s="22" t="s">
        <v>605</v>
      </c>
      <c r="E937" s="22" t="s">
        <v>2339</v>
      </c>
      <c r="F937" s="24">
        <v>3</v>
      </c>
      <c r="G937" s="24">
        <v>3780</v>
      </c>
      <c r="H937" s="24">
        <v>19.399999999999999</v>
      </c>
      <c r="I937" s="24">
        <v>9140.0400000000009</v>
      </c>
      <c r="J937" s="22" t="s">
        <v>110</v>
      </c>
      <c r="K937" s="22" t="s">
        <v>111</v>
      </c>
      <c r="L937" t="str">
        <f>VLOOKUP(D937,Products!A:F,3,FALSE())</f>
        <v>Sports</v>
      </c>
      <c r="M937" t="str">
        <f>VLOOKUP(C937,Customers!A:F,5,FALSE())</f>
        <v>SMB</v>
      </c>
      <c r="O937" t="str">
        <f>IFERROR(VLOOKUP(E937,Sales_Reps!$A:$C,3,FALSE()),"")</f>
        <v/>
      </c>
      <c r="P937">
        <f>IFERROR(VLOOKUP(C937,Customers!$A:$C,3,FALSE()),"")</f>
        <v>51</v>
      </c>
      <c r="Q937" t="str">
        <f t="shared" si="14"/>
        <v>Sep-24</v>
      </c>
      <c r="R937">
        <f>IFERROR((VLOOKUP(D937,Products!$A:$E,5,FALSE())-VLOOKUP(D937,Products!$A:$E,4,FALSE()))/VLOOKUP(D937,Products!$A:$E,5,FALSE()),"")</f>
        <v>0.50793650793650791</v>
      </c>
    </row>
    <row r="938" spans="1:18" x14ac:dyDescent="0.3">
      <c r="A938" s="22" t="s">
        <v>2340</v>
      </c>
      <c r="B938" s="23">
        <v>45392</v>
      </c>
      <c r="C938" s="22" t="s">
        <v>144</v>
      </c>
      <c r="D938" s="22" t="s">
        <v>695</v>
      </c>
      <c r="E938" s="22" t="s">
        <v>2341</v>
      </c>
      <c r="F938" s="24">
        <v>5</v>
      </c>
      <c r="G938" s="24">
        <v>6940</v>
      </c>
      <c r="H938" s="24">
        <v>12.6</v>
      </c>
      <c r="I938" s="24">
        <v>30327.8</v>
      </c>
      <c r="J938" s="22" t="s">
        <v>104</v>
      </c>
      <c r="K938" s="22" t="s">
        <v>105</v>
      </c>
      <c r="L938" t="str">
        <f>VLOOKUP(D938,Products!A:F,3,FALSE())</f>
        <v>Sports</v>
      </c>
      <c r="M938" t="str">
        <f>VLOOKUP(C938,Customers!A:F,5,FALSE())</f>
        <v>Retail</v>
      </c>
      <c r="O938" t="str">
        <f>IFERROR(VLOOKUP(E938,Sales_Reps!$A:$C,3,FALSE()),"")</f>
        <v/>
      </c>
      <c r="P938">
        <f>IFERROR(VLOOKUP(C938,Customers!$A:$C,3,FALSE()),"")</f>
        <v>56</v>
      </c>
      <c r="Q938" t="str">
        <f t="shared" si="14"/>
        <v>Apr-24</v>
      </c>
      <c r="R938">
        <f>IFERROR((VLOOKUP(D938,Products!$A:$E,5,FALSE())-VLOOKUP(D938,Products!$A:$E,4,FALSE()))/VLOOKUP(D938,Products!$A:$E,5,FALSE()),"")</f>
        <v>0.5926512968299712</v>
      </c>
    </row>
    <row r="939" spans="1:18" x14ac:dyDescent="0.3">
      <c r="A939" s="22" t="s">
        <v>2342</v>
      </c>
      <c r="B939" s="23">
        <v>45386</v>
      </c>
      <c r="C939" s="22" t="s">
        <v>529</v>
      </c>
      <c r="D939" s="22" t="s">
        <v>293</v>
      </c>
      <c r="E939" s="22" t="s">
        <v>2343</v>
      </c>
      <c r="F939" s="24">
        <v>2</v>
      </c>
      <c r="G939" s="24">
        <v>3870</v>
      </c>
      <c r="H939" s="24">
        <v>10.5</v>
      </c>
      <c r="I939" s="24">
        <v>6927.3</v>
      </c>
      <c r="J939" s="22" t="s">
        <v>104</v>
      </c>
      <c r="K939" s="22" t="s">
        <v>105</v>
      </c>
      <c r="L939" t="str">
        <f>VLOOKUP(D939,Products!A:F,3,FALSE())</f>
        <v>Electronics</v>
      </c>
      <c r="M939" t="str">
        <f>VLOOKUP(C939,Customers!A:F,5,FALSE())</f>
        <v>Retail</v>
      </c>
      <c r="O939" t="str">
        <f>IFERROR(VLOOKUP(E939,Sales_Reps!$A:$C,3,FALSE()),"")</f>
        <v/>
      </c>
      <c r="P939">
        <f>IFERROR(VLOOKUP(C939,Customers!$A:$C,3,FALSE()),"")</f>
        <v>22</v>
      </c>
      <c r="Q939" t="str">
        <f t="shared" si="14"/>
        <v>Apr-24</v>
      </c>
      <c r="R939">
        <f>IFERROR((VLOOKUP(D939,Products!$A:$E,5,FALSE())-VLOOKUP(D939,Products!$A:$E,4,FALSE()))/VLOOKUP(D939,Products!$A:$E,5,FALSE()),"")</f>
        <v>0.59715762273901807</v>
      </c>
    </row>
    <row r="940" spans="1:18" x14ac:dyDescent="0.3">
      <c r="A940" s="22" t="s">
        <v>2344</v>
      </c>
      <c r="B940" s="23">
        <v>45516</v>
      </c>
      <c r="C940" s="22" t="s">
        <v>1253</v>
      </c>
      <c r="D940" s="22" t="s">
        <v>449</v>
      </c>
      <c r="E940" s="22" t="s">
        <v>2345</v>
      </c>
      <c r="F940" s="24">
        <v>8</v>
      </c>
      <c r="G940" s="24">
        <v>5410</v>
      </c>
      <c r="H940" s="24">
        <v>28.4</v>
      </c>
      <c r="I940" s="24">
        <v>30988.48</v>
      </c>
      <c r="J940" s="22" t="s">
        <v>110</v>
      </c>
      <c r="K940" s="22" t="s">
        <v>134</v>
      </c>
      <c r="L940" t="str">
        <f>VLOOKUP(D940,Products!A:F,3,FALSE())</f>
        <v>Sports</v>
      </c>
      <c r="M940" t="str">
        <f>VLOOKUP(C940,Customers!A:F,5,FALSE())</f>
        <v>Corporate</v>
      </c>
      <c r="O940" t="str">
        <f>IFERROR(VLOOKUP(E940,Sales_Reps!$A:$C,3,FALSE()),"")</f>
        <v/>
      </c>
      <c r="P940">
        <f>IFERROR(VLOOKUP(C940,Customers!$A:$C,3,FALSE()),"")</f>
        <v>41</v>
      </c>
      <c r="Q940" t="str">
        <f t="shared" si="14"/>
        <v>Aug-24</v>
      </c>
      <c r="R940">
        <f>IFERROR((VLOOKUP(D940,Products!$A:$E,5,FALSE())-VLOOKUP(D940,Products!$A:$E,4,FALSE()))/VLOOKUP(D940,Products!$A:$E,5,FALSE()),"")</f>
        <v>0.58133086876155271</v>
      </c>
    </row>
    <row r="941" spans="1:18" x14ac:dyDescent="0.3">
      <c r="A941" s="22" t="s">
        <v>2346</v>
      </c>
      <c r="B941" s="23">
        <v>45618</v>
      </c>
      <c r="C941" s="22" t="s">
        <v>227</v>
      </c>
      <c r="D941" s="22" t="s">
        <v>521</v>
      </c>
      <c r="E941" s="22" t="s">
        <v>2347</v>
      </c>
      <c r="F941" s="24">
        <v>7</v>
      </c>
      <c r="G941" s="24">
        <v>3970</v>
      </c>
      <c r="H941" s="24">
        <v>12.3</v>
      </c>
      <c r="I941" s="24">
        <v>24371.83</v>
      </c>
      <c r="J941" s="22" t="s">
        <v>104</v>
      </c>
      <c r="K941" s="22" t="s">
        <v>105</v>
      </c>
      <c r="L941" t="str">
        <f>VLOOKUP(D941,Products!A:F,3,FALSE())</f>
        <v>Electronics</v>
      </c>
      <c r="M941" t="str">
        <f>VLOOKUP(C941,Customers!A:F,5,FALSE())</f>
        <v>Corporate</v>
      </c>
      <c r="O941" t="str">
        <f>IFERROR(VLOOKUP(E941,Sales_Reps!$A:$C,3,FALSE()),"")</f>
        <v/>
      </c>
      <c r="P941">
        <f>IFERROR(VLOOKUP(C941,Customers!$A:$C,3,FALSE()),"")</f>
        <v>47</v>
      </c>
      <c r="Q941" t="str">
        <f t="shared" si="14"/>
        <v>Nov-24</v>
      </c>
      <c r="R941">
        <f>IFERROR((VLOOKUP(D941,Products!$A:$E,5,FALSE())-VLOOKUP(D941,Products!$A:$E,4,FALSE()))/VLOOKUP(D941,Products!$A:$E,5,FALSE()),"")</f>
        <v>0.27833753148614609</v>
      </c>
    </row>
    <row r="942" spans="1:18" x14ac:dyDescent="0.3">
      <c r="A942" s="22" t="s">
        <v>2348</v>
      </c>
      <c r="B942" s="23">
        <v>45610</v>
      </c>
      <c r="C942" s="22" t="s">
        <v>858</v>
      </c>
      <c r="D942" s="22" t="s">
        <v>695</v>
      </c>
      <c r="E942" s="22" t="s">
        <v>2349</v>
      </c>
      <c r="F942" s="24">
        <v>5</v>
      </c>
      <c r="G942" s="24">
        <v>6940</v>
      </c>
      <c r="H942" s="24">
        <v>1.5</v>
      </c>
      <c r="I942" s="24">
        <v>34179.5</v>
      </c>
      <c r="J942" s="22" t="s">
        <v>104</v>
      </c>
      <c r="K942" s="22" t="s">
        <v>129</v>
      </c>
      <c r="L942" t="str">
        <f>VLOOKUP(D942,Products!A:F,3,FALSE())</f>
        <v>Sports</v>
      </c>
      <c r="M942" t="str">
        <f>VLOOKUP(C942,Customers!A:F,5,FALSE())</f>
        <v>Retail</v>
      </c>
      <c r="O942" t="str">
        <f>IFERROR(VLOOKUP(E942,Sales_Reps!$A:$C,3,FALSE()),"")</f>
        <v/>
      </c>
      <c r="P942">
        <f>IFERROR(VLOOKUP(C942,Customers!$A:$C,3,FALSE()),"")</f>
        <v>53</v>
      </c>
      <c r="Q942" t="str">
        <f t="shared" si="14"/>
        <v>Nov-24</v>
      </c>
      <c r="R942">
        <f>IFERROR((VLOOKUP(D942,Products!$A:$E,5,FALSE())-VLOOKUP(D942,Products!$A:$E,4,FALSE()))/VLOOKUP(D942,Products!$A:$E,5,FALSE()),"")</f>
        <v>0.5926512968299712</v>
      </c>
    </row>
    <row r="943" spans="1:18" x14ac:dyDescent="0.3">
      <c r="A943" s="22" t="s">
        <v>2350</v>
      </c>
      <c r="B943" s="23">
        <v>45541</v>
      </c>
      <c r="C943" s="22" t="s">
        <v>1609</v>
      </c>
      <c r="D943" s="22" t="s">
        <v>123</v>
      </c>
      <c r="E943" s="22" t="s">
        <v>2351</v>
      </c>
      <c r="F943" s="24">
        <v>7</v>
      </c>
      <c r="G943" s="24">
        <v>3160</v>
      </c>
      <c r="H943" s="24">
        <v>2.4</v>
      </c>
      <c r="I943" s="24">
        <v>21589.119999999999</v>
      </c>
      <c r="J943" s="22" t="s">
        <v>164</v>
      </c>
      <c r="K943" s="22" t="s">
        <v>134</v>
      </c>
      <c r="L943" t="str">
        <f>VLOOKUP(D943,Products!A:F,3,FALSE())</f>
        <v>Apparel</v>
      </c>
      <c r="M943" t="str">
        <f>VLOOKUP(C943,Customers!A:F,5,FALSE())</f>
        <v>Corporate</v>
      </c>
      <c r="O943" t="str">
        <f>IFERROR(VLOOKUP(E943,Sales_Reps!$A:$C,3,FALSE()),"")</f>
        <v/>
      </c>
      <c r="P943">
        <f>IFERROR(VLOOKUP(C943,Customers!$A:$C,3,FALSE()),"")</f>
        <v>55</v>
      </c>
      <c r="Q943" t="str">
        <f t="shared" si="14"/>
        <v>Sep-24</v>
      </c>
      <c r="R943">
        <f>IFERROR((VLOOKUP(D943,Products!$A:$E,5,FALSE())-VLOOKUP(D943,Products!$A:$E,4,FALSE()))/VLOOKUP(D943,Products!$A:$E,5,FALSE()),"")</f>
        <v>0.4031645569620253</v>
      </c>
    </row>
    <row r="944" spans="1:18" x14ac:dyDescent="0.3">
      <c r="A944" s="22" t="s">
        <v>2352</v>
      </c>
      <c r="B944" s="23">
        <v>45497</v>
      </c>
      <c r="C944" s="22" t="s">
        <v>1106</v>
      </c>
      <c r="D944" s="22" t="s">
        <v>108</v>
      </c>
      <c r="E944" s="22" t="s">
        <v>2353</v>
      </c>
      <c r="F944" s="24">
        <v>2</v>
      </c>
      <c r="G944" s="24">
        <v>820</v>
      </c>
      <c r="H944" s="24">
        <v>8.1</v>
      </c>
      <c r="I944" s="24">
        <v>1507.16</v>
      </c>
      <c r="J944" s="22" t="s">
        <v>104</v>
      </c>
      <c r="K944" s="22" t="s">
        <v>134</v>
      </c>
      <c r="L944" t="str">
        <f>VLOOKUP(D944,Products!A:F,3,FALSE())</f>
        <v>Apparel</v>
      </c>
      <c r="M944" t="str">
        <f>VLOOKUP(C944,Customers!A:F,5,FALSE())</f>
        <v>Corporate</v>
      </c>
      <c r="O944" t="str">
        <f>IFERROR(VLOOKUP(E944,Sales_Reps!$A:$C,3,FALSE()),"")</f>
        <v/>
      </c>
      <c r="P944">
        <f>IFERROR(VLOOKUP(C944,Customers!$A:$C,3,FALSE()),"")</f>
        <v>43</v>
      </c>
      <c r="Q944" t="str">
        <f t="shared" si="14"/>
        <v>Jul-24</v>
      </c>
      <c r="R944">
        <f>IFERROR((VLOOKUP(D944,Products!$A:$E,5,FALSE())-VLOOKUP(D944,Products!$A:$E,4,FALSE()))/VLOOKUP(D944,Products!$A:$E,5,FALSE()),"")</f>
        <v>0.52317073170731709</v>
      </c>
    </row>
    <row r="945" spans="1:18" x14ac:dyDescent="0.3">
      <c r="A945" s="22" t="s">
        <v>2354</v>
      </c>
      <c r="B945" s="23">
        <v>45567</v>
      </c>
      <c r="C945" s="22" t="s">
        <v>296</v>
      </c>
      <c r="D945" s="22" t="s">
        <v>308</v>
      </c>
      <c r="E945" s="22" t="s">
        <v>2355</v>
      </c>
      <c r="F945" s="24">
        <v>2</v>
      </c>
      <c r="G945" s="24">
        <v>1540</v>
      </c>
      <c r="H945" s="24">
        <v>17.7</v>
      </c>
      <c r="I945" s="24">
        <v>2534.84</v>
      </c>
      <c r="J945" s="22" t="s">
        <v>104</v>
      </c>
      <c r="K945" s="22" t="s">
        <v>134</v>
      </c>
      <c r="L945" t="str">
        <f>VLOOKUP(D945,Products!A:F,3,FALSE())</f>
        <v>Beauty</v>
      </c>
      <c r="M945" t="str">
        <f>VLOOKUP(C945,Customers!A:F,5,FALSE())</f>
        <v>SMB</v>
      </c>
      <c r="O945" t="str">
        <f>IFERROR(VLOOKUP(E945,Sales_Reps!$A:$C,3,FALSE()),"")</f>
        <v/>
      </c>
      <c r="P945">
        <f>IFERROR(VLOOKUP(C945,Customers!$A:$C,3,FALSE()),"")</f>
        <v>34</v>
      </c>
      <c r="Q945" t="str">
        <f t="shared" si="14"/>
        <v>Oct-24</v>
      </c>
      <c r="R945">
        <f>IFERROR((VLOOKUP(D945,Products!$A:$E,5,FALSE())-VLOOKUP(D945,Products!$A:$E,4,FALSE()))/VLOOKUP(D945,Products!$A:$E,5,FALSE()),"")</f>
        <v>0.57987012987012987</v>
      </c>
    </row>
    <row r="946" spans="1:18" x14ac:dyDescent="0.3">
      <c r="A946" s="22" t="s">
        <v>2356</v>
      </c>
      <c r="B946" s="23">
        <v>45451</v>
      </c>
      <c r="C946" s="22" t="s">
        <v>1109</v>
      </c>
      <c r="D946" s="22" t="s">
        <v>293</v>
      </c>
      <c r="E946" s="22" t="s">
        <v>2357</v>
      </c>
      <c r="F946" s="24">
        <v>10</v>
      </c>
      <c r="G946" s="24">
        <v>3870</v>
      </c>
      <c r="H946" s="24">
        <v>12.2</v>
      </c>
      <c r="I946" s="24">
        <v>33978.6</v>
      </c>
      <c r="J946" s="22" t="s">
        <v>164</v>
      </c>
      <c r="K946" s="22" t="s">
        <v>134</v>
      </c>
      <c r="L946" t="str">
        <f>VLOOKUP(D946,Products!A:F,3,FALSE())</f>
        <v>Electronics</v>
      </c>
      <c r="M946" t="str">
        <f>VLOOKUP(C946,Customers!A:F,5,FALSE())</f>
        <v>Retail</v>
      </c>
      <c r="O946" t="str">
        <f>IFERROR(VLOOKUP(E946,Sales_Reps!$A:$C,3,FALSE()),"")</f>
        <v/>
      </c>
      <c r="P946">
        <f>IFERROR(VLOOKUP(C946,Customers!$A:$C,3,FALSE()),"")</f>
        <v>29</v>
      </c>
      <c r="Q946" t="str">
        <f t="shared" si="14"/>
        <v>Jun-24</v>
      </c>
      <c r="R946">
        <f>IFERROR((VLOOKUP(D946,Products!$A:$E,5,FALSE())-VLOOKUP(D946,Products!$A:$E,4,FALSE()))/VLOOKUP(D946,Products!$A:$E,5,FALSE()),"")</f>
        <v>0.59715762273901807</v>
      </c>
    </row>
    <row r="947" spans="1:18" x14ac:dyDescent="0.3">
      <c r="A947" s="22" t="s">
        <v>2358</v>
      </c>
      <c r="B947" s="23">
        <v>45488</v>
      </c>
      <c r="C947" s="22" t="s">
        <v>497</v>
      </c>
      <c r="D947" s="22" t="s">
        <v>334</v>
      </c>
      <c r="E947" s="22" t="s">
        <v>2359</v>
      </c>
      <c r="F947" s="24">
        <v>7</v>
      </c>
      <c r="G947" s="24">
        <v>2660</v>
      </c>
      <c r="H947" s="24">
        <v>4.7</v>
      </c>
      <c r="I947" s="24">
        <v>17744.86</v>
      </c>
      <c r="J947" s="22" t="s">
        <v>104</v>
      </c>
      <c r="K947" s="22" t="s">
        <v>129</v>
      </c>
      <c r="L947" t="str">
        <f>VLOOKUP(D947,Products!A:F,3,FALSE())</f>
        <v>Electronics</v>
      </c>
      <c r="M947" t="str">
        <f>VLOOKUP(C947,Customers!A:F,5,FALSE())</f>
        <v>Retail</v>
      </c>
      <c r="O947" t="str">
        <f>IFERROR(VLOOKUP(E947,Sales_Reps!$A:$C,3,FALSE()),"")</f>
        <v/>
      </c>
      <c r="P947">
        <f>IFERROR(VLOOKUP(C947,Customers!$A:$C,3,FALSE()),"")</f>
        <v>50</v>
      </c>
      <c r="Q947" t="str">
        <f t="shared" si="14"/>
        <v>Jul-24</v>
      </c>
      <c r="R947">
        <f>IFERROR((VLOOKUP(D947,Products!$A:$E,5,FALSE())-VLOOKUP(D947,Products!$A:$E,4,FALSE()))/VLOOKUP(D947,Products!$A:$E,5,FALSE()),"")</f>
        <v>0.52669172932330832</v>
      </c>
    </row>
    <row r="948" spans="1:18" x14ac:dyDescent="0.3">
      <c r="A948" s="22" t="s">
        <v>2360</v>
      </c>
      <c r="B948" s="23">
        <v>45431</v>
      </c>
      <c r="C948" s="22" t="s">
        <v>511</v>
      </c>
      <c r="D948" s="22" t="s">
        <v>216</v>
      </c>
      <c r="E948" s="22" t="s">
        <v>2361</v>
      </c>
      <c r="F948" s="24">
        <v>4</v>
      </c>
      <c r="G948" s="24">
        <v>3570</v>
      </c>
      <c r="H948" s="24">
        <v>19.3</v>
      </c>
      <c r="I948" s="24">
        <v>11523.96</v>
      </c>
      <c r="J948" s="22" t="s">
        <v>104</v>
      </c>
      <c r="K948" s="22" t="s">
        <v>111</v>
      </c>
      <c r="L948" t="str">
        <f>VLOOKUP(D948,Products!A:F,3,FALSE())</f>
        <v>Electronics</v>
      </c>
      <c r="M948" t="str">
        <f>VLOOKUP(C948,Customers!A:F,5,FALSE())</f>
        <v>SMB</v>
      </c>
      <c r="O948" t="str">
        <f>IFERROR(VLOOKUP(E948,Sales_Reps!$A:$C,3,FALSE()),"")</f>
        <v/>
      </c>
      <c r="P948">
        <f>IFERROR(VLOOKUP(C948,Customers!$A:$C,3,FALSE()),"")</f>
        <v>51</v>
      </c>
      <c r="Q948" t="str">
        <f t="shared" si="14"/>
        <v>May-24</v>
      </c>
      <c r="R948">
        <f>IFERROR((VLOOKUP(D948,Products!$A:$E,5,FALSE())-VLOOKUP(D948,Products!$A:$E,4,FALSE()))/VLOOKUP(D948,Products!$A:$E,5,FALSE()),"")</f>
        <v>0.53361344537815125</v>
      </c>
    </row>
    <row r="949" spans="1:18" x14ac:dyDescent="0.3">
      <c r="A949" s="22" t="s">
        <v>2362</v>
      </c>
      <c r="B949" s="23">
        <v>45393</v>
      </c>
      <c r="C949" s="22" t="s">
        <v>215</v>
      </c>
      <c r="D949" s="22" t="s">
        <v>356</v>
      </c>
      <c r="E949" s="22" t="s">
        <v>2363</v>
      </c>
      <c r="F949" s="24">
        <v>2</v>
      </c>
      <c r="G949" s="24">
        <v>2030</v>
      </c>
      <c r="H949" s="24">
        <v>2.6</v>
      </c>
      <c r="I949" s="24">
        <v>3954.44</v>
      </c>
      <c r="J949" s="22" t="s">
        <v>104</v>
      </c>
      <c r="K949" s="22" t="s">
        <v>111</v>
      </c>
      <c r="L949" t="str">
        <f>VLOOKUP(D949,Products!A:F,3,FALSE())</f>
        <v>Home</v>
      </c>
      <c r="M949" t="str">
        <f>VLOOKUP(C949,Customers!A:F,5,FALSE())</f>
        <v>SMB</v>
      </c>
      <c r="O949" t="str">
        <f>IFERROR(VLOOKUP(E949,Sales_Reps!$A:$C,3,FALSE()),"")</f>
        <v/>
      </c>
      <c r="P949">
        <f>IFERROR(VLOOKUP(C949,Customers!$A:$C,3,FALSE()),"")</f>
        <v>52</v>
      </c>
      <c r="Q949" t="str">
        <f t="shared" si="14"/>
        <v>Apr-24</v>
      </c>
      <c r="R949">
        <f>IFERROR((VLOOKUP(D949,Products!$A:$E,5,FALSE())-VLOOKUP(D949,Products!$A:$E,4,FALSE()))/VLOOKUP(D949,Products!$A:$E,5,FALSE()),"")</f>
        <v>0.43694581280788175</v>
      </c>
    </row>
    <row r="950" spans="1:18" x14ac:dyDescent="0.3">
      <c r="A950" s="22" t="s">
        <v>2364</v>
      </c>
      <c r="B950" s="23">
        <v>45427</v>
      </c>
      <c r="C950" s="22" t="s">
        <v>594</v>
      </c>
      <c r="D950" s="22" t="s">
        <v>123</v>
      </c>
      <c r="E950" s="22" t="s">
        <v>2365</v>
      </c>
      <c r="F950" s="24">
        <v>6</v>
      </c>
      <c r="G950" s="24">
        <v>3160</v>
      </c>
      <c r="H950" s="24">
        <v>25.8</v>
      </c>
      <c r="I950" s="24">
        <v>14068.32</v>
      </c>
      <c r="J950" s="22" t="s">
        <v>104</v>
      </c>
      <c r="K950" s="22" t="s">
        <v>151</v>
      </c>
      <c r="L950" t="str">
        <f>VLOOKUP(D950,Products!A:F,3,FALSE())</f>
        <v>Apparel</v>
      </c>
      <c r="M950" t="str">
        <f>VLOOKUP(C950,Customers!A:F,5,FALSE())</f>
        <v>Corporate</v>
      </c>
      <c r="O950" t="str">
        <f>IFERROR(VLOOKUP(E950,Sales_Reps!$A:$C,3,FALSE()),"")</f>
        <v/>
      </c>
      <c r="P950">
        <f>IFERROR(VLOOKUP(C950,Customers!$A:$C,3,FALSE()),"")</f>
        <v>43</v>
      </c>
      <c r="Q950" t="str">
        <f t="shared" si="14"/>
        <v>May-24</v>
      </c>
      <c r="R950">
        <f>IFERROR((VLOOKUP(D950,Products!$A:$E,5,FALSE())-VLOOKUP(D950,Products!$A:$E,4,FALSE()))/VLOOKUP(D950,Products!$A:$E,5,FALSE()),"")</f>
        <v>0.4031645569620253</v>
      </c>
    </row>
    <row r="951" spans="1:18" x14ac:dyDescent="0.3">
      <c r="A951" s="22" t="s">
        <v>2366</v>
      </c>
      <c r="B951" s="23">
        <v>45591</v>
      </c>
      <c r="C951" s="22" t="s">
        <v>706</v>
      </c>
      <c r="D951" s="22" t="s">
        <v>577</v>
      </c>
      <c r="E951" s="22" t="s">
        <v>2367</v>
      </c>
      <c r="F951" s="24">
        <v>4</v>
      </c>
      <c r="G951" s="24">
        <v>5080</v>
      </c>
      <c r="H951" s="24">
        <v>2</v>
      </c>
      <c r="I951" s="24">
        <v>19913.599999999999</v>
      </c>
      <c r="J951" s="22" t="s">
        <v>104</v>
      </c>
      <c r="K951" s="22" t="s">
        <v>2368</v>
      </c>
      <c r="L951" t="str">
        <f>VLOOKUP(D951,Products!A:F,3,FALSE())</f>
        <v>Home</v>
      </c>
      <c r="M951" t="str">
        <f>VLOOKUP(C951,Customers!A:F,5,FALSE())</f>
        <v>SMB</v>
      </c>
      <c r="O951" t="str">
        <f>IFERROR(VLOOKUP(E951,Sales_Reps!$A:$C,3,FALSE()),"")</f>
        <v/>
      </c>
      <c r="P951">
        <f>IFERROR(VLOOKUP(C951,Customers!$A:$C,3,FALSE()),"")</f>
        <v>55</v>
      </c>
      <c r="Q951" t="str">
        <f t="shared" si="14"/>
        <v>Oct-24</v>
      </c>
      <c r="R951">
        <f>IFERROR((VLOOKUP(D951,Products!$A:$E,5,FALSE())-VLOOKUP(D951,Products!$A:$E,4,FALSE()))/VLOOKUP(D951,Products!$A:$E,5,FALSE()),"")</f>
        <v>0.51594488188976373</v>
      </c>
    </row>
    <row r="952" spans="1:18" x14ac:dyDescent="0.3">
      <c r="A952" s="22" t="s">
        <v>2369</v>
      </c>
      <c r="B952" s="23">
        <v>45327</v>
      </c>
      <c r="C952" s="22" t="s">
        <v>604</v>
      </c>
      <c r="D952" s="22" t="s">
        <v>178</v>
      </c>
      <c r="E952" s="22" t="s">
        <v>2370</v>
      </c>
      <c r="F952" s="24">
        <v>6</v>
      </c>
      <c r="G952" s="24">
        <v>3450</v>
      </c>
      <c r="H952" s="24">
        <v>1.8</v>
      </c>
      <c r="I952" s="24">
        <v>20327.400000000001</v>
      </c>
      <c r="J952" s="22" t="s">
        <v>159</v>
      </c>
      <c r="K952" s="22" t="s">
        <v>105</v>
      </c>
      <c r="L952" t="str">
        <f>VLOOKUP(D952,Products!A:F,3,FALSE())</f>
        <v>Beauty</v>
      </c>
      <c r="M952" t="str">
        <f>VLOOKUP(C952,Customers!A:F,5,FALSE())</f>
        <v>Corporate</v>
      </c>
      <c r="O952" t="str">
        <f>IFERROR(VLOOKUP(E952,Sales_Reps!$A:$C,3,FALSE()),"")</f>
        <v/>
      </c>
      <c r="P952">
        <f>IFERROR(VLOOKUP(C952,Customers!$A:$C,3,FALSE()),"")</f>
        <v>37</v>
      </c>
      <c r="Q952" t="str">
        <f t="shared" si="14"/>
        <v>Feb-24</v>
      </c>
      <c r="R952">
        <f>IFERROR((VLOOKUP(D952,Products!$A:$E,5,FALSE())-VLOOKUP(D952,Products!$A:$E,4,FALSE()))/VLOOKUP(D952,Products!$A:$E,5,FALSE()),"")</f>
        <v>0.29855072463768118</v>
      </c>
    </row>
    <row r="953" spans="1:18" x14ac:dyDescent="0.3">
      <c r="A953" s="22" t="s">
        <v>2371</v>
      </c>
      <c r="B953" s="23">
        <v>45575</v>
      </c>
      <c r="C953" s="22" t="s">
        <v>830</v>
      </c>
      <c r="D953" s="22" t="s">
        <v>182</v>
      </c>
      <c r="E953" s="22" t="s">
        <v>2372</v>
      </c>
      <c r="F953" s="24">
        <v>3</v>
      </c>
      <c r="G953" s="24">
        <v>3450</v>
      </c>
      <c r="H953" s="24">
        <v>4.7</v>
      </c>
      <c r="I953" s="24">
        <v>9863.5499999999993</v>
      </c>
      <c r="J953" s="22" t="s">
        <v>110</v>
      </c>
      <c r="K953" s="22" t="s">
        <v>129</v>
      </c>
      <c r="L953" t="str">
        <f>VLOOKUP(D953,Products!A:F,3,FALSE())</f>
        <v>Sports</v>
      </c>
      <c r="M953" t="str">
        <f>VLOOKUP(C953,Customers!A:F,5,FALSE())</f>
        <v>Retail</v>
      </c>
      <c r="O953" t="str">
        <f>IFERROR(VLOOKUP(E953,Sales_Reps!$A:$C,3,FALSE()),"")</f>
        <v/>
      </c>
      <c r="P953">
        <f>IFERROR(VLOOKUP(C953,Customers!$A:$C,3,FALSE()),"")</f>
        <v>39</v>
      </c>
      <c r="Q953" t="str">
        <f t="shared" si="14"/>
        <v>Oct-24</v>
      </c>
      <c r="R953">
        <f>IFERROR((VLOOKUP(D953,Products!$A:$E,5,FALSE())-VLOOKUP(D953,Products!$A:$E,4,FALSE()))/VLOOKUP(D953,Products!$A:$E,5,FALSE()),"")</f>
        <v>0.28492753623188405</v>
      </c>
    </row>
    <row r="954" spans="1:18" x14ac:dyDescent="0.3">
      <c r="A954" s="22" t="s">
        <v>2373</v>
      </c>
      <c r="B954" s="23">
        <v>45367</v>
      </c>
      <c r="C954" s="22" t="s">
        <v>240</v>
      </c>
      <c r="D954" s="22" t="s">
        <v>455</v>
      </c>
      <c r="E954" s="22" t="s">
        <v>2374</v>
      </c>
      <c r="F954" s="24">
        <v>7</v>
      </c>
      <c r="G954" s="24">
        <v>5330</v>
      </c>
      <c r="H954" s="24">
        <v>16.399999999999999</v>
      </c>
      <c r="I954" s="24">
        <v>31191.16</v>
      </c>
      <c r="J954" s="22" t="s">
        <v>104</v>
      </c>
      <c r="K954" s="22" t="s">
        <v>151</v>
      </c>
      <c r="L954" t="str">
        <f>VLOOKUP(D954,Products!A:F,3,FALSE())</f>
        <v>Electronics</v>
      </c>
      <c r="M954" t="str">
        <f>VLOOKUP(C954,Customers!A:F,5,FALSE())</f>
        <v>Retail</v>
      </c>
      <c r="O954" t="str">
        <f>IFERROR(VLOOKUP(E954,Sales_Reps!$A:$C,3,FALSE()),"")</f>
        <v/>
      </c>
      <c r="P954">
        <f>IFERROR(VLOOKUP(C954,Customers!$A:$C,3,FALSE()),"")</f>
        <v>26</v>
      </c>
      <c r="Q954" t="str">
        <f t="shared" si="14"/>
        <v>Mar-24</v>
      </c>
      <c r="R954">
        <f>IFERROR((VLOOKUP(D954,Products!$A:$E,5,FALSE())-VLOOKUP(D954,Products!$A:$E,4,FALSE()))/VLOOKUP(D954,Products!$A:$E,5,FALSE()),"")</f>
        <v>0.54878048780487809</v>
      </c>
    </row>
    <row r="955" spans="1:18" x14ac:dyDescent="0.3">
      <c r="A955" s="22" t="s">
        <v>2375</v>
      </c>
      <c r="B955" s="23">
        <v>45522</v>
      </c>
      <c r="C955" s="22" t="s">
        <v>844</v>
      </c>
      <c r="D955" s="22" t="s">
        <v>419</v>
      </c>
      <c r="E955" s="22" t="s">
        <v>2376</v>
      </c>
      <c r="F955" s="24">
        <v>6</v>
      </c>
      <c r="G955" s="24">
        <v>2210</v>
      </c>
      <c r="H955" s="24">
        <v>13.1</v>
      </c>
      <c r="I955" s="24">
        <v>11522.94</v>
      </c>
      <c r="J955" s="22" t="s">
        <v>104</v>
      </c>
      <c r="K955" s="22" t="s">
        <v>129</v>
      </c>
      <c r="L955" t="str">
        <f>VLOOKUP(D955,Products!A:F,3,FALSE())</f>
        <v>Grocery</v>
      </c>
      <c r="M955" t="str">
        <f>VLOOKUP(C955,Customers!A:F,5,FALSE())</f>
        <v>Retail</v>
      </c>
      <c r="O955" t="str">
        <f>IFERROR(VLOOKUP(E955,Sales_Reps!$A:$C,3,FALSE()),"")</f>
        <v/>
      </c>
      <c r="P955">
        <f>IFERROR(VLOOKUP(C955,Customers!$A:$C,3,FALSE()),"")</f>
        <v>52</v>
      </c>
      <c r="Q955" t="str">
        <f t="shared" si="14"/>
        <v>Aug-24</v>
      </c>
      <c r="R955">
        <f>IFERROR((VLOOKUP(D955,Products!$A:$E,5,FALSE())-VLOOKUP(D955,Products!$A:$E,4,FALSE()))/VLOOKUP(D955,Products!$A:$E,5,FALSE()),"")</f>
        <v>0.54298642533936647</v>
      </c>
    </row>
    <row r="956" spans="1:18" x14ac:dyDescent="0.3">
      <c r="A956" s="22" t="s">
        <v>2377</v>
      </c>
      <c r="B956" s="23">
        <v>45579</v>
      </c>
      <c r="C956" s="22" t="s">
        <v>584</v>
      </c>
      <c r="D956" s="22" t="s">
        <v>186</v>
      </c>
      <c r="E956" s="22" t="s">
        <v>2378</v>
      </c>
      <c r="F956" s="24">
        <v>8</v>
      </c>
      <c r="G956" s="24">
        <v>1080</v>
      </c>
      <c r="H956" s="24">
        <v>8.6999999999999993</v>
      </c>
      <c r="I956" s="24">
        <v>7888.32</v>
      </c>
      <c r="J956" s="22" t="s">
        <v>104</v>
      </c>
      <c r="K956" s="22" t="s">
        <v>129</v>
      </c>
      <c r="L956" t="str">
        <f>VLOOKUP(D956,Products!A:F,3,FALSE())</f>
        <v>Home</v>
      </c>
      <c r="M956" t="str">
        <f>VLOOKUP(C956,Customers!A:F,5,FALSE())</f>
        <v>Retail</v>
      </c>
      <c r="O956" t="str">
        <f>IFERROR(VLOOKUP(E956,Sales_Reps!$A:$C,3,FALSE()),"")</f>
        <v/>
      </c>
      <c r="P956">
        <f>IFERROR(VLOOKUP(C956,Customers!$A:$C,3,FALSE()),"")</f>
        <v>41</v>
      </c>
      <c r="Q956" t="str">
        <f t="shared" si="14"/>
        <v>Oct-24</v>
      </c>
      <c r="R956">
        <f>IFERROR((VLOOKUP(D956,Products!$A:$E,5,FALSE())-VLOOKUP(D956,Products!$A:$E,4,FALSE()))/VLOOKUP(D956,Products!$A:$E,5,FALSE()),"")</f>
        <v>0.51944444444444449</v>
      </c>
    </row>
    <row r="957" spans="1:18" x14ac:dyDescent="0.3">
      <c r="A957" s="22" t="s">
        <v>2379</v>
      </c>
      <c r="B957" s="23">
        <v>45495</v>
      </c>
      <c r="C957" s="22" t="s">
        <v>473</v>
      </c>
      <c r="D957" s="22" t="s">
        <v>102</v>
      </c>
      <c r="E957" s="22" t="s">
        <v>2380</v>
      </c>
      <c r="F957" s="24">
        <v>5</v>
      </c>
      <c r="G957" s="24">
        <v>3620</v>
      </c>
      <c r="H957" s="24">
        <v>16.100000000000001</v>
      </c>
      <c r="I957" s="24">
        <v>15185.9</v>
      </c>
      <c r="J957" s="22" t="s">
        <v>104</v>
      </c>
      <c r="K957" s="22" t="s">
        <v>134</v>
      </c>
      <c r="L957" t="str">
        <f>VLOOKUP(D957,Products!A:F,3,FALSE())</f>
        <v>Apparel</v>
      </c>
      <c r="M957" t="str">
        <f>VLOOKUP(C957,Customers!A:F,5,FALSE())</f>
        <v>SMB</v>
      </c>
      <c r="O957" t="str">
        <f>IFERROR(VLOOKUP(E957,Sales_Reps!$A:$C,3,FALSE()),"")</f>
        <v/>
      </c>
      <c r="P957">
        <f>IFERROR(VLOOKUP(C957,Customers!$A:$C,3,FALSE()),"")</f>
        <v>44</v>
      </c>
      <c r="Q957" t="str">
        <f t="shared" si="14"/>
        <v>Jul-24</v>
      </c>
      <c r="R957">
        <f>IFERROR((VLOOKUP(D957,Products!$A:$E,5,FALSE())-VLOOKUP(D957,Products!$A:$E,4,FALSE()))/VLOOKUP(D957,Products!$A:$E,5,FALSE()),"")</f>
        <v>0.3069060773480663</v>
      </c>
    </row>
    <row r="958" spans="1:18" x14ac:dyDescent="0.3">
      <c r="A958" s="22" t="s">
        <v>2381</v>
      </c>
      <c r="B958" s="23">
        <v>45483</v>
      </c>
      <c r="C958" s="22" t="s">
        <v>126</v>
      </c>
      <c r="D958" s="22" t="s">
        <v>935</v>
      </c>
      <c r="E958" s="22" t="s">
        <v>2382</v>
      </c>
      <c r="F958" s="24">
        <v>7</v>
      </c>
      <c r="G958" s="24">
        <v>3560</v>
      </c>
      <c r="H958" s="24">
        <v>8.5</v>
      </c>
      <c r="I958" s="24">
        <v>22801.8</v>
      </c>
      <c r="J958" s="22" t="s">
        <v>104</v>
      </c>
      <c r="K958" s="22" t="s">
        <v>129</v>
      </c>
      <c r="L958" t="str">
        <f>VLOOKUP(D958,Products!A:F,3,FALSE())</f>
        <v>Apparel</v>
      </c>
      <c r="M958" t="str">
        <f>VLOOKUP(C958,Customers!A:F,5,FALSE())</f>
        <v>Retail</v>
      </c>
      <c r="O958" t="str">
        <f>IFERROR(VLOOKUP(E958,Sales_Reps!$A:$C,3,FALSE()),"")</f>
        <v/>
      </c>
      <c r="P958">
        <f>IFERROR(VLOOKUP(C958,Customers!$A:$C,3,FALSE()),"")</f>
        <v>36</v>
      </c>
      <c r="Q958" t="str">
        <f t="shared" si="14"/>
        <v>Jul-24</v>
      </c>
      <c r="R958">
        <f>IFERROR((VLOOKUP(D958,Products!$A:$E,5,FALSE())-VLOOKUP(D958,Products!$A:$E,4,FALSE()))/VLOOKUP(D958,Products!$A:$E,5,FALSE()),"")</f>
        <v>0.26151685393258428</v>
      </c>
    </row>
    <row r="959" spans="1:18" x14ac:dyDescent="0.3">
      <c r="A959" s="22" t="s">
        <v>2383</v>
      </c>
      <c r="B959" s="23">
        <v>45496</v>
      </c>
      <c r="C959" s="22" t="s">
        <v>364</v>
      </c>
      <c r="D959" s="22" t="s">
        <v>356</v>
      </c>
      <c r="E959" s="22" t="s">
        <v>2384</v>
      </c>
      <c r="F959" s="24">
        <v>8</v>
      </c>
      <c r="G959" s="24">
        <v>2030</v>
      </c>
      <c r="H959" s="24">
        <v>18.100000000000001</v>
      </c>
      <c r="I959" s="24">
        <v>13300.56</v>
      </c>
      <c r="J959" s="22" t="s">
        <v>104</v>
      </c>
      <c r="K959" s="22" t="s">
        <v>111</v>
      </c>
      <c r="L959" t="str">
        <f>VLOOKUP(D959,Products!A:F,3,FALSE())</f>
        <v>Home</v>
      </c>
      <c r="M959" t="str">
        <f>VLOOKUP(C959,Customers!A:F,5,FALSE())</f>
        <v>Retail</v>
      </c>
      <c r="O959" t="str">
        <f>IFERROR(VLOOKUP(E959,Sales_Reps!$A:$C,3,FALSE()),"")</f>
        <v/>
      </c>
      <c r="P959">
        <f>IFERROR(VLOOKUP(C959,Customers!$A:$C,3,FALSE()),"")</f>
        <v>41</v>
      </c>
      <c r="Q959" t="str">
        <f t="shared" si="14"/>
        <v>Jul-24</v>
      </c>
      <c r="R959">
        <f>IFERROR((VLOOKUP(D959,Products!$A:$E,5,FALSE())-VLOOKUP(D959,Products!$A:$E,4,FALSE()))/VLOOKUP(D959,Products!$A:$E,5,FALSE()),"")</f>
        <v>0.43694581280788175</v>
      </c>
    </row>
    <row r="960" spans="1:18" x14ac:dyDescent="0.3">
      <c r="A960" s="22" t="s">
        <v>2385</v>
      </c>
      <c r="B960" s="23">
        <v>45350</v>
      </c>
      <c r="C960" s="22" t="s">
        <v>2125</v>
      </c>
      <c r="D960" s="22" t="s">
        <v>201</v>
      </c>
      <c r="E960" s="22" t="s">
        <v>2386</v>
      </c>
      <c r="F960" s="24">
        <v>10</v>
      </c>
      <c r="G960" s="24">
        <v>1650</v>
      </c>
      <c r="H960" s="24">
        <v>7.1</v>
      </c>
      <c r="I960" s="24">
        <v>15328.5</v>
      </c>
      <c r="J960" s="22" t="s">
        <v>104</v>
      </c>
      <c r="K960" s="22" t="s">
        <v>111</v>
      </c>
      <c r="L960" t="str">
        <f>VLOOKUP(D960,Products!A:F,3,FALSE())</f>
        <v>Beauty</v>
      </c>
      <c r="M960" t="str">
        <f>VLOOKUP(C960,Customers!A:F,5,FALSE())</f>
        <v>SMB</v>
      </c>
      <c r="O960" t="str">
        <f>IFERROR(VLOOKUP(E960,Sales_Reps!$A:$C,3,FALSE()),"")</f>
        <v/>
      </c>
      <c r="P960">
        <f>IFERROR(VLOOKUP(C960,Customers!$A:$C,3,FALSE()),"")</f>
        <v>51</v>
      </c>
      <c r="Q960" t="str">
        <f t="shared" si="14"/>
        <v>Feb-24</v>
      </c>
      <c r="R960">
        <f>IFERROR((VLOOKUP(D960,Products!$A:$E,5,FALSE())-VLOOKUP(D960,Products!$A:$E,4,FALSE()))/VLOOKUP(D960,Products!$A:$E,5,FALSE()),"")</f>
        <v>0.2593939393939394</v>
      </c>
    </row>
    <row r="961" spans="1:18" x14ac:dyDescent="0.3">
      <c r="A961" s="22" t="s">
        <v>2387</v>
      </c>
      <c r="B961" s="23">
        <v>45517</v>
      </c>
      <c r="C961" s="22" t="s">
        <v>673</v>
      </c>
      <c r="D961" s="22" t="s">
        <v>231</v>
      </c>
      <c r="E961" s="22" t="s">
        <v>2388</v>
      </c>
      <c r="F961" s="24">
        <v>4</v>
      </c>
      <c r="G961" s="24">
        <v>2760</v>
      </c>
      <c r="H961" s="24">
        <v>17.600000000000001</v>
      </c>
      <c r="I961" s="24">
        <v>9096.9599999999991</v>
      </c>
      <c r="J961" s="22" t="s">
        <v>159</v>
      </c>
      <c r="K961" s="22" t="s">
        <v>151</v>
      </c>
      <c r="L961" t="str">
        <f>VLOOKUP(D961,Products!A:F,3,FALSE())</f>
        <v>Grocery</v>
      </c>
      <c r="M961" t="str">
        <f>VLOOKUP(C961,Customers!A:F,5,FALSE())</f>
        <v>SMB</v>
      </c>
      <c r="O961" t="str">
        <f>IFERROR(VLOOKUP(E961,Sales_Reps!$A:$C,3,FALSE()),"")</f>
        <v/>
      </c>
      <c r="P961">
        <f>IFERROR(VLOOKUP(C961,Customers!$A:$C,3,FALSE()),"")</f>
        <v>65</v>
      </c>
      <c r="Q961" t="str">
        <f t="shared" si="14"/>
        <v>Aug-24</v>
      </c>
      <c r="R961">
        <f>IFERROR((VLOOKUP(D961,Products!$A:$E,5,FALSE())-VLOOKUP(D961,Products!$A:$E,4,FALSE()))/VLOOKUP(D961,Products!$A:$E,5,FALSE()),"")</f>
        <v>0.48007246376811596</v>
      </c>
    </row>
    <row r="962" spans="1:18" x14ac:dyDescent="0.3">
      <c r="A962" s="22" t="s">
        <v>2389</v>
      </c>
      <c r="B962" s="23">
        <v>45460</v>
      </c>
      <c r="C962" s="22" t="s">
        <v>783</v>
      </c>
      <c r="D962" s="22" t="s">
        <v>521</v>
      </c>
      <c r="E962" s="22" t="s">
        <v>2390</v>
      </c>
      <c r="F962" s="24">
        <v>4</v>
      </c>
      <c r="G962" s="24">
        <v>3970</v>
      </c>
      <c r="H962" s="24">
        <v>4.3</v>
      </c>
      <c r="I962" s="24">
        <v>15197.16</v>
      </c>
      <c r="J962" s="22" t="s">
        <v>104</v>
      </c>
      <c r="K962" s="22" t="s">
        <v>116</v>
      </c>
      <c r="L962" t="str">
        <f>VLOOKUP(D962,Products!A:F,3,FALSE())</f>
        <v>Electronics</v>
      </c>
      <c r="M962" t="str">
        <f>VLOOKUP(C962,Customers!A:F,5,FALSE())</f>
        <v>Corporate</v>
      </c>
      <c r="O962" t="str">
        <f>IFERROR(VLOOKUP(E962,Sales_Reps!$A:$C,3,FALSE()),"")</f>
        <v/>
      </c>
      <c r="P962">
        <f>IFERROR(VLOOKUP(C962,Customers!$A:$C,3,FALSE()),"")</f>
        <v>47</v>
      </c>
      <c r="Q962" t="str">
        <f t="shared" ref="Q962:Q1025" si="15">TEXT(B962,"mmm-yy")</f>
        <v>Jun-24</v>
      </c>
      <c r="R962">
        <f>IFERROR((VLOOKUP(D962,Products!$A:$E,5,FALSE())-VLOOKUP(D962,Products!$A:$E,4,FALSE()))/VLOOKUP(D962,Products!$A:$E,5,FALSE()),"")</f>
        <v>0.27833753148614609</v>
      </c>
    </row>
    <row r="963" spans="1:18" x14ac:dyDescent="0.3">
      <c r="A963" s="22" t="s">
        <v>2391</v>
      </c>
      <c r="B963" s="23">
        <v>45509</v>
      </c>
      <c r="C963" s="22" t="s">
        <v>635</v>
      </c>
      <c r="D963" s="22" t="s">
        <v>283</v>
      </c>
      <c r="E963" s="22" t="s">
        <v>2392</v>
      </c>
      <c r="F963" s="24">
        <v>2</v>
      </c>
      <c r="G963" s="24">
        <v>6080</v>
      </c>
      <c r="H963" s="24">
        <v>23.8</v>
      </c>
      <c r="I963" s="24">
        <v>9265.92</v>
      </c>
      <c r="J963" s="22" t="s">
        <v>104</v>
      </c>
      <c r="K963" s="22" t="s">
        <v>105</v>
      </c>
      <c r="L963" t="str">
        <f>VLOOKUP(D963,Products!A:F,3,FALSE())</f>
        <v>Beauty</v>
      </c>
      <c r="M963" t="str">
        <f>VLOOKUP(C963,Customers!A:F,5,FALSE())</f>
        <v>SMB</v>
      </c>
      <c r="O963" t="str">
        <f>IFERROR(VLOOKUP(E963,Sales_Reps!$A:$C,3,FALSE()),"")</f>
        <v/>
      </c>
      <c r="P963">
        <f>IFERROR(VLOOKUP(C963,Customers!$A:$C,3,FALSE()),"")</f>
        <v>49</v>
      </c>
      <c r="Q963" t="str">
        <f t="shared" si="15"/>
        <v>Aug-24</v>
      </c>
      <c r="R963">
        <f>IFERROR((VLOOKUP(D963,Products!$A:$E,5,FALSE())-VLOOKUP(D963,Products!$A:$E,4,FALSE()))/VLOOKUP(D963,Products!$A:$E,5,FALSE()),"")</f>
        <v>0.56957236842105263</v>
      </c>
    </row>
    <row r="964" spans="1:18" x14ac:dyDescent="0.3">
      <c r="A964" s="22" t="s">
        <v>2393</v>
      </c>
      <c r="B964" s="23">
        <v>45602</v>
      </c>
      <c r="C964" s="22" t="s">
        <v>468</v>
      </c>
      <c r="D964" s="22" t="s">
        <v>149</v>
      </c>
      <c r="E964" s="22" t="s">
        <v>2394</v>
      </c>
      <c r="F964" s="24">
        <v>4</v>
      </c>
      <c r="G964" s="24">
        <v>2270</v>
      </c>
      <c r="H964" s="24">
        <v>28.9</v>
      </c>
      <c r="I964" s="24">
        <v>6455.88</v>
      </c>
      <c r="J964" s="22" t="s">
        <v>104</v>
      </c>
      <c r="K964" s="22" t="s">
        <v>105</v>
      </c>
      <c r="L964" t="str">
        <f>VLOOKUP(D964,Products!A:F,3,FALSE())</f>
        <v>Grocery</v>
      </c>
      <c r="M964" t="str">
        <f>VLOOKUP(C964,Customers!A:F,5,FALSE())</f>
        <v>Retail</v>
      </c>
      <c r="O964" t="str">
        <f>IFERROR(VLOOKUP(E964,Sales_Reps!$A:$C,3,FALSE()),"")</f>
        <v/>
      </c>
      <c r="P964">
        <f>IFERROR(VLOOKUP(C964,Customers!$A:$C,3,FALSE()),"")</f>
        <v>43</v>
      </c>
      <c r="Q964" t="str">
        <f t="shared" si="15"/>
        <v>Nov-24</v>
      </c>
      <c r="R964">
        <f>IFERROR((VLOOKUP(D964,Products!$A:$E,5,FALSE())-VLOOKUP(D964,Products!$A:$E,4,FALSE()))/VLOOKUP(D964,Products!$A:$E,5,FALSE()),"")</f>
        <v>0.47004405286343615</v>
      </c>
    </row>
    <row r="965" spans="1:18" x14ac:dyDescent="0.3">
      <c r="A965" s="22" t="s">
        <v>2395</v>
      </c>
      <c r="B965" s="23">
        <v>45441</v>
      </c>
      <c r="C965" s="22" t="s">
        <v>227</v>
      </c>
      <c r="D965" s="22" t="s">
        <v>521</v>
      </c>
      <c r="E965" s="22" t="s">
        <v>2396</v>
      </c>
      <c r="F965" s="24">
        <v>10</v>
      </c>
      <c r="G965" s="24">
        <v>3970</v>
      </c>
      <c r="H965" s="24">
        <v>26.2</v>
      </c>
      <c r="I965" s="24">
        <v>29298.6</v>
      </c>
      <c r="J965" s="22" t="s">
        <v>104</v>
      </c>
      <c r="K965" s="22" t="s">
        <v>105</v>
      </c>
      <c r="L965" t="str">
        <f>VLOOKUP(D965,Products!A:F,3,FALSE())</f>
        <v>Electronics</v>
      </c>
      <c r="M965" t="str">
        <f>VLOOKUP(C965,Customers!A:F,5,FALSE())</f>
        <v>Corporate</v>
      </c>
      <c r="O965" t="str">
        <f>IFERROR(VLOOKUP(E965,Sales_Reps!$A:$C,3,FALSE()),"")</f>
        <v/>
      </c>
      <c r="P965">
        <f>IFERROR(VLOOKUP(C965,Customers!$A:$C,3,FALSE()),"")</f>
        <v>47</v>
      </c>
      <c r="Q965" t="str">
        <f t="shared" si="15"/>
        <v>May-24</v>
      </c>
      <c r="R965">
        <f>IFERROR((VLOOKUP(D965,Products!$A:$E,5,FALSE())-VLOOKUP(D965,Products!$A:$E,4,FALSE()))/VLOOKUP(D965,Products!$A:$E,5,FALSE()),"")</f>
        <v>0.27833753148614609</v>
      </c>
    </row>
    <row r="966" spans="1:18" x14ac:dyDescent="0.3">
      <c r="A966" s="22" t="s">
        <v>2397</v>
      </c>
      <c r="B966" s="23">
        <v>45378</v>
      </c>
      <c r="C966" s="22" t="s">
        <v>425</v>
      </c>
      <c r="D966" s="22" t="s">
        <v>220</v>
      </c>
      <c r="E966" s="22" t="s">
        <v>2398</v>
      </c>
      <c r="F966" s="24">
        <v>4</v>
      </c>
      <c r="G966" s="24">
        <v>5100</v>
      </c>
      <c r="H966" s="24">
        <v>2.1</v>
      </c>
      <c r="I966" s="24">
        <v>19971.599999999999</v>
      </c>
      <c r="J966" s="22" t="s">
        <v>104</v>
      </c>
      <c r="K966" s="22" t="s">
        <v>111</v>
      </c>
      <c r="L966" t="str">
        <f>VLOOKUP(D966,Products!A:F,3,FALSE())</f>
        <v>Beauty</v>
      </c>
      <c r="M966" t="str">
        <f>VLOOKUP(C966,Customers!A:F,5,FALSE())</f>
        <v>Retail</v>
      </c>
      <c r="O966" t="str">
        <f>IFERROR(VLOOKUP(E966,Sales_Reps!$A:$C,3,FALSE()),"")</f>
        <v/>
      </c>
      <c r="P966">
        <f>IFERROR(VLOOKUP(C966,Customers!$A:$C,3,FALSE()),"")</f>
        <v>26</v>
      </c>
      <c r="Q966" t="str">
        <f t="shared" si="15"/>
        <v>Mar-24</v>
      </c>
      <c r="R966">
        <f>IFERROR((VLOOKUP(D966,Products!$A:$E,5,FALSE())-VLOOKUP(D966,Products!$A:$E,4,FALSE()))/VLOOKUP(D966,Products!$A:$E,5,FALSE()),"")</f>
        <v>0.56137254901960787</v>
      </c>
    </row>
    <row r="967" spans="1:18" x14ac:dyDescent="0.3">
      <c r="A967" s="22" t="s">
        <v>2399</v>
      </c>
      <c r="B967" s="23">
        <v>45428</v>
      </c>
      <c r="C967" s="22" t="s">
        <v>383</v>
      </c>
      <c r="D967" s="22" t="s">
        <v>330</v>
      </c>
      <c r="E967" s="22" t="s">
        <v>2400</v>
      </c>
      <c r="F967" s="24">
        <v>5</v>
      </c>
      <c r="G967" s="24">
        <v>3020</v>
      </c>
      <c r="H967" s="24">
        <v>17.3</v>
      </c>
      <c r="I967" s="24">
        <v>12487.7</v>
      </c>
      <c r="J967" s="22" t="s">
        <v>104</v>
      </c>
      <c r="K967" s="22" t="s">
        <v>105</v>
      </c>
      <c r="L967" t="str">
        <f>VLOOKUP(D967,Products!A:F,3,FALSE())</f>
        <v>Beauty</v>
      </c>
      <c r="M967" t="str">
        <f>VLOOKUP(C967,Customers!A:F,5,FALSE())</f>
        <v>Corporate</v>
      </c>
      <c r="O967" t="str">
        <f>IFERROR(VLOOKUP(E967,Sales_Reps!$A:$C,3,FALSE()),"")</f>
        <v/>
      </c>
      <c r="P967">
        <f>IFERROR(VLOOKUP(C967,Customers!$A:$C,3,FALSE()),"")</f>
        <v>33</v>
      </c>
      <c r="Q967" t="str">
        <f t="shared" si="15"/>
        <v>May-24</v>
      </c>
      <c r="R967">
        <f>IFERROR((VLOOKUP(D967,Products!$A:$E,5,FALSE())-VLOOKUP(D967,Products!$A:$E,4,FALSE()))/VLOOKUP(D967,Products!$A:$E,5,FALSE()),"")</f>
        <v>0.46158940397350995</v>
      </c>
    </row>
    <row r="968" spans="1:18" x14ac:dyDescent="0.3">
      <c r="A968" s="22" t="s">
        <v>2401</v>
      </c>
      <c r="B968" s="23">
        <v>45521</v>
      </c>
      <c r="C968" s="22" t="s">
        <v>1362</v>
      </c>
      <c r="D968" s="22" t="s">
        <v>132</v>
      </c>
      <c r="E968" s="22" t="s">
        <v>2402</v>
      </c>
      <c r="F968" s="24">
        <v>8</v>
      </c>
      <c r="G968" s="24">
        <v>960</v>
      </c>
      <c r="H968" s="24">
        <v>1.3</v>
      </c>
      <c r="I968" s="24">
        <v>7580.16</v>
      </c>
      <c r="J968" s="22" t="s">
        <v>159</v>
      </c>
      <c r="K968" s="22" t="s">
        <v>129</v>
      </c>
      <c r="L968" t="str">
        <f>VLOOKUP(D968,Products!A:F,3,FALSE())</f>
        <v>Sports</v>
      </c>
      <c r="M968" t="str">
        <f>VLOOKUP(C968,Customers!A:F,5,FALSE())</f>
        <v>Retail</v>
      </c>
      <c r="O968" t="str">
        <f>IFERROR(VLOOKUP(E968,Sales_Reps!$A:$C,3,FALSE()),"")</f>
        <v/>
      </c>
      <c r="P968">
        <f>IFERROR(VLOOKUP(C968,Customers!$A:$C,3,FALSE()),"")</f>
        <v>37</v>
      </c>
      <c r="Q968" t="str">
        <f t="shared" si="15"/>
        <v>Aug-24</v>
      </c>
      <c r="R968">
        <f>IFERROR((VLOOKUP(D968,Products!$A:$E,5,FALSE())-VLOOKUP(D968,Products!$A:$E,4,FALSE()))/VLOOKUP(D968,Products!$A:$E,5,FALSE()),"")</f>
        <v>0.265625</v>
      </c>
    </row>
    <row r="969" spans="1:18" x14ac:dyDescent="0.3">
      <c r="A969" s="22" t="s">
        <v>2403</v>
      </c>
      <c r="B969" s="23">
        <v>45612</v>
      </c>
      <c r="C969" s="22" t="s">
        <v>1466</v>
      </c>
      <c r="D969" s="22" t="s">
        <v>190</v>
      </c>
      <c r="E969" s="22" t="s">
        <v>2404</v>
      </c>
      <c r="F969" s="24">
        <v>9</v>
      </c>
      <c r="G969" s="24">
        <v>2480</v>
      </c>
      <c r="H969" s="24">
        <v>15.6</v>
      </c>
      <c r="I969" s="24">
        <v>18838.080000000002</v>
      </c>
      <c r="J969" s="22" t="s">
        <v>104</v>
      </c>
      <c r="K969" s="22" t="s">
        <v>129</v>
      </c>
      <c r="L969" t="str">
        <f>VLOOKUP(D969,Products!A:F,3,FALSE())</f>
        <v>Apparel</v>
      </c>
      <c r="M969" t="str">
        <f>VLOOKUP(C969,Customers!A:F,5,FALSE())</f>
        <v>SMB</v>
      </c>
      <c r="O969" t="str">
        <f>IFERROR(VLOOKUP(E969,Sales_Reps!$A:$C,3,FALSE()),"")</f>
        <v/>
      </c>
      <c r="P969">
        <f>IFERROR(VLOOKUP(C969,Customers!$A:$C,3,FALSE()),"")</f>
        <v>65</v>
      </c>
      <c r="Q969" t="str">
        <f t="shared" si="15"/>
        <v>Nov-24</v>
      </c>
      <c r="R969">
        <f>IFERROR((VLOOKUP(D969,Products!$A:$E,5,FALSE())-VLOOKUP(D969,Products!$A:$E,4,FALSE()))/VLOOKUP(D969,Products!$A:$E,5,FALSE()),"")</f>
        <v>0.52701612903225803</v>
      </c>
    </row>
    <row r="970" spans="1:18" x14ac:dyDescent="0.3">
      <c r="A970" s="22" t="s">
        <v>2405</v>
      </c>
      <c r="B970" s="23">
        <v>45566</v>
      </c>
      <c r="C970" s="22" t="s">
        <v>2406</v>
      </c>
      <c r="D970" s="22" t="s">
        <v>145</v>
      </c>
      <c r="E970" s="22" t="s">
        <v>2407</v>
      </c>
      <c r="F970" s="24">
        <v>1</v>
      </c>
      <c r="G970" s="24">
        <v>970</v>
      </c>
      <c r="H970" s="24">
        <v>24.9</v>
      </c>
      <c r="I970" s="24">
        <v>728.47</v>
      </c>
      <c r="J970" s="22" t="s">
        <v>104</v>
      </c>
      <c r="K970" s="22" t="s">
        <v>134</v>
      </c>
      <c r="L970" t="str">
        <f>VLOOKUP(D970,Products!A:F,3,FALSE())</f>
        <v>Grocery</v>
      </c>
      <c r="M970" t="e">
        <f>VLOOKUP(C970,Customers!A:F,5,FALSE())</f>
        <v>#N/A</v>
      </c>
      <c r="O970" t="str">
        <f>IFERROR(VLOOKUP(E970,Sales_Reps!$A:$C,3,FALSE()),"")</f>
        <v/>
      </c>
      <c r="P970" t="str">
        <f>IFERROR(VLOOKUP(C970,Customers!$A:$C,3,FALSE()),"")</f>
        <v/>
      </c>
      <c r="Q970" t="str">
        <f t="shared" si="15"/>
        <v>Oct-24</v>
      </c>
      <c r="R970">
        <f>IFERROR((VLOOKUP(D970,Products!$A:$E,5,FALSE())-VLOOKUP(D970,Products!$A:$E,4,FALSE()))/VLOOKUP(D970,Products!$A:$E,5,FALSE()),"")</f>
        <v>0.5525773195876289</v>
      </c>
    </row>
    <row r="971" spans="1:18" x14ac:dyDescent="0.3">
      <c r="A971" s="22" t="s">
        <v>2408</v>
      </c>
      <c r="B971" s="23">
        <v>45606</v>
      </c>
      <c r="C971" s="22" t="s">
        <v>520</v>
      </c>
      <c r="D971" s="22" t="s">
        <v>459</v>
      </c>
      <c r="E971" s="22" t="s">
        <v>2409</v>
      </c>
      <c r="F971" s="24">
        <v>4</v>
      </c>
      <c r="G971" s="24">
        <v>2380</v>
      </c>
      <c r="H971" s="24">
        <v>9.5</v>
      </c>
      <c r="I971" s="24">
        <v>8615.6</v>
      </c>
      <c r="J971" s="22" t="s">
        <v>159</v>
      </c>
      <c r="K971" s="22" t="s">
        <v>105</v>
      </c>
      <c r="L971" t="str">
        <f>VLOOKUP(D971,Products!A:F,3,FALSE())</f>
        <v>Grocery</v>
      </c>
      <c r="M971" t="str">
        <f>VLOOKUP(C971,Customers!A:F,5,FALSE())</f>
        <v>SMB</v>
      </c>
      <c r="O971" t="str">
        <f>IFERROR(VLOOKUP(E971,Sales_Reps!$A:$C,3,FALSE()),"")</f>
        <v/>
      </c>
      <c r="P971">
        <f>IFERROR(VLOOKUP(C971,Customers!$A:$C,3,FALSE()),"")</f>
        <v>53</v>
      </c>
      <c r="Q971" t="str">
        <f t="shared" si="15"/>
        <v>Nov-24</v>
      </c>
      <c r="R971">
        <f>IFERROR((VLOOKUP(D971,Products!$A:$E,5,FALSE())-VLOOKUP(D971,Products!$A:$E,4,FALSE()))/VLOOKUP(D971,Products!$A:$E,5,FALSE()),"")</f>
        <v>0.50336134453781511</v>
      </c>
    </row>
    <row r="972" spans="1:18" x14ac:dyDescent="0.3">
      <c r="A972" s="22" t="s">
        <v>2410</v>
      </c>
      <c r="B972" s="23">
        <v>45423</v>
      </c>
      <c r="C972" s="22" t="s">
        <v>148</v>
      </c>
      <c r="D972" s="22" t="s">
        <v>449</v>
      </c>
      <c r="E972" s="22" t="s">
        <v>2411</v>
      </c>
      <c r="F972" s="24">
        <v>4</v>
      </c>
      <c r="G972" s="24">
        <v>5410</v>
      </c>
      <c r="H972" s="24">
        <v>18.7</v>
      </c>
      <c r="I972" s="24">
        <v>17593.32</v>
      </c>
      <c r="J972" s="22" t="s">
        <v>104</v>
      </c>
      <c r="K972" s="22" t="s">
        <v>151</v>
      </c>
      <c r="L972" t="str">
        <f>VLOOKUP(D972,Products!A:F,3,FALSE())</f>
        <v>Sports</v>
      </c>
      <c r="M972" t="str">
        <f>VLOOKUP(C972,Customers!A:F,5,FALSE())</f>
        <v>Retail</v>
      </c>
      <c r="O972" t="str">
        <f>IFERROR(VLOOKUP(E972,Sales_Reps!$A:$C,3,FALSE()),"")</f>
        <v/>
      </c>
      <c r="P972">
        <f>IFERROR(VLOOKUP(C972,Customers!$A:$C,3,FALSE()),"")</f>
        <v>60</v>
      </c>
      <c r="Q972" t="str">
        <f t="shared" si="15"/>
        <v>May-24</v>
      </c>
      <c r="R972">
        <f>IFERROR((VLOOKUP(D972,Products!$A:$E,5,FALSE())-VLOOKUP(D972,Products!$A:$E,4,FALSE()))/VLOOKUP(D972,Products!$A:$E,5,FALSE()),"")</f>
        <v>0.58133086876155271</v>
      </c>
    </row>
    <row r="973" spans="1:18" x14ac:dyDescent="0.3">
      <c r="A973" s="22" t="s">
        <v>2412</v>
      </c>
      <c r="B973" s="23">
        <v>45573</v>
      </c>
      <c r="C973" s="22" t="s">
        <v>341</v>
      </c>
      <c r="D973" s="22" t="s">
        <v>577</v>
      </c>
      <c r="E973" s="22" t="s">
        <v>2413</v>
      </c>
      <c r="F973" s="24">
        <v>7</v>
      </c>
      <c r="G973" s="24">
        <v>5080</v>
      </c>
      <c r="H973" s="24">
        <v>6.5</v>
      </c>
      <c r="I973" s="24">
        <v>33248.6</v>
      </c>
      <c r="J973" s="22" t="s">
        <v>104</v>
      </c>
      <c r="K973" s="22" t="s">
        <v>111</v>
      </c>
      <c r="L973" t="str">
        <f>VLOOKUP(D973,Products!A:F,3,FALSE())</f>
        <v>Home</v>
      </c>
      <c r="M973" t="str">
        <f>VLOOKUP(C973,Customers!A:F,5,FALSE())</f>
        <v>Retail</v>
      </c>
      <c r="O973" t="str">
        <f>IFERROR(VLOOKUP(E973,Sales_Reps!$A:$C,3,FALSE()),"")</f>
        <v/>
      </c>
      <c r="P973">
        <f>IFERROR(VLOOKUP(C973,Customers!$A:$C,3,FALSE()),"")</f>
        <v>28</v>
      </c>
      <c r="Q973" t="str">
        <f t="shared" si="15"/>
        <v>Oct-24</v>
      </c>
      <c r="R973">
        <f>IFERROR((VLOOKUP(D973,Products!$A:$E,5,FALSE())-VLOOKUP(D973,Products!$A:$E,4,FALSE()))/VLOOKUP(D973,Products!$A:$E,5,FALSE()),"")</f>
        <v>0.51594488188976373</v>
      </c>
    </row>
    <row r="974" spans="1:18" x14ac:dyDescent="0.3">
      <c r="A974" s="22" t="s">
        <v>2414</v>
      </c>
      <c r="B974" s="23">
        <v>45339</v>
      </c>
      <c r="C974" s="22" t="s">
        <v>1867</v>
      </c>
      <c r="D974" s="22" t="s">
        <v>137</v>
      </c>
      <c r="E974" s="22" t="s">
        <v>2415</v>
      </c>
      <c r="F974" s="24">
        <v>5</v>
      </c>
      <c r="G974" s="24">
        <v>1430</v>
      </c>
      <c r="H974" s="24">
        <v>19.8</v>
      </c>
      <c r="I974" s="24">
        <v>5734.3</v>
      </c>
      <c r="J974" s="22" t="s">
        <v>104</v>
      </c>
      <c r="K974" s="22" t="s">
        <v>105</v>
      </c>
      <c r="L974" t="str">
        <f>VLOOKUP(D974,Products!A:F,3,FALSE())</f>
        <v>Electronics</v>
      </c>
      <c r="M974" t="str">
        <f>VLOOKUP(C974,Customers!A:F,5,FALSE())</f>
        <v>Retail</v>
      </c>
      <c r="O974" t="str">
        <f>IFERROR(VLOOKUP(E974,Sales_Reps!$A:$C,3,FALSE()),"")</f>
        <v/>
      </c>
      <c r="P974">
        <f>IFERROR(VLOOKUP(C974,Customers!$A:$C,3,FALSE()),"")</f>
        <v>39</v>
      </c>
      <c r="Q974" t="str">
        <f t="shared" si="15"/>
        <v>Feb-24</v>
      </c>
      <c r="R974">
        <f>IFERROR((VLOOKUP(D974,Products!$A:$E,5,FALSE())-VLOOKUP(D974,Products!$A:$E,4,FALSE()))/VLOOKUP(D974,Products!$A:$E,5,FALSE()),"")</f>
        <v>0.39790209790209791</v>
      </c>
    </row>
    <row r="975" spans="1:18" x14ac:dyDescent="0.3">
      <c r="A975" s="22" t="s">
        <v>2416</v>
      </c>
      <c r="B975" s="23">
        <v>45611</v>
      </c>
      <c r="C975" s="22" t="s">
        <v>1303</v>
      </c>
      <c r="D975" s="22" t="s">
        <v>234</v>
      </c>
      <c r="E975" s="22" t="s">
        <v>2417</v>
      </c>
      <c r="F975" s="24">
        <v>7</v>
      </c>
      <c r="G975" s="24">
        <v>660</v>
      </c>
      <c r="H975" s="24">
        <v>17.3</v>
      </c>
      <c r="I975" s="24">
        <v>3820.74</v>
      </c>
      <c r="J975" s="22" t="s">
        <v>104</v>
      </c>
      <c r="K975" s="22" t="s">
        <v>116</v>
      </c>
      <c r="L975" t="str">
        <f>VLOOKUP(D975,Products!A:F,3,FALSE())</f>
        <v>Home</v>
      </c>
      <c r="M975" t="str">
        <f>VLOOKUP(C975,Customers!A:F,5,FALSE())</f>
        <v>SMB</v>
      </c>
      <c r="O975" t="str">
        <f>IFERROR(VLOOKUP(E975,Sales_Reps!$A:$C,3,FALSE()),"")</f>
        <v/>
      </c>
      <c r="P975">
        <f>IFERROR(VLOOKUP(C975,Customers!$A:$C,3,FALSE()),"")</f>
        <v>38</v>
      </c>
      <c r="Q975" t="str">
        <f t="shared" si="15"/>
        <v>Nov-24</v>
      </c>
      <c r="R975">
        <f>IFERROR((VLOOKUP(D975,Products!$A:$E,5,FALSE())-VLOOKUP(D975,Products!$A:$E,4,FALSE()))/VLOOKUP(D975,Products!$A:$E,5,FALSE()),"")</f>
        <v>0.50151515151515147</v>
      </c>
    </row>
    <row r="976" spans="1:18" x14ac:dyDescent="0.3">
      <c r="A976" s="22" t="s">
        <v>2418</v>
      </c>
      <c r="B976" s="23">
        <v>45505</v>
      </c>
      <c r="C976" s="22" t="s">
        <v>1208</v>
      </c>
      <c r="D976" s="22" t="s">
        <v>308</v>
      </c>
      <c r="E976" s="22" t="s">
        <v>2419</v>
      </c>
      <c r="F976" s="24">
        <v>10</v>
      </c>
      <c r="G976" s="24">
        <v>1540</v>
      </c>
      <c r="H976" s="24">
        <v>17.5</v>
      </c>
      <c r="I976" s="24">
        <v>12705</v>
      </c>
      <c r="J976" s="22" t="s">
        <v>104</v>
      </c>
      <c r="K976" s="22" t="s">
        <v>105</v>
      </c>
      <c r="L976" t="str">
        <f>VLOOKUP(D976,Products!A:F,3,FALSE())</f>
        <v>Beauty</v>
      </c>
      <c r="M976" t="str">
        <f>VLOOKUP(C976,Customers!A:F,5,FALSE())</f>
        <v>Retail</v>
      </c>
      <c r="O976" t="str">
        <f>IFERROR(VLOOKUP(E976,Sales_Reps!$A:$C,3,FALSE()),"")</f>
        <v/>
      </c>
      <c r="P976">
        <f>IFERROR(VLOOKUP(C976,Customers!$A:$C,3,FALSE()),"")</f>
        <v>36</v>
      </c>
      <c r="Q976" t="str">
        <f t="shared" si="15"/>
        <v>Aug-24</v>
      </c>
      <c r="R976">
        <f>IFERROR((VLOOKUP(D976,Products!$A:$E,5,FALSE())-VLOOKUP(D976,Products!$A:$E,4,FALSE()))/VLOOKUP(D976,Products!$A:$E,5,FALSE()),"")</f>
        <v>0.57987012987012987</v>
      </c>
    </row>
    <row r="977" spans="1:18" x14ac:dyDescent="0.3">
      <c r="A977" s="22" t="s">
        <v>2420</v>
      </c>
      <c r="B977" s="23">
        <v>45358</v>
      </c>
      <c r="C977" s="22" t="s">
        <v>724</v>
      </c>
      <c r="D977" s="22" t="s">
        <v>419</v>
      </c>
      <c r="E977" s="22" t="s">
        <v>2421</v>
      </c>
      <c r="F977" s="24">
        <v>10</v>
      </c>
      <c r="G977" s="24">
        <v>2210</v>
      </c>
      <c r="H977" s="24">
        <v>24.1</v>
      </c>
      <c r="I977" s="24">
        <v>16773.900000000001</v>
      </c>
      <c r="J977" s="22" t="s">
        <v>110</v>
      </c>
      <c r="K977" s="22" t="s">
        <v>116</v>
      </c>
      <c r="L977" t="str">
        <f>VLOOKUP(D977,Products!A:F,3,FALSE())</f>
        <v>Grocery</v>
      </c>
      <c r="M977" t="str">
        <f>VLOOKUP(C977,Customers!A:F,5,FALSE())</f>
        <v>SMB</v>
      </c>
      <c r="O977" t="str">
        <f>IFERROR(VLOOKUP(E977,Sales_Reps!$A:$C,3,FALSE()),"")</f>
        <v/>
      </c>
      <c r="P977">
        <f>IFERROR(VLOOKUP(C977,Customers!$A:$C,3,FALSE()),"")</f>
        <v>48</v>
      </c>
      <c r="Q977" t="str">
        <f t="shared" si="15"/>
        <v>Mar-24</v>
      </c>
      <c r="R977">
        <f>IFERROR((VLOOKUP(D977,Products!$A:$E,5,FALSE())-VLOOKUP(D977,Products!$A:$E,4,FALSE()))/VLOOKUP(D977,Products!$A:$E,5,FALSE()),"")</f>
        <v>0.54298642533936647</v>
      </c>
    </row>
    <row r="978" spans="1:18" x14ac:dyDescent="0.3">
      <c r="A978" s="22" t="s">
        <v>2422</v>
      </c>
      <c r="B978" s="23">
        <v>45519</v>
      </c>
      <c r="C978" s="22" t="s">
        <v>716</v>
      </c>
      <c r="D978" s="22" t="s">
        <v>132</v>
      </c>
      <c r="E978" s="22" t="s">
        <v>2423</v>
      </c>
      <c r="F978" s="24">
        <v>4</v>
      </c>
      <c r="G978" s="24">
        <v>960</v>
      </c>
      <c r="H978" s="24">
        <v>13.4</v>
      </c>
      <c r="I978" s="24">
        <v>3325.44</v>
      </c>
      <c r="J978" s="22" t="s">
        <v>104</v>
      </c>
      <c r="K978" s="22" t="s">
        <v>129</v>
      </c>
      <c r="L978" t="str">
        <f>VLOOKUP(D978,Products!A:F,3,FALSE())</f>
        <v>Sports</v>
      </c>
      <c r="M978" t="str">
        <f>VLOOKUP(C978,Customers!A:F,5,FALSE())</f>
        <v>Retail</v>
      </c>
      <c r="O978" t="str">
        <f>IFERROR(VLOOKUP(E978,Sales_Reps!$A:$C,3,FALSE()),"")</f>
        <v/>
      </c>
      <c r="P978">
        <f>IFERROR(VLOOKUP(C978,Customers!$A:$C,3,FALSE()),"")</f>
        <v>44</v>
      </c>
      <c r="Q978" t="str">
        <f t="shared" si="15"/>
        <v>Aug-24</v>
      </c>
      <c r="R978">
        <f>IFERROR((VLOOKUP(D978,Products!$A:$E,5,FALSE())-VLOOKUP(D978,Products!$A:$E,4,FALSE()))/VLOOKUP(D978,Products!$A:$E,5,FALSE()),"")</f>
        <v>0.265625</v>
      </c>
    </row>
    <row r="979" spans="1:18" x14ac:dyDescent="0.3">
      <c r="A979" s="22" t="s">
        <v>2424</v>
      </c>
      <c r="B979" s="23">
        <v>45628</v>
      </c>
      <c r="C979" s="22" t="s">
        <v>2207</v>
      </c>
      <c r="D979" s="22" t="s">
        <v>178</v>
      </c>
      <c r="E979" s="22" t="s">
        <v>2425</v>
      </c>
      <c r="F979" s="24">
        <v>8</v>
      </c>
      <c r="G979" s="24">
        <v>3450</v>
      </c>
      <c r="H979" s="24">
        <v>3.7</v>
      </c>
      <c r="I979" s="24">
        <v>26578.799999999999</v>
      </c>
      <c r="J979" s="22" t="s">
        <v>104</v>
      </c>
      <c r="K979" s="22" t="s">
        <v>129</v>
      </c>
      <c r="L979" t="str">
        <f>VLOOKUP(D979,Products!A:F,3,FALSE())</f>
        <v>Beauty</v>
      </c>
      <c r="M979" t="str">
        <f>VLOOKUP(C979,Customers!A:F,5,FALSE())</f>
        <v>Retail</v>
      </c>
      <c r="O979" t="str">
        <f>IFERROR(VLOOKUP(E979,Sales_Reps!$A:$C,3,FALSE()),"")</f>
        <v/>
      </c>
      <c r="P979">
        <f>IFERROR(VLOOKUP(C979,Customers!$A:$C,3,FALSE()),"")</f>
        <v>38</v>
      </c>
      <c r="Q979" t="str">
        <f t="shared" si="15"/>
        <v>Dec-24</v>
      </c>
      <c r="R979">
        <f>IFERROR((VLOOKUP(D979,Products!$A:$E,5,FALSE())-VLOOKUP(D979,Products!$A:$E,4,FALSE()))/VLOOKUP(D979,Products!$A:$E,5,FALSE()),"")</f>
        <v>0.29855072463768118</v>
      </c>
    </row>
    <row r="980" spans="1:18" x14ac:dyDescent="0.3">
      <c r="A980" s="22" t="s">
        <v>2426</v>
      </c>
      <c r="B980" s="23">
        <v>45481</v>
      </c>
      <c r="C980" s="22" t="s">
        <v>2427</v>
      </c>
      <c r="D980" s="22" t="s">
        <v>356</v>
      </c>
      <c r="E980" s="22" t="s">
        <v>2428</v>
      </c>
      <c r="F980" s="24">
        <v>6</v>
      </c>
      <c r="G980" s="24">
        <v>2030</v>
      </c>
      <c r="H980" s="24">
        <v>9.5</v>
      </c>
      <c r="I980" s="24">
        <v>11022.9</v>
      </c>
      <c r="J980" s="22" t="s">
        <v>104</v>
      </c>
      <c r="K980" s="22" t="s">
        <v>129</v>
      </c>
      <c r="L980" t="str">
        <f>VLOOKUP(D980,Products!A:F,3,FALSE())</f>
        <v>Home</v>
      </c>
      <c r="M980" t="e">
        <f>VLOOKUP(C980,Customers!A:F,5,FALSE())</f>
        <v>#N/A</v>
      </c>
      <c r="O980" t="str">
        <f>IFERROR(VLOOKUP(E980,Sales_Reps!$A:$C,3,FALSE()),"")</f>
        <v/>
      </c>
      <c r="P980" t="str">
        <f>IFERROR(VLOOKUP(C980,Customers!$A:$C,3,FALSE()),"")</f>
        <v/>
      </c>
      <c r="Q980" t="str">
        <f t="shared" si="15"/>
        <v>Jul-24</v>
      </c>
      <c r="R980">
        <f>IFERROR((VLOOKUP(D980,Products!$A:$E,5,FALSE())-VLOOKUP(D980,Products!$A:$E,4,FALSE()))/VLOOKUP(D980,Products!$A:$E,5,FALSE()),"")</f>
        <v>0.43694581280788175</v>
      </c>
    </row>
    <row r="981" spans="1:18" x14ac:dyDescent="0.3">
      <c r="A981" s="22" t="s">
        <v>2429</v>
      </c>
      <c r="B981" s="23">
        <v>45399</v>
      </c>
      <c r="C981" s="22" t="s">
        <v>772</v>
      </c>
      <c r="D981" s="22" t="s">
        <v>591</v>
      </c>
      <c r="E981" s="22" t="s">
        <v>2430</v>
      </c>
      <c r="F981" s="24">
        <v>7</v>
      </c>
      <c r="G981" s="24">
        <v>3450</v>
      </c>
      <c r="H981" s="24">
        <v>28.2</v>
      </c>
      <c r="I981" s="24">
        <v>17339.7</v>
      </c>
      <c r="J981" s="22" t="s">
        <v>104</v>
      </c>
      <c r="K981" s="22" t="s">
        <v>105</v>
      </c>
      <c r="L981" t="str">
        <f>VLOOKUP(D981,Products!A:F,3,FALSE())</f>
        <v>Apparel</v>
      </c>
      <c r="M981" t="str">
        <f>VLOOKUP(C981,Customers!A:F,5,FALSE())</f>
        <v>SMB</v>
      </c>
      <c r="O981" t="str">
        <f>IFERROR(VLOOKUP(E981,Sales_Reps!$A:$C,3,FALSE()),"")</f>
        <v/>
      </c>
      <c r="P981">
        <f>IFERROR(VLOOKUP(C981,Customers!$A:$C,3,FALSE()),"")</f>
        <v>24</v>
      </c>
      <c r="Q981" t="str">
        <f t="shared" si="15"/>
        <v>Apr-24</v>
      </c>
      <c r="R981">
        <f>IFERROR((VLOOKUP(D981,Products!$A:$E,5,FALSE())-VLOOKUP(D981,Products!$A:$E,4,FALSE()))/VLOOKUP(D981,Products!$A:$E,5,FALSE()),"")</f>
        <v>0.49333333333333335</v>
      </c>
    </row>
    <row r="982" spans="1:18" x14ac:dyDescent="0.3">
      <c r="A982" s="22" t="s">
        <v>2431</v>
      </c>
      <c r="B982" s="23">
        <v>45531</v>
      </c>
      <c r="C982" s="22" t="s">
        <v>645</v>
      </c>
      <c r="D982" s="22" t="s">
        <v>275</v>
      </c>
      <c r="E982" s="22" t="s">
        <v>2432</v>
      </c>
      <c r="F982" s="24">
        <v>7</v>
      </c>
      <c r="G982" s="24">
        <v>3780</v>
      </c>
      <c r="H982" s="24">
        <v>15.1</v>
      </c>
      <c r="I982" s="24">
        <v>22464.54</v>
      </c>
      <c r="J982" s="22" t="s">
        <v>104</v>
      </c>
      <c r="K982" s="22" t="s">
        <v>105</v>
      </c>
      <c r="L982" t="str">
        <f>VLOOKUP(D982,Products!A:F,3,FALSE())</f>
        <v>Grocery</v>
      </c>
      <c r="M982" t="str">
        <f>VLOOKUP(C982,Customers!A:F,5,FALSE())</f>
        <v>Retail</v>
      </c>
      <c r="O982" t="str">
        <f>IFERROR(VLOOKUP(E982,Sales_Reps!$A:$C,3,FALSE()),"")</f>
        <v/>
      </c>
      <c r="P982">
        <f>IFERROR(VLOOKUP(C982,Customers!$A:$C,3,FALSE()),"")</f>
        <v>49</v>
      </c>
      <c r="Q982" t="str">
        <f t="shared" si="15"/>
        <v>Aug-24</v>
      </c>
      <c r="R982">
        <f>IFERROR((VLOOKUP(D982,Products!$A:$E,5,FALSE())-VLOOKUP(D982,Products!$A:$E,4,FALSE()))/VLOOKUP(D982,Products!$A:$E,5,FALSE()),"")</f>
        <v>0.35555555555555557</v>
      </c>
    </row>
    <row r="983" spans="1:18" x14ac:dyDescent="0.3">
      <c r="A983" s="22" t="s">
        <v>2360</v>
      </c>
      <c r="B983" s="23">
        <v>45417</v>
      </c>
      <c r="C983" s="22" t="s">
        <v>196</v>
      </c>
      <c r="D983" s="22" t="s">
        <v>231</v>
      </c>
      <c r="E983" s="22" t="s">
        <v>2433</v>
      </c>
      <c r="F983" s="24">
        <v>4</v>
      </c>
      <c r="G983" s="24">
        <v>2760</v>
      </c>
      <c r="H983" s="24">
        <v>14.8</v>
      </c>
      <c r="I983" s="24">
        <v>9406.08</v>
      </c>
      <c r="J983" s="22" t="s">
        <v>104</v>
      </c>
      <c r="K983" s="22" t="s">
        <v>105</v>
      </c>
      <c r="L983" t="str">
        <f>VLOOKUP(D983,Products!A:F,3,FALSE())</f>
        <v>Grocery</v>
      </c>
      <c r="M983" t="str">
        <f>VLOOKUP(C983,Customers!A:F,5,FALSE())</f>
        <v>Retail</v>
      </c>
      <c r="O983" t="str">
        <f>IFERROR(VLOOKUP(E983,Sales_Reps!$A:$C,3,FALSE()),"")</f>
        <v/>
      </c>
      <c r="P983">
        <f>IFERROR(VLOOKUP(C983,Customers!$A:$C,3,FALSE()),"")</f>
        <v>50</v>
      </c>
      <c r="Q983" t="str">
        <f t="shared" si="15"/>
        <v>May-24</v>
      </c>
      <c r="R983">
        <f>IFERROR((VLOOKUP(D983,Products!$A:$E,5,FALSE())-VLOOKUP(D983,Products!$A:$E,4,FALSE()))/VLOOKUP(D983,Products!$A:$E,5,FALSE()),"")</f>
        <v>0.48007246376811596</v>
      </c>
    </row>
    <row r="984" spans="1:18" x14ac:dyDescent="0.3">
      <c r="A984" s="22" t="s">
        <v>2434</v>
      </c>
      <c r="B984" s="23">
        <v>45327</v>
      </c>
      <c r="C984" s="22" t="s">
        <v>1154</v>
      </c>
      <c r="D984" s="22" t="s">
        <v>308</v>
      </c>
      <c r="E984" s="22" t="s">
        <v>2435</v>
      </c>
      <c r="F984" s="24">
        <v>4</v>
      </c>
      <c r="G984" s="24">
        <v>1540</v>
      </c>
      <c r="H984" s="24">
        <v>13.9</v>
      </c>
      <c r="I984" s="24">
        <v>5303.76</v>
      </c>
      <c r="J984" s="22" t="s">
        <v>104</v>
      </c>
      <c r="K984" s="22" t="s">
        <v>105</v>
      </c>
      <c r="L984" t="str">
        <f>VLOOKUP(D984,Products!A:F,3,FALSE())</f>
        <v>Beauty</v>
      </c>
      <c r="M984" t="str">
        <f>VLOOKUP(C984,Customers!A:F,5,FALSE())</f>
        <v>Retail</v>
      </c>
      <c r="O984" t="str">
        <f>IFERROR(VLOOKUP(E984,Sales_Reps!$A:$C,3,FALSE()),"")</f>
        <v/>
      </c>
      <c r="P984">
        <f>IFERROR(VLOOKUP(C984,Customers!$A:$C,3,FALSE()),"")</f>
        <v>31</v>
      </c>
      <c r="Q984" t="str">
        <f t="shared" si="15"/>
        <v>Feb-24</v>
      </c>
      <c r="R984">
        <f>IFERROR((VLOOKUP(D984,Products!$A:$E,5,FALSE())-VLOOKUP(D984,Products!$A:$E,4,FALSE()))/VLOOKUP(D984,Products!$A:$E,5,FALSE()),"")</f>
        <v>0.57987012987012987</v>
      </c>
    </row>
    <row r="985" spans="1:18" x14ac:dyDescent="0.3">
      <c r="A985" s="22" t="s">
        <v>2436</v>
      </c>
      <c r="B985" s="23">
        <v>45438</v>
      </c>
      <c r="C985" s="22" t="s">
        <v>1144</v>
      </c>
      <c r="D985" s="22" t="s">
        <v>265</v>
      </c>
      <c r="E985" s="22" t="s">
        <v>2437</v>
      </c>
      <c r="F985" s="24">
        <v>2</v>
      </c>
      <c r="G985" s="24">
        <v>3730</v>
      </c>
      <c r="H985" s="24">
        <v>15.7</v>
      </c>
      <c r="I985" s="24">
        <v>6288.78</v>
      </c>
      <c r="J985" s="22" t="s">
        <v>159</v>
      </c>
      <c r="K985" s="22" t="s">
        <v>134</v>
      </c>
      <c r="L985" t="str">
        <f>VLOOKUP(D985,Products!A:F,3,FALSE())</f>
        <v>Home</v>
      </c>
      <c r="M985" t="str">
        <f>VLOOKUP(C985,Customers!A:F,5,FALSE())</f>
        <v>Retail</v>
      </c>
      <c r="O985" t="str">
        <f>IFERROR(VLOOKUP(E985,Sales_Reps!$A:$C,3,FALSE()),"")</f>
        <v/>
      </c>
      <c r="P985">
        <f>IFERROR(VLOOKUP(C985,Customers!$A:$C,3,FALSE()),"")</f>
        <v>27</v>
      </c>
      <c r="Q985" t="str">
        <f t="shared" si="15"/>
        <v>May-24</v>
      </c>
      <c r="R985">
        <f>IFERROR((VLOOKUP(D985,Products!$A:$E,5,FALSE())-VLOOKUP(D985,Products!$A:$E,4,FALSE()))/VLOOKUP(D985,Products!$A:$E,5,FALSE()),"")</f>
        <v>0.42761394101876676</v>
      </c>
    </row>
    <row r="986" spans="1:18" x14ac:dyDescent="0.3">
      <c r="A986" s="22" t="s">
        <v>2438</v>
      </c>
      <c r="B986" s="23">
        <v>45577</v>
      </c>
      <c r="C986" s="22" t="s">
        <v>1243</v>
      </c>
      <c r="D986" s="22" t="s">
        <v>265</v>
      </c>
      <c r="E986" s="22" t="s">
        <v>2439</v>
      </c>
      <c r="F986" s="24">
        <v>4</v>
      </c>
      <c r="G986" s="24">
        <v>3730</v>
      </c>
      <c r="H986" s="24">
        <v>2.1</v>
      </c>
      <c r="I986" s="24">
        <v>14606.68</v>
      </c>
      <c r="J986" s="22" t="s">
        <v>104</v>
      </c>
      <c r="K986" s="22" t="s">
        <v>134</v>
      </c>
      <c r="L986" t="str">
        <f>VLOOKUP(D986,Products!A:F,3,FALSE())</f>
        <v>Home</v>
      </c>
      <c r="M986" t="str">
        <f>VLOOKUP(C986,Customers!A:F,5,FALSE())</f>
        <v>Retail</v>
      </c>
      <c r="O986" t="str">
        <f>IFERROR(VLOOKUP(E986,Sales_Reps!$A:$C,3,FALSE()),"")</f>
        <v/>
      </c>
      <c r="P986">
        <f>IFERROR(VLOOKUP(C986,Customers!$A:$C,3,FALSE()),"")</f>
        <v>52</v>
      </c>
      <c r="Q986" t="str">
        <f t="shared" si="15"/>
        <v>Oct-24</v>
      </c>
      <c r="R986">
        <f>IFERROR((VLOOKUP(D986,Products!$A:$E,5,FALSE())-VLOOKUP(D986,Products!$A:$E,4,FALSE()))/VLOOKUP(D986,Products!$A:$E,5,FALSE()),"")</f>
        <v>0.42761394101876676</v>
      </c>
    </row>
    <row r="987" spans="1:18" x14ac:dyDescent="0.3">
      <c r="A987" s="22" t="s">
        <v>2440</v>
      </c>
      <c r="B987" s="23">
        <v>45457</v>
      </c>
      <c r="C987" s="22" t="s">
        <v>766</v>
      </c>
      <c r="D987" s="22" t="s">
        <v>123</v>
      </c>
      <c r="E987" s="22" t="s">
        <v>2441</v>
      </c>
      <c r="F987" s="24">
        <v>1</v>
      </c>
      <c r="G987" s="24">
        <v>3160</v>
      </c>
      <c r="H987" s="24">
        <v>29.8</v>
      </c>
      <c r="I987" s="24">
        <v>2218.3200000000002</v>
      </c>
      <c r="J987" s="22" t="s">
        <v>104</v>
      </c>
      <c r="K987" s="22" t="s">
        <v>105</v>
      </c>
      <c r="L987" t="str">
        <f>VLOOKUP(D987,Products!A:F,3,FALSE())</f>
        <v>Apparel</v>
      </c>
      <c r="M987" t="str">
        <f>VLOOKUP(C987,Customers!A:F,5,FALSE())</f>
        <v>Retail</v>
      </c>
      <c r="O987" t="str">
        <f>IFERROR(VLOOKUP(E987,Sales_Reps!$A:$C,3,FALSE()),"")</f>
        <v/>
      </c>
      <c r="P987">
        <f>IFERROR(VLOOKUP(C987,Customers!$A:$C,3,FALSE()),"")</f>
        <v>62</v>
      </c>
      <c r="Q987" t="str">
        <f t="shared" si="15"/>
        <v>Jun-24</v>
      </c>
      <c r="R987">
        <f>IFERROR((VLOOKUP(D987,Products!$A:$E,5,FALSE())-VLOOKUP(D987,Products!$A:$E,4,FALSE()))/VLOOKUP(D987,Products!$A:$E,5,FALSE()),"")</f>
        <v>0.4031645569620253</v>
      </c>
    </row>
    <row r="988" spans="1:18" x14ac:dyDescent="0.3">
      <c r="A988" s="22" t="s">
        <v>2442</v>
      </c>
      <c r="B988" s="23">
        <v>45544</v>
      </c>
      <c r="C988" s="22" t="s">
        <v>858</v>
      </c>
      <c r="D988" s="22" t="s">
        <v>488</v>
      </c>
      <c r="E988" s="22" t="s">
        <v>2443</v>
      </c>
      <c r="F988" s="24">
        <v>9</v>
      </c>
      <c r="G988" s="24">
        <v>2290</v>
      </c>
      <c r="H988" s="24">
        <v>8.3000000000000007</v>
      </c>
      <c r="I988" s="24">
        <v>18899.37</v>
      </c>
      <c r="J988" s="22" t="s">
        <v>110</v>
      </c>
      <c r="K988" s="22" t="s">
        <v>129</v>
      </c>
      <c r="L988" t="str">
        <f>VLOOKUP(D988,Products!A:F,3,FALSE())</f>
        <v>Beauty</v>
      </c>
      <c r="M988" t="str">
        <f>VLOOKUP(C988,Customers!A:F,5,FALSE())</f>
        <v>Retail</v>
      </c>
      <c r="O988" t="str">
        <f>IFERROR(VLOOKUP(E988,Sales_Reps!$A:$C,3,FALSE()),"")</f>
        <v/>
      </c>
      <c r="P988">
        <f>IFERROR(VLOOKUP(C988,Customers!$A:$C,3,FALSE()),"")</f>
        <v>53</v>
      </c>
      <c r="Q988" t="str">
        <f t="shared" si="15"/>
        <v>Sep-24</v>
      </c>
      <c r="R988">
        <f>IFERROR((VLOOKUP(D988,Products!$A:$E,5,FALSE())-VLOOKUP(D988,Products!$A:$E,4,FALSE()))/VLOOKUP(D988,Products!$A:$E,5,FALSE()),"")</f>
        <v>0.46768558951965067</v>
      </c>
    </row>
    <row r="989" spans="1:18" x14ac:dyDescent="0.3">
      <c r="A989" s="22" t="s">
        <v>2444</v>
      </c>
      <c r="B989" s="23">
        <v>45632</v>
      </c>
      <c r="C989" s="22" t="s">
        <v>551</v>
      </c>
      <c r="D989" s="22" t="s">
        <v>293</v>
      </c>
      <c r="E989" s="22" t="s">
        <v>2445</v>
      </c>
      <c r="F989" s="24">
        <v>2</v>
      </c>
      <c r="G989" s="24">
        <v>3870</v>
      </c>
      <c r="H989" s="24">
        <v>5.2</v>
      </c>
      <c r="I989" s="24">
        <v>7337.52</v>
      </c>
      <c r="J989" s="22" t="s">
        <v>104</v>
      </c>
      <c r="K989" s="22" t="s">
        <v>105</v>
      </c>
      <c r="L989" t="str">
        <f>VLOOKUP(D989,Products!A:F,3,FALSE())</f>
        <v>Electronics</v>
      </c>
      <c r="M989" t="str">
        <f>VLOOKUP(C989,Customers!A:F,5,FALSE())</f>
        <v>Corporate</v>
      </c>
      <c r="O989" t="str">
        <f>IFERROR(VLOOKUP(E989,Sales_Reps!$A:$C,3,FALSE()),"")</f>
        <v/>
      </c>
      <c r="P989">
        <f>IFERROR(VLOOKUP(C989,Customers!$A:$C,3,FALSE()),"")</f>
        <v>48</v>
      </c>
      <c r="Q989" t="str">
        <f t="shared" si="15"/>
        <v>Dec-24</v>
      </c>
      <c r="R989">
        <f>IFERROR((VLOOKUP(D989,Products!$A:$E,5,FALSE())-VLOOKUP(D989,Products!$A:$E,4,FALSE()))/VLOOKUP(D989,Products!$A:$E,5,FALSE()),"")</f>
        <v>0.59715762273901807</v>
      </c>
    </row>
    <row r="990" spans="1:18" x14ac:dyDescent="0.3">
      <c r="A990" s="22" t="s">
        <v>2446</v>
      </c>
      <c r="B990" s="23">
        <v>45465</v>
      </c>
      <c r="C990" s="22" t="s">
        <v>554</v>
      </c>
      <c r="D990" s="22" t="s">
        <v>216</v>
      </c>
      <c r="E990" s="22" t="s">
        <v>2447</v>
      </c>
      <c r="F990" s="24">
        <v>5</v>
      </c>
      <c r="G990" s="24">
        <v>3570</v>
      </c>
      <c r="H990" s="24">
        <v>19.899999999999999</v>
      </c>
      <c r="I990" s="24">
        <v>14297.85</v>
      </c>
      <c r="J990" s="22" t="s">
        <v>104</v>
      </c>
      <c r="K990" s="22" t="s">
        <v>134</v>
      </c>
      <c r="L990" t="str">
        <f>VLOOKUP(D990,Products!A:F,3,FALSE())</f>
        <v>Electronics</v>
      </c>
      <c r="M990" t="str">
        <f>VLOOKUP(C990,Customers!A:F,5,FALSE())</f>
        <v>Retail</v>
      </c>
      <c r="O990" t="str">
        <f>IFERROR(VLOOKUP(E990,Sales_Reps!$A:$C,3,FALSE()),"")</f>
        <v/>
      </c>
      <c r="P990">
        <f>IFERROR(VLOOKUP(C990,Customers!$A:$C,3,FALSE()),"")</f>
        <v>55</v>
      </c>
      <c r="Q990" t="str">
        <f t="shared" si="15"/>
        <v>Jun-24</v>
      </c>
      <c r="R990">
        <f>IFERROR((VLOOKUP(D990,Products!$A:$E,5,FALSE())-VLOOKUP(D990,Products!$A:$E,4,FALSE()))/VLOOKUP(D990,Products!$A:$E,5,FALSE()),"")</f>
        <v>0.53361344537815125</v>
      </c>
    </row>
    <row r="991" spans="1:18" x14ac:dyDescent="0.3">
      <c r="A991" s="22" t="s">
        <v>2448</v>
      </c>
      <c r="B991" s="23">
        <v>45342</v>
      </c>
      <c r="C991" s="22" t="s">
        <v>348</v>
      </c>
      <c r="D991" s="22" t="s">
        <v>209</v>
      </c>
      <c r="E991" s="22" t="s">
        <v>2449</v>
      </c>
      <c r="F991" s="24">
        <v>5</v>
      </c>
      <c r="G991" s="24">
        <v>1010</v>
      </c>
      <c r="H991" s="24">
        <v>2.2000000000000002</v>
      </c>
      <c r="I991" s="24">
        <v>4938.8999999999996</v>
      </c>
      <c r="J991" s="22" t="s">
        <v>104</v>
      </c>
      <c r="K991" s="22" t="s">
        <v>111</v>
      </c>
      <c r="L991" t="str">
        <f>VLOOKUP(D991,Products!A:F,3,FALSE())</f>
        <v>Sports</v>
      </c>
      <c r="M991" t="str">
        <f>VLOOKUP(C991,Customers!A:F,5,FALSE())</f>
        <v>Retail</v>
      </c>
      <c r="O991" t="str">
        <f>IFERROR(VLOOKUP(E991,Sales_Reps!$A:$C,3,FALSE()),"")</f>
        <v/>
      </c>
      <c r="P991">
        <f>IFERROR(VLOOKUP(C991,Customers!$A:$C,3,FALSE()),"")</f>
        <v>38</v>
      </c>
      <c r="Q991" t="str">
        <f t="shared" si="15"/>
        <v>Feb-24</v>
      </c>
      <c r="R991">
        <f>IFERROR((VLOOKUP(D991,Products!$A:$E,5,FALSE())-VLOOKUP(D991,Products!$A:$E,4,FALSE()))/VLOOKUP(D991,Products!$A:$E,5,FALSE()),"")</f>
        <v>0.4891089108910891</v>
      </c>
    </row>
    <row r="992" spans="1:18" x14ac:dyDescent="0.3">
      <c r="A992" s="22" t="s">
        <v>2450</v>
      </c>
      <c r="B992" s="23">
        <v>45309</v>
      </c>
      <c r="C992" s="22" t="s">
        <v>452</v>
      </c>
      <c r="D992" s="22" t="s">
        <v>488</v>
      </c>
      <c r="E992" s="22" t="s">
        <v>2451</v>
      </c>
      <c r="F992" s="24">
        <v>10</v>
      </c>
      <c r="G992" s="24">
        <v>2290</v>
      </c>
      <c r="H992" s="24">
        <v>16.8</v>
      </c>
      <c r="I992" s="24">
        <v>19052.8</v>
      </c>
      <c r="J992" s="22" t="s">
        <v>159</v>
      </c>
      <c r="K992" s="22" t="s">
        <v>111</v>
      </c>
      <c r="L992" t="str">
        <f>VLOOKUP(D992,Products!A:F,3,FALSE())</f>
        <v>Beauty</v>
      </c>
      <c r="M992" t="str">
        <f>VLOOKUP(C992,Customers!A:F,5,FALSE())</f>
        <v>Corporate</v>
      </c>
      <c r="O992" t="str">
        <f>IFERROR(VLOOKUP(E992,Sales_Reps!$A:$C,3,FALSE()),"")</f>
        <v/>
      </c>
      <c r="P992">
        <f>IFERROR(VLOOKUP(C992,Customers!$A:$C,3,FALSE()),"")</f>
        <v>51</v>
      </c>
      <c r="Q992" t="str">
        <f t="shared" si="15"/>
        <v>Jan-24</v>
      </c>
      <c r="R992">
        <f>IFERROR((VLOOKUP(D992,Products!$A:$E,5,FALSE())-VLOOKUP(D992,Products!$A:$E,4,FALSE()))/VLOOKUP(D992,Products!$A:$E,5,FALSE()),"")</f>
        <v>0.46768558951965067</v>
      </c>
    </row>
    <row r="993" spans="1:18" x14ac:dyDescent="0.3">
      <c r="A993" s="22" t="s">
        <v>2452</v>
      </c>
      <c r="B993" s="23">
        <v>45493</v>
      </c>
      <c r="C993" s="22" t="s">
        <v>640</v>
      </c>
      <c r="D993" s="22" t="s">
        <v>323</v>
      </c>
      <c r="E993" s="22" t="s">
        <v>2453</v>
      </c>
      <c r="F993" s="24">
        <v>3</v>
      </c>
      <c r="G993" s="24">
        <v>4610</v>
      </c>
      <c r="H993" s="24">
        <v>13.2</v>
      </c>
      <c r="I993" s="24">
        <v>12004.44</v>
      </c>
      <c r="J993" s="22" t="s">
        <v>110</v>
      </c>
      <c r="K993" s="22" t="s">
        <v>151</v>
      </c>
      <c r="L993" t="str">
        <f>VLOOKUP(D993,Products!A:F,3,FALSE())</f>
        <v>Home</v>
      </c>
      <c r="M993" t="str">
        <f>VLOOKUP(C993,Customers!A:F,5,FALSE())</f>
        <v>Corporate</v>
      </c>
      <c r="O993" t="str">
        <f>IFERROR(VLOOKUP(E993,Sales_Reps!$A:$C,3,FALSE()),"")</f>
        <v/>
      </c>
      <c r="P993">
        <f>IFERROR(VLOOKUP(C993,Customers!$A:$C,3,FALSE()),"")</f>
        <v>52</v>
      </c>
      <c r="Q993" t="str">
        <f t="shared" si="15"/>
        <v>Jul-24</v>
      </c>
      <c r="R993">
        <f>IFERROR((VLOOKUP(D993,Products!$A:$E,5,FALSE())-VLOOKUP(D993,Products!$A:$E,4,FALSE()))/VLOOKUP(D993,Products!$A:$E,5,FALSE()),"")</f>
        <v>0.59869848156182215</v>
      </c>
    </row>
    <row r="994" spans="1:18" x14ac:dyDescent="0.3">
      <c r="A994" s="22" t="s">
        <v>2454</v>
      </c>
      <c r="B994" s="23">
        <v>45356</v>
      </c>
      <c r="C994" s="22" t="s">
        <v>604</v>
      </c>
      <c r="D994" s="22" t="s">
        <v>442</v>
      </c>
      <c r="E994" s="22" t="s">
        <v>2455</v>
      </c>
      <c r="F994" s="24">
        <v>1</v>
      </c>
      <c r="G994" s="24">
        <v>2510</v>
      </c>
      <c r="H994" s="24">
        <v>16.899999999999999</v>
      </c>
      <c r="I994" s="24">
        <v>2085.81</v>
      </c>
      <c r="J994" s="22" t="s">
        <v>104</v>
      </c>
      <c r="K994" s="22" t="s">
        <v>105</v>
      </c>
      <c r="L994" t="str">
        <f>VLOOKUP(D994,Products!A:F,3,FALSE())</f>
        <v>Apparel</v>
      </c>
      <c r="M994" t="str">
        <f>VLOOKUP(C994,Customers!A:F,5,FALSE())</f>
        <v>Corporate</v>
      </c>
      <c r="O994" t="str">
        <f>IFERROR(VLOOKUP(E994,Sales_Reps!$A:$C,3,FALSE()),"")</f>
        <v/>
      </c>
      <c r="P994">
        <f>IFERROR(VLOOKUP(C994,Customers!$A:$C,3,FALSE()),"")</f>
        <v>37</v>
      </c>
      <c r="Q994" t="str">
        <f t="shared" si="15"/>
        <v>Mar-24</v>
      </c>
      <c r="R994">
        <f>IFERROR((VLOOKUP(D994,Products!$A:$E,5,FALSE())-VLOOKUP(D994,Products!$A:$E,4,FALSE()))/VLOOKUP(D994,Products!$A:$E,5,FALSE()),"")</f>
        <v>0.57171314741035861</v>
      </c>
    </row>
    <row r="995" spans="1:18" x14ac:dyDescent="0.3">
      <c r="A995" s="22" t="s">
        <v>2456</v>
      </c>
      <c r="B995" s="23">
        <v>45367</v>
      </c>
      <c r="C995" s="22" t="s">
        <v>906</v>
      </c>
      <c r="D995" s="22" t="s">
        <v>330</v>
      </c>
      <c r="E995" s="22" t="s">
        <v>2457</v>
      </c>
      <c r="F995" s="24">
        <v>1</v>
      </c>
      <c r="G995" s="24">
        <v>3020</v>
      </c>
      <c r="H995" s="24">
        <v>26.7</v>
      </c>
      <c r="I995" s="24">
        <v>2213.66</v>
      </c>
      <c r="J995" s="22" t="s">
        <v>104</v>
      </c>
      <c r="K995" s="22" t="s">
        <v>129</v>
      </c>
      <c r="L995" t="str">
        <f>VLOOKUP(D995,Products!A:F,3,FALSE())</f>
        <v>Beauty</v>
      </c>
      <c r="M995" t="str">
        <f>VLOOKUP(C995,Customers!A:F,5,FALSE())</f>
        <v>SMB</v>
      </c>
      <c r="O995" t="str">
        <f>IFERROR(VLOOKUP(E995,Sales_Reps!$A:$C,3,FALSE()),"")</f>
        <v/>
      </c>
      <c r="P995">
        <f>IFERROR(VLOOKUP(C995,Customers!$A:$C,3,FALSE()),"")</f>
        <v>27</v>
      </c>
      <c r="Q995" t="str">
        <f t="shared" si="15"/>
        <v>Mar-24</v>
      </c>
      <c r="R995">
        <f>IFERROR((VLOOKUP(D995,Products!$A:$E,5,FALSE())-VLOOKUP(D995,Products!$A:$E,4,FALSE()))/VLOOKUP(D995,Products!$A:$E,5,FALSE()),"")</f>
        <v>0.46158940397350995</v>
      </c>
    </row>
    <row r="996" spans="1:18" x14ac:dyDescent="0.3">
      <c r="A996" s="22" t="s">
        <v>2458</v>
      </c>
      <c r="B996" s="23">
        <v>45313</v>
      </c>
      <c r="C996" s="22" t="s">
        <v>766</v>
      </c>
      <c r="D996" s="22" t="s">
        <v>167</v>
      </c>
      <c r="E996" s="22" t="s">
        <v>2459</v>
      </c>
      <c r="F996" s="24">
        <v>6</v>
      </c>
      <c r="G996" s="24">
        <v>190</v>
      </c>
      <c r="H996" s="24">
        <v>7.1</v>
      </c>
      <c r="I996" s="24">
        <v>1059.06</v>
      </c>
      <c r="J996" s="22" t="s">
        <v>104</v>
      </c>
      <c r="K996" s="22" t="s">
        <v>105</v>
      </c>
      <c r="L996" t="str">
        <f>VLOOKUP(D996,Products!A:F,3,FALSE())</f>
        <v>Sports</v>
      </c>
      <c r="M996" t="str">
        <f>VLOOKUP(C996,Customers!A:F,5,FALSE())</f>
        <v>Retail</v>
      </c>
      <c r="O996" t="str">
        <f>IFERROR(VLOOKUP(E996,Sales_Reps!$A:$C,3,FALSE()),"")</f>
        <v/>
      </c>
      <c r="P996">
        <f>IFERROR(VLOOKUP(C996,Customers!$A:$C,3,FALSE()),"")</f>
        <v>62</v>
      </c>
      <c r="Q996" t="str">
        <f t="shared" si="15"/>
        <v>Jan-24</v>
      </c>
      <c r="R996">
        <f>IFERROR((VLOOKUP(D996,Products!$A:$E,5,FALSE())-VLOOKUP(D996,Products!$A:$E,4,FALSE()))/VLOOKUP(D996,Products!$A:$E,5,FALSE()),"")</f>
        <v>0.22631578947368422</v>
      </c>
    </row>
    <row r="997" spans="1:18" x14ac:dyDescent="0.3">
      <c r="A997" s="22" t="s">
        <v>2460</v>
      </c>
      <c r="B997" s="23">
        <v>45529</v>
      </c>
      <c r="C997" s="22" t="s">
        <v>1903</v>
      </c>
      <c r="D997" s="22" t="s">
        <v>356</v>
      </c>
      <c r="E997" s="22" t="s">
        <v>2461</v>
      </c>
      <c r="F997" s="24">
        <v>6</v>
      </c>
      <c r="G997" s="24">
        <v>2030</v>
      </c>
      <c r="H997" s="24">
        <v>13.5</v>
      </c>
      <c r="I997" s="24">
        <v>10535.7</v>
      </c>
      <c r="J997" s="22" t="s">
        <v>159</v>
      </c>
      <c r="K997" s="22" t="s">
        <v>134</v>
      </c>
      <c r="L997" t="str">
        <f>VLOOKUP(D997,Products!A:F,3,FALSE())</f>
        <v>Home</v>
      </c>
      <c r="M997" t="str">
        <f>VLOOKUP(C997,Customers!A:F,5,FALSE())</f>
        <v>Retail</v>
      </c>
      <c r="O997" t="str">
        <f>IFERROR(VLOOKUP(E997,Sales_Reps!$A:$C,3,FALSE()),"")</f>
        <v/>
      </c>
      <c r="P997">
        <f>IFERROR(VLOOKUP(C997,Customers!$A:$C,3,FALSE()),"")</f>
        <v>36</v>
      </c>
      <c r="Q997" t="str">
        <f t="shared" si="15"/>
        <v>Aug-24</v>
      </c>
      <c r="R997">
        <f>IFERROR((VLOOKUP(D997,Products!$A:$E,5,FALSE())-VLOOKUP(D997,Products!$A:$E,4,FALSE()))/VLOOKUP(D997,Products!$A:$E,5,FALSE()),"")</f>
        <v>0.43694581280788175</v>
      </c>
    </row>
    <row r="998" spans="1:18" x14ac:dyDescent="0.3">
      <c r="A998" s="22" t="s">
        <v>2462</v>
      </c>
      <c r="B998" s="23">
        <v>45547</v>
      </c>
      <c r="C998" s="22" t="s">
        <v>1230</v>
      </c>
      <c r="D998" s="22" t="s">
        <v>162</v>
      </c>
      <c r="E998" s="22" t="s">
        <v>2463</v>
      </c>
      <c r="F998" s="24">
        <v>10</v>
      </c>
      <c r="G998" s="24">
        <v>3250</v>
      </c>
      <c r="H998" s="24">
        <v>8.6999999999999993</v>
      </c>
      <c r="I998" s="24">
        <v>29672.5</v>
      </c>
      <c r="J998" s="22" t="s">
        <v>104</v>
      </c>
      <c r="K998" s="22" t="s">
        <v>151</v>
      </c>
      <c r="L998" t="str">
        <f>VLOOKUP(D998,Products!A:F,3,FALSE())</f>
        <v>Home</v>
      </c>
      <c r="M998" t="str">
        <f>VLOOKUP(C998,Customers!A:F,5,FALSE())</f>
        <v>Retail</v>
      </c>
      <c r="O998" t="str">
        <f>IFERROR(VLOOKUP(E998,Sales_Reps!$A:$C,3,FALSE()),"")</f>
        <v/>
      </c>
      <c r="P998">
        <f>IFERROR(VLOOKUP(C998,Customers!$A:$C,3,FALSE()),"")</f>
        <v>52</v>
      </c>
      <c r="Q998" t="str">
        <f t="shared" si="15"/>
        <v>Sep-24</v>
      </c>
      <c r="R998">
        <f>IFERROR((VLOOKUP(D998,Products!$A:$E,5,FALSE())-VLOOKUP(D998,Products!$A:$E,4,FALSE()))/VLOOKUP(D998,Products!$A:$E,5,FALSE()),"")</f>
        <v>0.52123076923076928</v>
      </c>
    </row>
    <row r="999" spans="1:18" x14ac:dyDescent="0.3">
      <c r="A999" s="22" t="s">
        <v>2464</v>
      </c>
      <c r="B999" s="23">
        <v>45299</v>
      </c>
      <c r="C999" s="22" t="s">
        <v>576</v>
      </c>
      <c r="D999" s="22" t="s">
        <v>356</v>
      </c>
      <c r="E999" s="22" t="s">
        <v>2465</v>
      </c>
      <c r="F999" s="24">
        <v>9</v>
      </c>
      <c r="G999" s="24">
        <v>2030</v>
      </c>
      <c r="H999" s="24">
        <v>29.3</v>
      </c>
      <c r="I999" s="24">
        <v>12916.89</v>
      </c>
      <c r="J999" s="22" t="s">
        <v>104</v>
      </c>
      <c r="K999" s="22" t="s">
        <v>105</v>
      </c>
      <c r="L999" t="str">
        <f>VLOOKUP(D999,Products!A:F,3,FALSE())</f>
        <v>Home</v>
      </c>
      <c r="M999" t="str">
        <f>VLOOKUP(C999,Customers!A:F,5,FALSE())</f>
        <v>Retail</v>
      </c>
      <c r="O999" t="str">
        <f>IFERROR(VLOOKUP(E999,Sales_Reps!$A:$C,3,FALSE()),"")</f>
        <v/>
      </c>
      <c r="P999">
        <f>IFERROR(VLOOKUP(C999,Customers!$A:$C,3,FALSE()),"")</f>
        <v>65</v>
      </c>
      <c r="Q999" t="str">
        <f t="shared" si="15"/>
        <v>Jan-24</v>
      </c>
      <c r="R999">
        <f>IFERROR((VLOOKUP(D999,Products!$A:$E,5,FALSE())-VLOOKUP(D999,Products!$A:$E,4,FALSE()))/VLOOKUP(D999,Products!$A:$E,5,FALSE()),"")</f>
        <v>0.43694581280788175</v>
      </c>
    </row>
    <row r="1000" spans="1:18" x14ac:dyDescent="0.3">
      <c r="A1000" s="22" t="s">
        <v>2466</v>
      </c>
      <c r="B1000" s="23">
        <v>45380</v>
      </c>
      <c r="C1000" s="22" t="s">
        <v>1589</v>
      </c>
      <c r="D1000" s="22" t="s">
        <v>459</v>
      </c>
      <c r="E1000" s="22" t="s">
        <v>2467</v>
      </c>
      <c r="F1000" s="24">
        <v>1</v>
      </c>
      <c r="G1000" s="24">
        <v>2380</v>
      </c>
      <c r="H1000" s="24">
        <v>12.9</v>
      </c>
      <c r="I1000" s="24">
        <v>2072.98</v>
      </c>
      <c r="J1000" s="22" t="s">
        <v>104</v>
      </c>
      <c r="K1000" s="22" t="s">
        <v>129</v>
      </c>
      <c r="L1000" t="str">
        <f>VLOOKUP(D1000,Products!A:F,3,FALSE())</f>
        <v>Grocery</v>
      </c>
      <c r="M1000" t="str">
        <f>VLOOKUP(C1000,Customers!A:F,5,FALSE())</f>
        <v>SMB</v>
      </c>
      <c r="O1000" t="str">
        <f>IFERROR(VLOOKUP(E1000,Sales_Reps!$A:$C,3,FALSE()),"")</f>
        <v/>
      </c>
      <c r="P1000">
        <f>IFERROR(VLOOKUP(C1000,Customers!$A:$C,3,FALSE()),"")</f>
        <v>47</v>
      </c>
      <c r="Q1000" t="str">
        <f t="shared" si="15"/>
        <v>Mar-24</v>
      </c>
      <c r="R1000">
        <f>IFERROR((VLOOKUP(D1000,Products!$A:$E,5,FALSE())-VLOOKUP(D1000,Products!$A:$E,4,FALSE()))/VLOOKUP(D1000,Products!$A:$E,5,FALSE()),"")</f>
        <v>0.50336134453781511</v>
      </c>
    </row>
    <row r="1001" spans="1:18" x14ac:dyDescent="0.3">
      <c r="A1001" s="22" t="s">
        <v>2468</v>
      </c>
      <c r="B1001" s="23">
        <v>45521</v>
      </c>
      <c r="C1001" s="22" t="s">
        <v>734</v>
      </c>
      <c r="D1001" s="22" t="s">
        <v>591</v>
      </c>
      <c r="E1001" s="22" t="s">
        <v>2469</v>
      </c>
      <c r="F1001" s="24">
        <v>10</v>
      </c>
      <c r="G1001" s="24">
        <v>3450</v>
      </c>
      <c r="H1001" s="24">
        <v>18.5</v>
      </c>
      <c r="I1001" s="24">
        <v>28117.5</v>
      </c>
      <c r="J1001" s="22" t="s">
        <v>104</v>
      </c>
      <c r="K1001" s="22" t="s">
        <v>151</v>
      </c>
      <c r="L1001" t="str">
        <f>VLOOKUP(D1001,Products!A:F,3,FALSE())</f>
        <v>Apparel</v>
      </c>
      <c r="M1001" t="str">
        <f>VLOOKUP(C1001,Customers!A:F,5,FALSE())</f>
        <v>Retail</v>
      </c>
      <c r="O1001" t="str">
        <f>IFERROR(VLOOKUP(E1001,Sales_Reps!$A:$C,3,FALSE()),"")</f>
        <v/>
      </c>
      <c r="P1001">
        <f>IFERROR(VLOOKUP(C1001,Customers!$A:$C,3,FALSE()),"")</f>
        <v>38</v>
      </c>
      <c r="Q1001" t="str">
        <f t="shared" si="15"/>
        <v>Aug-24</v>
      </c>
      <c r="R1001">
        <f>IFERROR((VLOOKUP(D1001,Products!$A:$E,5,FALSE())-VLOOKUP(D1001,Products!$A:$E,4,FALSE()))/VLOOKUP(D1001,Products!$A:$E,5,FALSE()),"")</f>
        <v>0.49333333333333335</v>
      </c>
    </row>
    <row r="1002" spans="1:18" x14ac:dyDescent="0.3">
      <c r="A1002" s="22" t="s">
        <v>2470</v>
      </c>
      <c r="B1002" s="23">
        <v>45500</v>
      </c>
      <c r="C1002" s="22" t="s">
        <v>333</v>
      </c>
      <c r="D1002" s="22" t="s">
        <v>123</v>
      </c>
      <c r="E1002" s="22" t="s">
        <v>2471</v>
      </c>
      <c r="F1002" s="24">
        <v>10</v>
      </c>
      <c r="G1002" s="24">
        <v>3160</v>
      </c>
      <c r="H1002" s="24">
        <v>26.3</v>
      </c>
      <c r="I1002" s="24">
        <v>23289.200000000001</v>
      </c>
      <c r="J1002" s="22" t="s">
        <v>104</v>
      </c>
      <c r="K1002" s="22" t="s">
        <v>151</v>
      </c>
      <c r="L1002" t="str">
        <f>VLOOKUP(D1002,Products!A:F,3,FALSE())</f>
        <v>Apparel</v>
      </c>
      <c r="M1002" t="str">
        <f>VLOOKUP(C1002,Customers!A:F,5,FALSE())</f>
        <v>Corporate</v>
      </c>
      <c r="O1002" t="str">
        <f>IFERROR(VLOOKUP(E1002,Sales_Reps!$A:$C,3,FALSE()),"")</f>
        <v/>
      </c>
      <c r="P1002">
        <f>IFERROR(VLOOKUP(C1002,Customers!$A:$C,3,FALSE()),"")</f>
        <v>29</v>
      </c>
      <c r="Q1002" t="str">
        <f t="shared" si="15"/>
        <v>Jul-24</v>
      </c>
      <c r="R1002">
        <f>IFERROR((VLOOKUP(D1002,Products!$A:$E,5,FALSE())-VLOOKUP(D1002,Products!$A:$E,4,FALSE()))/VLOOKUP(D1002,Products!$A:$E,5,FALSE()),"")</f>
        <v>0.4031645569620253</v>
      </c>
    </row>
    <row r="1003" spans="1:18" x14ac:dyDescent="0.3">
      <c r="A1003" s="22" t="s">
        <v>2472</v>
      </c>
      <c r="B1003" s="23">
        <v>45531</v>
      </c>
      <c r="C1003" s="22" t="s">
        <v>439</v>
      </c>
      <c r="D1003" s="22" t="s">
        <v>141</v>
      </c>
      <c r="E1003" s="22" t="s">
        <v>2473</v>
      </c>
      <c r="F1003" s="24">
        <v>10</v>
      </c>
      <c r="G1003" s="24">
        <v>5490</v>
      </c>
      <c r="H1003" s="24">
        <v>22.7</v>
      </c>
      <c r="I1003" s="24">
        <v>42437.7</v>
      </c>
      <c r="J1003" s="22" t="s">
        <v>104</v>
      </c>
      <c r="K1003" s="22" t="s">
        <v>111</v>
      </c>
      <c r="L1003" t="str">
        <f>VLOOKUP(D1003,Products!A:F,3,FALSE())</f>
        <v>Home</v>
      </c>
      <c r="M1003" t="str">
        <f>VLOOKUP(C1003,Customers!A:F,5,FALSE())</f>
        <v>Retail</v>
      </c>
      <c r="O1003" t="str">
        <f>IFERROR(VLOOKUP(E1003,Sales_Reps!$A:$C,3,FALSE()),"")</f>
        <v/>
      </c>
      <c r="P1003">
        <f>IFERROR(VLOOKUP(C1003,Customers!$A:$C,3,FALSE()),"")</f>
        <v>60</v>
      </c>
      <c r="Q1003" t="str">
        <f t="shared" si="15"/>
        <v>Aug-24</v>
      </c>
      <c r="R1003">
        <f>IFERROR((VLOOKUP(D1003,Products!$A:$E,5,FALSE())-VLOOKUP(D1003,Products!$A:$E,4,FALSE()))/VLOOKUP(D1003,Products!$A:$E,5,FALSE()),"")</f>
        <v>0.53570127504553733</v>
      </c>
    </row>
    <row r="1004" spans="1:18" x14ac:dyDescent="0.3">
      <c r="A1004" s="22" t="s">
        <v>2474</v>
      </c>
      <c r="B1004" s="23">
        <v>45563</v>
      </c>
      <c r="C1004" s="22" t="s">
        <v>1007</v>
      </c>
      <c r="D1004" s="22" t="s">
        <v>224</v>
      </c>
      <c r="E1004" s="22" t="s">
        <v>2475</v>
      </c>
      <c r="F1004" s="24">
        <v>8</v>
      </c>
      <c r="G1004" s="24">
        <v>2860</v>
      </c>
      <c r="H1004" s="24">
        <v>14.3</v>
      </c>
      <c r="I1004" s="24">
        <v>19608.16</v>
      </c>
      <c r="J1004" s="22" t="s">
        <v>104</v>
      </c>
      <c r="K1004" s="22" t="s">
        <v>111</v>
      </c>
      <c r="L1004" t="str">
        <f>VLOOKUP(D1004,Products!A:F,3,FALSE())</f>
        <v>Sports</v>
      </c>
      <c r="M1004" t="str">
        <f>VLOOKUP(C1004,Customers!A:F,5,FALSE())</f>
        <v>SMB</v>
      </c>
      <c r="O1004" t="str">
        <f>IFERROR(VLOOKUP(E1004,Sales_Reps!$A:$C,3,FALSE()),"")</f>
        <v/>
      </c>
      <c r="P1004">
        <f>IFERROR(VLOOKUP(C1004,Customers!$A:$C,3,FALSE()),"")</f>
        <v>46</v>
      </c>
      <c r="Q1004" t="str">
        <f t="shared" si="15"/>
        <v>Sep-24</v>
      </c>
      <c r="R1004">
        <f>IFERROR((VLOOKUP(D1004,Products!$A:$E,5,FALSE())-VLOOKUP(D1004,Products!$A:$E,4,FALSE()))/VLOOKUP(D1004,Products!$A:$E,5,FALSE()),"")</f>
        <v>0.29090909090909089</v>
      </c>
    </row>
    <row r="1005" spans="1:18" x14ac:dyDescent="0.3">
      <c r="A1005" s="22" t="s">
        <v>2476</v>
      </c>
      <c r="B1005" s="23">
        <v>45416</v>
      </c>
      <c r="C1005" s="22" t="s">
        <v>292</v>
      </c>
      <c r="D1005" s="22" t="s">
        <v>479</v>
      </c>
      <c r="E1005" s="22" t="s">
        <v>2477</v>
      </c>
      <c r="F1005" s="24">
        <v>1</v>
      </c>
      <c r="G1005" s="24">
        <v>960</v>
      </c>
      <c r="H1005" s="24">
        <v>11.9</v>
      </c>
      <c r="I1005" s="24">
        <v>845.76</v>
      </c>
      <c r="J1005" s="22" t="s">
        <v>104</v>
      </c>
      <c r="K1005" s="22" t="s">
        <v>134</v>
      </c>
      <c r="L1005" t="str">
        <f>VLOOKUP(D1005,Products!A:F,3,FALSE())</f>
        <v>Beauty</v>
      </c>
      <c r="M1005" t="str">
        <f>VLOOKUP(C1005,Customers!A:F,5,FALSE())</f>
        <v>Retail</v>
      </c>
      <c r="O1005" t="str">
        <f>IFERROR(VLOOKUP(E1005,Sales_Reps!$A:$C,3,FALSE()),"")</f>
        <v/>
      </c>
      <c r="P1005">
        <f>IFERROR(VLOOKUP(C1005,Customers!$A:$C,3,FALSE()),"")</f>
        <v>34</v>
      </c>
      <c r="Q1005" t="str">
        <f t="shared" si="15"/>
        <v>May-24</v>
      </c>
      <c r="R1005">
        <f>IFERROR((VLOOKUP(D1005,Products!$A:$E,5,FALSE())-VLOOKUP(D1005,Products!$A:$E,4,FALSE()))/VLOOKUP(D1005,Products!$A:$E,5,FALSE()),"")</f>
        <v>0.296875</v>
      </c>
    </row>
    <row r="1006" spans="1:18" x14ac:dyDescent="0.3">
      <c r="A1006" s="22" t="s">
        <v>2478</v>
      </c>
      <c r="B1006" s="23">
        <v>45430</v>
      </c>
      <c r="C1006" s="22" t="s">
        <v>1097</v>
      </c>
      <c r="D1006" s="22" t="s">
        <v>186</v>
      </c>
      <c r="E1006" s="22" t="s">
        <v>2479</v>
      </c>
      <c r="F1006" s="24">
        <v>3</v>
      </c>
      <c r="G1006" s="24">
        <v>1080</v>
      </c>
      <c r="H1006" s="24">
        <v>26</v>
      </c>
      <c r="I1006" s="24">
        <v>2397.6</v>
      </c>
      <c r="J1006" s="22" t="s">
        <v>104</v>
      </c>
      <c r="K1006" s="22" t="s">
        <v>134</v>
      </c>
      <c r="L1006" t="str">
        <f>VLOOKUP(D1006,Products!A:F,3,FALSE())</f>
        <v>Home</v>
      </c>
      <c r="M1006" t="str">
        <f>VLOOKUP(C1006,Customers!A:F,5,FALSE())</f>
        <v>Retail</v>
      </c>
      <c r="O1006" t="str">
        <f>IFERROR(VLOOKUP(E1006,Sales_Reps!$A:$C,3,FALSE()),"")</f>
        <v/>
      </c>
      <c r="P1006">
        <f>IFERROR(VLOOKUP(C1006,Customers!$A:$C,3,FALSE()),"")</f>
        <v>32</v>
      </c>
      <c r="Q1006" t="str">
        <f t="shared" si="15"/>
        <v>May-24</v>
      </c>
      <c r="R1006">
        <f>IFERROR((VLOOKUP(D1006,Products!$A:$E,5,FALSE())-VLOOKUP(D1006,Products!$A:$E,4,FALSE()))/VLOOKUP(D1006,Products!$A:$E,5,FALSE()),"")</f>
        <v>0.51944444444444449</v>
      </c>
    </row>
    <row r="1007" spans="1:18" x14ac:dyDescent="0.3">
      <c r="A1007" s="22" t="s">
        <v>2480</v>
      </c>
      <c r="B1007" s="23">
        <v>45585</v>
      </c>
      <c r="C1007" s="22" t="s">
        <v>494</v>
      </c>
      <c r="D1007" s="22" t="s">
        <v>224</v>
      </c>
      <c r="E1007" s="22" t="s">
        <v>2481</v>
      </c>
      <c r="F1007" s="24">
        <v>10</v>
      </c>
      <c r="G1007" s="24">
        <v>2860</v>
      </c>
      <c r="H1007" s="24">
        <v>13.1</v>
      </c>
      <c r="I1007" s="24">
        <v>24853.4</v>
      </c>
      <c r="J1007" s="22" t="s">
        <v>164</v>
      </c>
      <c r="K1007" s="22" t="s">
        <v>105</v>
      </c>
      <c r="L1007" t="str">
        <f>VLOOKUP(D1007,Products!A:F,3,FALSE())</f>
        <v>Sports</v>
      </c>
      <c r="M1007" t="str">
        <f>VLOOKUP(C1007,Customers!A:F,5,FALSE())</f>
        <v>SMB</v>
      </c>
      <c r="O1007" t="str">
        <f>IFERROR(VLOOKUP(E1007,Sales_Reps!$A:$C,3,FALSE()),"")</f>
        <v/>
      </c>
      <c r="P1007">
        <f>IFERROR(VLOOKUP(C1007,Customers!$A:$C,3,FALSE()),"")</f>
        <v>54</v>
      </c>
      <c r="Q1007" t="str">
        <f t="shared" si="15"/>
        <v>Oct-24</v>
      </c>
      <c r="R1007">
        <f>IFERROR((VLOOKUP(D1007,Products!$A:$E,5,FALSE())-VLOOKUP(D1007,Products!$A:$E,4,FALSE()))/VLOOKUP(D1007,Products!$A:$E,5,FALSE()),"")</f>
        <v>0.29090909090909089</v>
      </c>
    </row>
    <row r="1008" spans="1:18" x14ac:dyDescent="0.3">
      <c r="A1008" s="22" t="s">
        <v>2482</v>
      </c>
      <c r="B1008" s="23">
        <v>45630</v>
      </c>
      <c r="C1008" s="22" t="s">
        <v>2227</v>
      </c>
      <c r="D1008" s="22" t="s">
        <v>279</v>
      </c>
      <c r="E1008" s="22" t="s">
        <v>2483</v>
      </c>
      <c r="F1008" s="24">
        <v>3</v>
      </c>
      <c r="G1008" s="24">
        <v>3640</v>
      </c>
      <c r="H1008" s="24">
        <v>18.2</v>
      </c>
      <c r="I1008" s="24">
        <v>8932.56</v>
      </c>
      <c r="J1008" s="22" t="s">
        <v>104</v>
      </c>
      <c r="K1008" s="22" t="s">
        <v>111</v>
      </c>
      <c r="L1008" t="str">
        <f>VLOOKUP(D1008,Products!A:F,3,FALSE())</f>
        <v>Apparel</v>
      </c>
      <c r="M1008" t="str">
        <f>VLOOKUP(C1008,Customers!A:F,5,FALSE())</f>
        <v>Retail</v>
      </c>
      <c r="O1008" t="str">
        <f>IFERROR(VLOOKUP(E1008,Sales_Reps!$A:$C,3,FALSE()),"")</f>
        <v/>
      </c>
      <c r="P1008">
        <f>IFERROR(VLOOKUP(C1008,Customers!$A:$C,3,FALSE()),"")</f>
        <v>34</v>
      </c>
      <c r="Q1008" t="str">
        <f t="shared" si="15"/>
        <v>Dec-24</v>
      </c>
      <c r="R1008">
        <f>IFERROR((VLOOKUP(D1008,Products!$A:$E,5,FALSE())-VLOOKUP(D1008,Products!$A:$E,4,FALSE()))/VLOOKUP(D1008,Products!$A:$E,5,FALSE()),"")</f>
        <v>0.28269230769230769</v>
      </c>
    </row>
    <row r="1009" spans="1:18" x14ac:dyDescent="0.3">
      <c r="A1009" s="22" t="s">
        <v>2484</v>
      </c>
      <c r="B1009" s="23">
        <v>45405</v>
      </c>
      <c r="C1009" s="22" t="s">
        <v>237</v>
      </c>
      <c r="D1009" s="22" t="s">
        <v>197</v>
      </c>
      <c r="E1009" s="22" t="s">
        <v>2485</v>
      </c>
      <c r="F1009" s="24">
        <v>3</v>
      </c>
      <c r="G1009" s="24">
        <v>2720</v>
      </c>
      <c r="H1009" s="24">
        <v>3.6</v>
      </c>
      <c r="I1009" s="24">
        <v>7866.24</v>
      </c>
      <c r="J1009" s="22" t="s">
        <v>104</v>
      </c>
      <c r="K1009" s="22" t="s">
        <v>151</v>
      </c>
      <c r="L1009" t="str">
        <f>VLOOKUP(D1009,Products!A:F,3,FALSE())</f>
        <v>Apparel</v>
      </c>
      <c r="M1009" t="str">
        <f>VLOOKUP(C1009,Customers!A:F,5,FALSE())</f>
        <v>SMB</v>
      </c>
      <c r="O1009" t="str">
        <f>IFERROR(VLOOKUP(E1009,Sales_Reps!$A:$C,3,FALSE()),"")</f>
        <v/>
      </c>
      <c r="P1009">
        <f>IFERROR(VLOOKUP(C1009,Customers!$A:$C,3,FALSE()),"")</f>
        <v>40</v>
      </c>
      <c r="Q1009" t="str">
        <f t="shared" si="15"/>
        <v>Apr-24</v>
      </c>
      <c r="R1009">
        <f>IFERROR((VLOOKUP(D1009,Products!$A:$E,5,FALSE())-VLOOKUP(D1009,Products!$A:$E,4,FALSE()))/VLOOKUP(D1009,Products!$A:$E,5,FALSE()),"")</f>
        <v>0.2786764705882353</v>
      </c>
    </row>
    <row r="1010" spans="1:18" x14ac:dyDescent="0.3">
      <c r="A1010" s="22" t="s">
        <v>2486</v>
      </c>
      <c r="B1010" s="23">
        <v>45630</v>
      </c>
      <c r="C1010" s="22" t="s">
        <v>731</v>
      </c>
      <c r="D1010" s="22" t="s">
        <v>149</v>
      </c>
      <c r="E1010" s="22" t="s">
        <v>2487</v>
      </c>
      <c r="F1010" s="24">
        <v>4</v>
      </c>
      <c r="G1010" s="24">
        <v>2270</v>
      </c>
      <c r="H1010" s="24">
        <v>18.399999999999999</v>
      </c>
      <c r="I1010" s="24">
        <v>7409.28</v>
      </c>
      <c r="J1010" s="22" t="s">
        <v>104</v>
      </c>
      <c r="K1010" s="22" t="s">
        <v>151</v>
      </c>
      <c r="L1010" t="str">
        <f>VLOOKUP(D1010,Products!A:F,3,FALSE())</f>
        <v>Grocery</v>
      </c>
      <c r="M1010" t="str">
        <f>VLOOKUP(C1010,Customers!A:F,5,FALSE())</f>
        <v>SMB</v>
      </c>
      <c r="O1010" t="str">
        <f>IFERROR(VLOOKUP(E1010,Sales_Reps!$A:$C,3,FALSE()),"")</f>
        <v/>
      </c>
      <c r="P1010">
        <f>IFERROR(VLOOKUP(C1010,Customers!$A:$C,3,FALSE()),"")</f>
        <v>48</v>
      </c>
      <c r="Q1010" t="str">
        <f t="shared" si="15"/>
        <v>Dec-24</v>
      </c>
      <c r="R1010">
        <f>IFERROR((VLOOKUP(D1010,Products!$A:$E,5,FALSE())-VLOOKUP(D1010,Products!$A:$E,4,FALSE()))/VLOOKUP(D1010,Products!$A:$E,5,FALSE()),"")</f>
        <v>0.47004405286343615</v>
      </c>
    </row>
    <row r="1011" spans="1:18" x14ac:dyDescent="0.3">
      <c r="A1011" s="22" t="s">
        <v>2488</v>
      </c>
      <c r="B1011" s="23">
        <v>45483</v>
      </c>
      <c r="C1011" s="22" t="s">
        <v>1906</v>
      </c>
      <c r="D1011" s="22" t="s">
        <v>319</v>
      </c>
      <c r="E1011" s="22" t="s">
        <v>2489</v>
      </c>
      <c r="F1011" s="24">
        <v>5</v>
      </c>
      <c r="G1011" s="24">
        <v>1220</v>
      </c>
      <c r="H1011" s="24">
        <v>13.9</v>
      </c>
      <c r="I1011" s="24">
        <v>5252.1</v>
      </c>
      <c r="J1011" s="22" t="s">
        <v>104</v>
      </c>
      <c r="K1011" s="22" t="s">
        <v>151</v>
      </c>
      <c r="L1011" t="str">
        <f>VLOOKUP(D1011,Products!A:F,3,FALSE())</f>
        <v>Electronics</v>
      </c>
      <c r="M1011" t="str">
        <f>VLOOKUP(C1011,Customers!A:F,5,FALSE())</f>
        <v>SMB</v>
      </c>
      <c r="O1011" t="str">
        <f>IFERROR(VLOOKUP(E1011,Sales_Reps!$A:$C,3,FALSE()),"")</f>
        <v/>
      </c>
      <c r="P1011">
        <f>IFERROR(VLOOKUP(C1011,Customers!$A:$C,3,FALSE()),"")</f>
        <v>25</v>
      </c>
      <c r="Q1011" t="str">
        <f t="shared" si="15"/>
        <v>Jul-24</v>
      </c>
      <c r="R1011">
        <f>IFERROR((VLOOKUP(D1011,Products!$A:$E,5,FALSE())-VLOOKUP(D1011,Products!$A:$E,4,FALSE()))/VLOOKUP(D1011,Products!$A:$E,5,FALSE()),"")</f>
        <v>0.57622950819672136</v>
      </c>
    </row>
    <row r="1012" spans="1:18" x14ac:dyDescent="0.3">
      <c r="A1012" s="22" t="s">
        <v>2490</v>
      </c>
      <c r="B1012" s="23">
        <v>45530</v>
      </c>
      <c r="C1012" s="22" t="s">
        <v>361</v>
      </c>
      <c r="D1012" s="22" t="s">
        <v>153</v>
      </c>
      <c r="E1012" s="22" t="s">
        <v>2491</v>
      </c>
      <c r="F1012" s="24">
        <v>8</v>
      </c>
      <c r="G1012" s="24">
        <v>2640</v>
      </c>
      <c r="H1012" s="24">
        <v>17.3</v>
      </c>
      <c r="I1012" s="24">
        <v>17466.240000000002</v>
      </c>
      <c r="J1012" s="22" t="s">
        <v>104</v>
      </c>
      <c r="K1012" s="22" t="s">
        <v>151</v>
      </c>
      <c r="L1012" t="str">
        <f>VLOOKUP(D1012,Products!A:F,3,FALSE())</f>
        <v>Electronics</v>
      </c>
      <c r="M1012" t="str">
        <f>VLOOKUP(C1012,Customers!A:F,5,FALSE())</f>
        <v>Retail</v>
      </c>
      <c r="O1012" t="str">
        <f>IFERROR(VLOOKUP(E1012,Sales_Reps!$A:$C,3,FALSE()),"")</f>
        <v/>
      </c>
      <c r="P1012">
        <f>IFERROR(VLOOKUP(C1012,Customers!$A:$C,3,FALSE()),"")</f>
        <v>29</v>
      </c>
      <c r="Q1012" t="str">
        <f t="shared" si="15"/>
        <v>Aug-24</v>
      </c>
      <c r="R1012">
        <f>IFERROR((VLOOKUP(D1012,Products!$A:$E,5,FALSE())-VLOOKUP(D1012,Products!$A:$E,4,FALSE()))/VLOOKUP(D1012,Products!$A:$E,5,FALSE()),"")</f>
        <v>0.56477272727272732</v>
      </c>
    </row>
    <row r="1013" spans="1:18" x14ac:dyDescent="0.3">
      <c r="A1013" s="22" t="s">
        <v>2492</v>
      </c>
      <c r="B1013" s="23">
        <v>45500</v>
      </c>
      <c r="C1013" s="22" t="s">
        <v>473</v>
      </c>
      <c r="D1013" s="22" t="s">
        <v>145</v>
      </c>
      <c r="E1013" s="22" t="s">
        <v>2493</v>
      </c>
      <c r="F1013" s="24">
        <v>1</v>
      </c>
      <c r="G1013" s="24">
        <v>970</v>
      </c>
      <c r="H1013" s="24">
        <v>28</v>
      </c>
      <c r="I1013" s="24">
        <v>698.4</v>
      </c>
      <c r="J1013" s="22" t="s">
        <v>159</v>
      </c>
      <c r="K1013" s="22" t="s">
        <v>134</v>
      </c>
      <c r="L1013" t="str">
        <f>VLOOKUP(D1013,Products!A:F,3,FALSE())</f>
        <v>Grocery</v>
      </c>
      <c r="M1013" t="str">
        <f>VLOOKUP(C1013,Customers!A:F,5,FALSE())</f>
        <v>SMB</v>
      </c>
      <c r="O1013" t="str">
        <f>IFERROR(VLOOKUP(E1013,Sales_Reps!$A:$C,3,FALSE()),"")</f>
        <v/>
      </c>
      <c r="P1013">
        <f>IFERROR(VLOOKUP(C1013,Customers!$A:$C,3,FALSE()),"")</f>
        <v>44</v>
      </c>
      <c r="Q1013" t="str">
        <f t="shared" si="15"/>
        <v>Jul-24</v>
      </c>
      <c r="R1013">
        <f>IFERROR((VLOOKUP(D1013,Products!$A:$E,5,FALSE())-VLOOKUP(D1013,Products!$A:$E,4,FALSE()))/VLOOKUP(D1013,Products!$A:$E,5,FALSE()),"")</f>
        <v>0.5525773195876289</v>
      </c>
    </row>
    <row r="1014" spans="1:18" x14ac:dyDescent="0.3">
      <c r="A1014" s="22" t="s">
        <v>2494</v>
      </c>
      <c r="B1014" s="23">
        <v>45358</v>
      </c>
      <c r="C1014" s="22" t="s">
        <v>329</v>
      </c>
      <c r="D1014" s="22" t="s">
        <v>265</v>
      </c>
      <c r="E1014" s="22" t="s">
        <v>2495</v>
      </c>
      <c r="F1014" s="24">
        <v>8</v>
      </c>
      <c r="G1014" s="24">
        <v>3730</v>
      </c>
      <c r="H1014" s="24">
        <v>2.1</v>
      </c>
      <c r="I1014" s="24">
        <v>29213.360000000001</v>
      </c>
      <c r="J1014" s="22" t="s">
        <v>164</v>
      </c>
      <c r="K1014" s="22" t="s">
        <v>105</v>
      </c>
      <c r="L1014" t="str">
        <f>VLOOKUP(D1014,Products!A:F,3,FALSE())</f>
        <v>Home</v>
      </c>
      <c r="M1014" t="str">
        <f>VLOOKUP(C1014,Customers!A:F,5,FALSE())</f>
        <v>Retail</v>
      </c>
      <c r="O1014" t="str">
        <f>IFERROR(VLOOKUP(E1014,Sales_Reps!$A:$C,3,FALSE()),"")</f>
        <v/>
      </c>
      <c r="P1014">
        <f>IFERROR(VLOOKUP(C1014,Customers!$A:$C,3,FALSE()),"")</f>
        <v>44</v>
      </c>
      <c r="Q1014" t="str">
        <f t="shared" si="15"/>
        <v>Mar-24</v>
      </c>
      <c r="R1014">
        <f>IFERROR((VLOOKUP(D1014,Products!$A:$E,5,FALSE())-VLOOKUP(D1014,Products!$A:$E,4,FALSE()))/VLOOKUP(D1014,Products!$A:$E,5,FALSE()),"")</f>
        <v>0.42761394101876676</v>
      </c>
    </row>
    <row r="1015" spans="1:18" x14ac:dyDescent="0.3">
      <c r="A1015" s="22" t="s">
        <v>2496</v>
      </c>
      <c r="B1015" s="23">
        <v>45598</v>
      </c>
      <c r="C1015" s="22" t="s">
        <v>1154</v>
      </c>
      <c r="D1015" s="22" t="s">
        <v>145</v>
      </c>
      <c r="E1015" s="22" t="s">
        <v>2497</v>
      </c>
      <c r="F1015" s="24">
        <v>7</v>
      </c>
      <c r="G1015" s="24">
        <v>970</v>
      </c>
      <c r="H1015" s="24">
        <v>25.5</v>
      </c>
      <c r="I1015" s="24">
        <v>5058.55</v>
      </c>
      <c r="J1015" s="22" t="s">
        <v>104</v>
      </c>
      <c r="K1015" s="22" t="s">
        <v>105</v>
      </c>
      <c r="L1015" t="str">
        <f>VLOOKUP(D1015,Products!A:F,3,FALSE())</f>
        <v>Grocery</v>
      </c>
      <c r="M1015" t="str">
        <f>VLOOKUP(C1015,Customers!A:F,5,FALSE())</f>
        <v>Retail</v>
      </c>
      <c r="O1015" t="str">
        <f>IFERROR(VLOOKUP(E1015,Sales_Reps!$A:$C,3,FALSE()),"")</f>
        <v/>
      </c>
      <c r="P1015">
        <f>IFERROR(VLOOKUP(C1015,Customers!$A:$C,3,FALSE()),"")</f>
        <v>31</v>
      </c>
      <c r="Q1015" t="str">
        <f t="shared" si="15"/>
        <v>Nov-24</v>
      </c>
      <c r="R1015">
        <f>IFERROR((VLOOKUP(D1015,Products!$A:$E,5,FALSE())-VLOOKUP(D1015,Products!$A:$E,4,FALSE()))/VLOOKUP(D1015,Products!$A:$E,5,FALSE()),"")</f>
        <v>0.5525773195876289</v>
      </c>
    </row>
    <row r="1016" spans="1:18" x14ac:dyDescent="0.3">
      <c r="A1016" s="22" t="s">
        <v>2498</v>
      </c>
      <c r="B1016" s="23">
        <v>45318</v>
      </c>
      <c r="C1016" s="22" t="s">
        <v>448</v>
      </c>
      <c r="D1016" s="22" t="s">
        <v>216</v>
      </c>
      <c r="E1016" s="22" t="s">
        <v>2499</v>
      </c>
      <c r="F1016" s="24">
        <v>6</v>
      </c>
      <c r="G1016" s="24">
        <v>3570</v>
      </c>
      <c r="H1016" s="24">
        <v>9.9</v>
      </c>
      <c r="I1016" s="24">
        <v>19299.419999999998</v>
      </c>
      <c r="J1016" s="22" t="s">
        <v>104</v>
      </c>
      <c r="K1016" s="22" t="s">
        <v>116</v>
      </c>
      <c r="L1016" t="str">
        <f>VLOOKUP(D1016,Products!A:F,3,FALSE())</f>
        <v>Electronics</v>
      </c>
      <c r="M1016" t="str">
        <f>VLOOKUP(C1016,Customers!A:F,5,FALSE())</f>
        <v>SMB</v>
      </c>
      <c r="O1016" t="str">
        <f>IFERROR(VLOOKUP(E1016,Sales_Reps!$A:$C,3,FALSE()),"")</f>
        <v/>
      </c>
      <c r="P1016">
        <f>IFERROR(VLOOKUP(C1016,Customers!$A:$C,3,FALSE()),"")</f>
        <v>28</v>
      </c>
      <c r="Q1016" t="str">
        <f t="shared" si="15"/>
        <v>Jan-24</v>
      </c>
      <c r="R1016">
        <f>IFERROR((VLOOKUP(D1016,Products!$A:$E,5,FALSE())-VLOOKUP(D1016,Products!$A:$E,4,FALSE()))/VLOOKUP(D1016,Products!$A:$E,5,FALSE()),"")</f>
        <v>0.53361344537815125</v>
      </c>
    </row>
    <row r="1017" spans="1:18" x14ac:dyDescent="0.3">
      <c r="A1017" s="22" t="s">
        <v>2500</v>
      </c>
      <c r="B1017" s="23">
        <v>45524</v>
      </c>
      <c r="C1017" s="22" t="s">
        <v>2501</v>
      </c>
      <c r="D1017" s="22" t="s">
        <v>145</v>
      </c>
      <c r="E1017" s="22" t="s">
        <v>2502</v>
      </c>
      <c r="F1017" s="24">
        <v>6</v>
      </c>
      <c r="G1017" s="24">
        <v>970</v>
      </c>
      <c r="H1017" s="24">
        <v>19.600000000000001</v>
      </c>
      <c r="I1017" s="24">
        <v>4679.28</v>
      </c>
      <c r="J1017" s="22" t="s">
        <v>104</v>
      </c>
      <c r="K1017" s="22" t="s">
        <v>111</v>
      </c>
      <c r="L1017" t="str">
        <f>VLOOKUP(D1017,Products!A:F,3,FALSE())</f>
        <v>Grocery</v>
      </c>
      <c r="M1017" t="str">
        <f>VLOOKUP(C1017,Customers!A:F,5,FALSE())</f>
        <v>Retail</v>
      </c>
      <c r="O1017" t="str">
        <f>IFERROR(VLOOKUP(E1017,Sales_Reps!$A:$C,3,FALSE()),"")</f>
        <v/>
      </c>
      <c r="P1017">
        <f>IFERROR(VLOOKUP(C1017,Customers!$A:$C,3,FALSE()),"")</f>
        <v>26</v>
      </c>
      <c r="Q1017" t="str">
        <f t="shared" si="15"/>
        <v>Aug-24</v>
      </c>
      <c r="R1017">
        <f>IFERROR((VLOOKUP(D1017,Products!$A:$E,5,FALSE())-VLOOKUP(D1017,Products!$A:$E,4,FALSE()))/VLOOKUP(D1017,Products!$A:$E,5,FALSE()),"")</f>
        <v>0.5525773195876289</v>
      </c>
    </row>
    <row r="1018" spans="1:18" x14ac:dyDescent="0.3">
      <c r="A1018" s="22" t="s">
        <v>2503</v>
      </c>
      <c r="B1018" s="23">
        <v>45554</v>
      </c>
      <c r="C1018" s="22" t="s">
        <v>255</v>
      </c>
      <c r="D1018" s="22" t="s">
        <v>605</v>
      </c>
      <c r="E1018" s="22" t="s">
        <v>2504</v>
      </c>
      <c r="F1018" s="24">
        <v>8</v>
      </c>
      <c r="G1018" s="24">
        <v>3780</v>
      </c>
      <c r="H1018" s="24">
        <v>26.5</v>
      </c>
      <c r="I1018" s="24">
        <v>22226.400000000001</v>
      </c>
      <c r="J1018" s="22" t="s">
        <v>104</v>
      </c>
      <c r="K1018" s="22" t="s">
        <v>116</v>
      </c>
      <c r="L1018" t="str">
        <f>VLOOKUP(D1018,Products!A:F,3,FALSE())</f>
        <v>Sports</v>
      </c>
      <c r="M1018" t="str">
        <f>VLOOKUP(C1018,Customers!A:F,5,FALSE())</f>
        <v>SMB</v>
      </c>
      <c r="O1018" t="str">
        <f>IFERROR(VLOOKUP(E1018,Sales_Reps!$A:$C,3,FALSE()),"")</f>
        <v/>
      </c>
      <c r="P1018">
        <f>IFERROR(VLOOKUP(C1018,Customers!$A:$C,3,FALSE()),"")</f>
        <v>50</v>
      </c>
      <c r="Q1018" t="str">
        <f t="shared" si="15"/>
        <v>Sep-24</v>
      </c>
      <c r="R1018">
        <f>IFERROR((VLOOKUP(D1018,Products!$A:$E,5,FALSE())-VLOOKUP(D1018,Products!$A:$E,4,FALSE()))/VLOOKUP(D1018,Products!$A:$E,5,FALSE()),"")</f>
        <v>0.50793650793650791</v>
      </c>
    </row>
    <row r="1019" spans="1:18" x14ac:dyDescent="0.3">
      <c r="A1019" s="22" t="s">
        <v>2505</v>
      </c>
      <c r="B1019" s="23">
        <v>45528</v>
      </c>
      <c r="C1019" s="22" t="s">
        <v>1396</v>
      </c>
      <c r="D1019" s="22" t="s">
        <v>171</v>
      </c>
      <c r="E1019" s="22" t="s">
        <v>2506</v>
      </c>
      <c r="F1019" s="24">
        <v>6</v>
      </c>
      <c r="G1019" s="24">
        <v>2400</v>
      </c>
      <c r="H1019" s="24">
        <v>1.4</v>
      </c>
      <c r="I1019" s="24">
        <v>14198.4</v>
      </c>
      <c r="J1019" s="22" t="s">
        <v>104</v>
      </c>
      <c r="K1019" s="22" t="s">
        <v>134</v>
      </c>
      <c r="L1019" t="str">
        <f>VLOOKUP(D1019,Products!A:F,3,FALSE())</f>
        <v>Sports</v>
      </c>
      <c r="M1019" t="str">
        <f>VLOOKUP(C1019,Customers!A:F,5,FALSE())</f>
        <v>Retail</v>
      </c>
      <c r="O1019" t="str">
        <f>IFERROR(VLOOKUP(E1019,Sales_Reps!$A:$C,3,FALSE()),"")</f>
        <v/>
      </c>
      <c r="P1019">
        <f>IFERROR(VLOOKUP(C1019,Customers!$A:$C,3,FALSE()),"")</f>
        <v>28</v>
      </c>
      <c r="Q1019" t="str">
        <f t="shared" si="15"/>
        <v>Aug-24</v>
      </c>
      <c r="R1019">
        <f>IFERROR((VLOOKUP(D1019,Products!$A:$E,5,FALSE())-VLOOKUP(D1019,Products!$A:$E,4,FALSE()))/VLOOKUP(D1019,Products!$A:$E,5,FALSE()),"")</f>
        <v>0.59416666666666662</v>
      </c>
    </row>
    <row r="1020" spans="1:18" x14ac:dyDescent="0.3">
      <c r="A1020" s="22" t="s">
        <v>2507</v>
      </c>
      <c r="B1020" s="23">
        <v>45486</v>
      </c>
      <c r="C1020" s="22" t="s">
        <v>445</v>
      </c>
      <c r="D1020" s="22" t="s">
        <v>162</v>
      </c>
      <c r="E1020" s="22" t="s">
        <v>2508</v>
      </c>
      <c r="F1020" s="24">
        <v>10</v>
      </c>
      <c r="G1020" s="24">
        <v>3250</v>
      </c>
      <c r="H1020" s="24">
        <v>19.3</v>
      </c>
      <c r="I1020" s="24">
        <v>26227.5</v>
      </c>
      <c r="J1020" s="22" t="s">
        <v>104</v>
      </c>
      <c r="K1020" s="22" t="s">
        <v>116</v>
      </c>
      <c r="L1020" t="str">
        <f>VLOOKUP(D1020,Products!A:F,3,FALSE())</f>
        <v>Home</v>
      </c>
      <c r="M1020" t="str">
        <f>VLOOKUP(C1020,Customers!A:F,5,FALSE())</f>
        <v>SMB</v>
      </c>
      <c r="O1020" t="str">
        <f>IFERROR(VLOOKUP(E1020,Sales_Reps!$A:$C,3,FALSE()),"")</f>
        <v/>
      </c>
      <c r="P1020">
        <f>IFERROR(VLOOKUP(C1020,Customers!$A:$C,3,FALSE()),"")</f>
        <v>38</v>
      </c>
      <c r="Q1020" t="str">
        <f t="shared" si="15"/>
        <v>Jul-24</v>
      </c>
      <c r="R1020">
        <f>IFERROR((VLOOKUP(D1020,Products!$A:$E,5,FALSE())-VLOOKUP(D1020,Products!$A:$E,4,FALSE()))/VLOOKUP(D1020,Products!$A:$E,5,FALSE()),"")</f>
        <v>0.52123076923076928</v>
      </c>
    </row>
    <row r="1021" spans="1:18" x14ac:dyDescent="0.3">
      <c r="A1021" s="22" t="s">
        <v>2509</v>
      </c>
      <c r="B1021" s="23">
        <v>45336</v>
      </c>
      <c r="C1021" s="22" t="s">
        <v>491</v>
      </c>
      <c r="D1021" s="22" t="s">
        <v>231</v>
      </c>
      <c r="E1021" s="22" t="s">
        <v>2510</v>
      </c>
      <c r="F1021" s="24">
        <v>7</v>
      </c>
      <c r="G1021" s="24">
        <v>2760</v>
      </c>
      <c r="H1021" s="24">
        <v>23.6</v>
      </c>
      <c r="I1021" s="24">
        <v>14760.48</v>
      </c>
      <c r="J1021" s="22" t="s">
        <v>110</v>
      </c>
      <c r="K1021" s="22" t="s">
        <v>151</v>
      </c>
      <c r="L1021" t="str">
        <f>VLOOKUP(D1021,Products!A:F,3,FALSE())</f>
        <v>Grocery</v>
      </c>
      <c r="M1021" t="str">
        <f>VLOOKUP(C1021,Customers!A:F,5,FALSE())</f>
        <v>Retail</v>
      </c>
      <c r="O1021" t="str">
        <f>IFERROR(VLOOKUP(E1021,Sales_Reps!$A:$C,3,FALSE()),"")</f>
        <v/>
      </c>
      <c r="P1021">
        <f>IFERROR(VLOOKUP(C1021,Customers!$A:$C,3,FALSE()),"")</f>
        <v>44</v>
      </c>
      <c r="Q1021" t="str">
        <f t="shared" si="15"/>
        <v>Feb-24</v>
      </c>
      <c r="R1021">
        <f>IFERROR((VLOOKUP(D1021,Products!$A:$E,5,FALSE())-VLOOKUP(D1021,Products!$A:$E,4,FALSE()))/VLOOKUP(D1021,Products!$A:$E,5,FALSE()),"")</f>
        <v>0.48007246376811596</v>
      </c>
    </row>
    <row r="1022" spans="1:18" x14ac:dyDescent="0.3">
      <c r="A1022" s="22" t="s">
        <v>2511</v>
      </c>
      <c r="B1022" s="23">
        <v>45463</v>
      </c>
      <c r="C1022" s="22" t="s">
        <v>271</v>
      </c>
      <c r="D1022" s="22" t="s">
        <v>216</v>
      </c>
      <c r="E1022" s="22" t="s">
        <v>2512</v>
      </c>
      <c r="F1022" s="24">
        <v>3</v>
      </c>
      <c r="G1022" s="24">
        <v>3570</v>
      </c>
      <c r="H1022" s="24">
        <v>26.3</v>
      </c>
      <c r="I1022" s="24">
        <v>7893.27</v>
      </c>
      <c r="J1022" s="22" t="s">
        <v>104</v>
      </c>
      <c r="K1022" s="22" t="s">
        <v>134</v>
      </c>
      <c r="L1022" t="str">
        <f>VLOOKUP(D1022,Products!A:F,3,FALSE())</f>
        <v>Electronics</v>
      </c>
      <c r="M1022" t="str">
        <f>VLOOKUP(C1022,Customers!A:F,5,FALSE())</f>
        <v>SMB</v>
      </c>
      <c r="O1022" t="str">
        <f>IFERROR(VLOOKUP(E1022,Sales_Reps!$A:$C,3,FALSE()),"")</f>
        <v/>
      </c>
      <c r="P1022">
        <f>IFERROR(VLOOKUP(C1022,Customers!$A:$C,3,FALSE()),"")</f>
        <v>64</v>
      </c>
      <c r="Q1022" t="str">
        <f t="shared" si="15"/>
        <v>Jun-24</v>
      </c>
      <c r="R1022">
        <f>IFERROR((VLOOKUP(D1022,Products!$A:$E,5,FALSE())-VLOOKUP(D1022,Products!$A:$E,4,FALSE()))/VLOOKUP(D1022,Products!$A:$E,5,FALSE()),"")</f>
        <v>0.53361344537815125</v>
      </c>
    </row>
    <row r="1023" spans="1:18" x14ac:dyDescent="0.3">
      <c r="A1023" s="22" t="s">
        <v>2513</v>
      </c>
      <c r="B1023" s="23">
        <v>45392</v>
      </c>
      <c r="C1023" s="22" t="s">
        <v>810</v>
      </c>
      <c r="D1023" s="22" t="s">
        <v>275</v>
      </c>
      <c r="E1023" s="22" t="s">
        <v>2514</v>
      </c>
      <c r="F1023" s="24">
        <v>4</v>
      </c>
      <c r="G1023" s="24">
        <v>3780</v>
      </c>
      <c r="H1023" s="24">
        <v>10.1</v>
      </c>
      <c r="I1023" s="24">
        <v>13592.88</v>
      </c>
      <c r="J1023" s="22" t="s">
        <v>104</v>
      </c>
      <c r="K1023" s="22" t="s">
        <v>111</v>
      </c>
      <c r="L1023" t="str">
        <f>VLOOKUP(D1023,Products!A:F,3,FALSE())</f>
        <v>Grocery</v>
      </c>
      <c r="M1023" t="str">
        <f>VLOOKUP(C1023,Customers!A:F,5,FALSE())</f>
        <v>Retail</v>
      </c>
      <c r="O1023" t="str">
        <f>IFERROR(VLOOKUP(E1023,Sales_Reps!$A:$C,3,FALSE()),"")</f>
        <v/>
      </c>
      <c r="P1023">
        <f>IFERROR(VLOOKUP(C1023,Customers!$A:$C,3,FALSE()),"")</f>
        <v>26</v>
      </c>
      <c r="Q1023" t="str">
        <f t="shared" si="15"/>
        <v>Apr-24</v>
      </c>
      <c r="R1023">
        <f>IFERROR((VLOOKUP(D1023,Products!$A:$E,5,FALSE())-VLOOKUP(D1023,Products!$A:$E,4,FALSE()))/VLOOKUP(D1023,Products!$A:$E,5,FALSE()),"")</f>
        <v>0.35555555555555557</v>
      </c>
    </row>
    <row r="1024" spans="1:18" x14ac:dyDescent="0.3">
      <c r="A1024" s="22" t="s">
        <v>2515</v>
      </c>
      <c r="B1024" s="23">
        <v>45600</v>
      </c>
      <c r="C1024" s="22" t="s">
        <v>838</v>
      </c>
      <c r="D1024" s="22" t="s">
        <v>137</v>
      </c>
      <c r="E1024" s="22" t="s">
        <v>2516</v>
      </c>
      <c r="F1024" s="24">
        <v>10</v>
      </c>
      <c r="G1024" s="24">
        <v>1430</v>
      </c>
      <c r="H1024" s="24">
        <v>3.7</v>
      </c>
      <c r="I1024" s="24">
        <v>13770.9</v>
      </c>
      <c r="J1024" s="22" t="s">
        <v>104</v>
      </c>
      <c r="K1024" s="22" t="s">
        <v>111</v>
      </c>
      <c r="L1024" t="str">
        <f>VLOOKUP(D1024,Products!A:F,3,FALSE())</f>
        <v>Electronics</v>
      </c>
      <c r="M1024" t="str">
        <f>VLOOKUP(C1024,Customers!A:F,5,FALSE())</f>
        <v>Retail</v>
      </c>
      <c r="O1024" t="str">
        <f>IFERROR(VLOOKUP(E1024,Sales_Reps!$A:$C,3,FALSE()),"")</f>
        <v/>
      </c>
      <c r="P1024">
        <f>IFERROR(VLOOKUP(C1024,Customers!$A:$C,3,FALSE()),"")</f>
        <v>61</v>
      </c>
      <c r="Q1024" t="str">
        <f t="shared" si="15"/>
        <v>Nov-24</v>
      </c>
      <c r="R1024">
        <f>IFERROR((VLOOKUP(D1024,Products!$A:$E,5,FALSE())-VLOOKUP(D1024,Products!$A:$E,4,FALSE()))/VLOOKUP(D1024,Products!$A:$E,5,FALSE()),"")</f>
        <v>0.39790209790209791</v>
      </c>
    </row>
    <row r="1025" spans="1:18" x14ac:dyDescent="0.3">
      <c r="A1025" s="22" t="s">
        <v>2517</v>
      </c>
      <c r="B1025" s="23">
        <v>45411</v>
      </c>
      <c r="C1025" s="22" t="s">
        <v>1077</v>
      </c>
      <c r="D1025" s="22" t="s">
        <v>289</v>
      </c>
      <c r="E1025" s="22" t="s">
        <v>2518</v>
      </c>
      <c r="F1025" s="24">
        <v>6</v>
      </c>
      <c r="G1025" s="24">
        <v>2270</v>
      </c>
      <c r="H1025" s="24">
        <v>7.9</v>
      </c>
      <c r="I1025" s="24">
        <v>12544.02</v>
      </c>
      <c r="J1025" s="22" t="s">
        <v>164</v>
      </c>
      <c r="K1025" s="22" t="s">
        <v>151</v>
      </c>
      <c r="L1025" t="str">
        <f>VLOOKUP(D1025,Products!A:F,3,FALSE())</f>
        <v>Grocery</v>
      </c>
      <c r="M1025" t="str">
        <f>VLOOKUP(C1025,Customers!A:F,5,FALSE())</f>
        <v>SMB</v>
      </c>
      <c r="O1025" t="str">
        <f>IFERROR(VLOOKUP(E1025,Sales_Reps!$A:$C,3,FALSE()),"")</f>
        <v/>
      </c>
      <c r="P1025">
        <f>IFERROR(VLOOKUP(C1025,Customers!$A:$C,3,FALSE()),"")</f>
        <v>29</v>
      </c>
      <c r="Q1025" t="str">
        <f t="shared" si="15"/>
        <v>Apr-24</v>
      </c>
      <c r="R1025">
        <f>IFERROR((VLOOKUP(D1025,Products!$A:$E,5,FALSE())-VLOOKUP(D1025,Products!$A:$E,4,FALSE()))/VLOOKUP(D1025,Products!$A:$E,5,FALSE()),"")</f>
        <v>0.37797356828193834</v>
      </c>
    </row>
    <row r="1026" spans="1:18" x14ac:dyDescent="0.3">
      <c r="A1026" s="22" t="s">
        <v>2519</v>
      </c>
      <c r="B1026" s="23">
        <v>45406</v>
      </c>
      <c r="C1026" s="22" t="s">
        <v>640</v>
      </c>
      <c r="D1026" s="22" t="s">
        <v>209</v>
      </c>
      <c r="E1026" s="22" t="s">
        <v>2520</v>
      </c>
      <c r="F1026" s="24">
        <v>1</v>
      </c>
      <c r="G1026" s="24">
        <v>1010</v>
      </c>
      <c r="H1026" s="24">
        <v>6.9</v>
      </c>
      <c r="I1026" s="24">
        <v>940.31</v>
      </c>
      <c r="J1026" s="22" t="s">
        <v>110</v>
      </c>
      <c r="K1026" s="22" t="s">
        <v>151</v>
      </c>
      <c r="L1026" t="str">
        <f>VLOOKUP(D1026,Products!A:F,3,FALSE())</f>
        <v>Sports</v>
      </c>
      <c r="M1026" t="str">
        <f>VLOOKUP(C1026,Customers!A:F,5,FALSE())</f>
        <v>Corporate</v>
      </c>
      <c r="O1026" t="str">
        <f>IFERROR(VLOOKUP(E1026,Sales_Reps!$A:$C,3,FALSE()),"")</f>
        <v/>
      </c>
      <c r="P1026">
        <f>IFERROR(VLOOKUP(C1026,Customers!$A:$C,3,FALSE()),"")</f>
        <v>52</v>
      </c>
      <c r="Q1026" t="str">
        <f t="shared" ref="Q1026:Q1089" si="16">TEXT(B1026,"mmm-yy")</f>
        <v>Apr-24</v>
      </c>
      <c r="R1026">
        <f>IFERROR((VLOOKUP(D1026,Products!$A:$E,5,FALSE())-VLOOKUP(D1026,Products!$A:$E,4,FALSE()))/VLOOKUP(D1026,Products!$A:$E,5,FALSE()),"")</f>
        <v>0.4891089108910891</v>
      </c>
    </row>
    <row r="1027" spans="1:18" x14ac:dyDescent="0.3">
      <c r="A1027" s="22" t="s">
        <v>2521</v>
      </c>
      <c r="B1027" s="23">
        <v>45411</v>
      </c>
      <c r="C1027" s="22" t="s">
        <v>200</v>
      </c>
      <c r="D1027" s="22" t="s">
        <v>224</v>
      </c>
      <c r="E1027" s="22" t="s">
        <v>2522</v>
      </c>
      <c r="F1027" s="24">
        <v>2</v>
      </c>
      <c r="G1027" s="24">
        <v>2860</v>
      </c>
      <c r="H1027" s="24">
        <v>20.100000000000001</v>
      </c>
      <c r="I1027" s="24">
        <v>4570.28</v>
      </c>
      <c r="J1027" s="22" t="s">
        <v>104</v>
      </c>
      <c r="K1027" s="22" t="s">
        <v>151</v>
      </c>
      <c r="L1027" t="str">
        <f>VLOOKUP(D1027,Products!A:F,3,FALSE())</f>
        <v>Sports</v>
      </c>
      <c r="M1027" t="str">
        <f>VLOOKUP(C1027,Customers!A:F,5,FALSE())</f>
        <v>SMB</v>
      </c>
      <c r="O1027" t="str">
        <f>IFERROR(VLOOKUP(E1027,Sales_Reps!$A:$C,3,FALSE()),"")</f>
        <v/>
      </c>
      <c r="P1027">
        <f>IFERROR(VLOOKUP(C1027,Customers!$A:$C,3,FALSE()),"")</f>
        <v>40</v>
      </c>
      <c r="Q1027" t="str">
        <f t="shared" si="16"/>
        <v>Apr-24</v>
      </c>
      <c r="R1027">
        <f>IFERROR((VLOOKUP(D1027,Products!$A:$E,5,FALSE())-VLOOKUP(D1027,Products!$A:$E,4,FALSE()))/VLOOKUP(D1027,Products!$A:$E,5,FALSE()),"")</f>
        <v>0.29090909090909089</v>
      </c>
    </row>
    <row r="1028" spans="1:18" x14ac:dyDescent="0.3">
      <c r="A1028" s="22" t="s">
        <v>2523</v>
      </c>
      <c r="B1028" s="23">
        <v>45461</v>
      </c>
      <c r="C1028" s="22" t="s">
        <v>1333</v>
      </c>
      <c r="D1028" s="22" t="s">
        <v>157</v>
      </c>
      <c r="E1028" s="22" t="s">
        <v>2524</v>
      </c>
      <c r="F1028" s="24">
        <v>9</v>
      </c>
      <c r="G1028" s="24">
        <v>2600</v>
      </c>
      <c r="H1028" s="24">
        <v>15.9</v>
      </c>
      <c r="I1028" s="24">
        <v>19679.400000000001</v>
      </c>
      <c r="J1028" s="22" t="s">
        <v>159</v>
      </c>
      <c r="K1028" s="22" t="s">
        <v>111</v>
      </c>
      <c r="L1028" t="str">
        <f>VLOOKUP(D1028,Products!A:F,3,FALSE())</f>
        <v>Electronics</v>
      </c>
      <c r="M1028" t="str">
        <f>VLOOKUP(C1028,Customers!A:F,5,FALSE())</f>
        <v>Corporate</v>
      </c>
      <c r="O1028" t="str">
        <f>IFERROR(VLOOKUP(E1028,Sales_Reps!$A:$C,3,FALSE()),"")</f>
        <v/>
      </c>
      <c r="P1028">
        <f>IFERROR(VLOOKUP(C1028,Customers!$A:$C,3,FALSE()),"")</f>
        <v>44</v>
      </c>
      <c r="Q1028" t="str">
        <f t="shared" si="16"/>
        <v>Jun-24</v>
      </c>
      <c r="R1028">
        <f>IFERROR((VLOOKUP(D1028,Products!$A:$E,5,FALSE())-VLOOKUP(D1028,Products!$A:$E,4,FALSE()))/VLOOKUP(D1028,Products!$A:$E,5,FALSE()),"")</f>
        <v>0.5953846153846154</v>
      </c>
    </row>
    <row r="1029" spans="1:18" x14ac:dyDescent="0.3">
      <c r="A1029" s="22" t="s">
        <v>2525</v>
      </c>
      <c r="B1029" s="23">
        <v>45409</v>
      </c>
      <c r="C1029" s="22" t="s">
        <v>658</v>
      </c>
      <c r="D1029" s="22" t="s">
        <v>114</v>
      </c>
      <c r="E1029" s="22" t="s">
        <v>2526</v>
      </c>
      <c r="F1029" s="24">
        <v>10</v>
      </c>
      <c r="G1029" s="24">
        <v>470</v>
      </c>
      <c r="H1029" s="24">
        <v>23.1</v>
      </c>
      <c r="I1029" s="24">
        <v>3614.3</v>
      </c>
      <c r="J1029" s="22" t="s">
        <v>110</v>
      </c>
      <c r="K1029" s="22" t="s">
        <v>105</v>
      </c>
      <c r="L1029" t="str">
        <f>VLOOKUP(D1029,Products!A:F,3,FALSE())</f>
        <v>Sports</v>
      </c>
      <c r="M1029" t="str">
        <f>VLOOKUP(C1029,Customers!A:F,5,FALSE())</f>
        <v>Retail</v>
      </c>
      <c r="O1029" t="str">
        <f>IFERROR(VLOOKUP(E1029,Sales_Reps!$A:$C,3,FALSE()),"")</f>
        <v/>
      </c>
      <c r="P1029">
        <f>IFERROR(VLOOKUP(C1029,Customers!$A:$C,3,FALSE()),"")</f>
        <v>57</v>
      </c>
      <c r="Q1029" t="str">
        <f t="shared" si="16"/>
        <v>Apr-24</v>
      </c>
      <c r="R1029">
        <f>IFERROR((VLOOKUP(D1029,Products!$A:$E,5,FALSE())-VLOOKUP(D1029,Products!$A:$E,4,FALSE()))/VLOOKUP(D1029,Products!$A:$E,5,FALSE()),"")</f>
        <v>0.35744680851063831</v>
      </c>
    </row>
    <row r="1030" spans="1:18" x14ac:dyDescent="0.3">
      <c r="A1030" s="22" t="s">
        <v>2527</v>
      </c>
      <c r="B1030" s="23">
        <v>45495</v>
      </c>
      <c r="C1030" s="22" t="s">
        <v>189</v>
      </c>
      <c r="D1030" s="22" t="s">
        <v>234</v>
      </c>
      <c r="E1030" s="22" t="s">
        <v>2528</v>
      </c>
      <c r="F1030" s="24">
        <v>10</v>
      </c>
      <c r="G1030" s="24">
        <v>660</v>
      </c>
      <c r="H1030" s="24">
        <v>9.4</v>
      </c>
      <c r="I1030" s="24">
        <v>5979.6</v>
      </c>
      <c r="J1030" s="22" t="s">
        <v>104</v>
      </c>
      <c r="K1030" s="22" t="s">
        <v>151</v>
      </c>
      <c r="L1030" t="str">
        <f>VLOOKUP(D1030,Products!A:F,3,FALSE())</f>
        <v>Home</v>
      </c>
      <c r="M1030" t="str">
        <f>VLOOKUP(C1030,Customers!A:F,5,FALSE())</f>
        <v>Retail</v>
      </c>
      <c r="O1030" t="str">
        <f>IFERROR(VLOOKUP(E1030,Sales_Reps!$A:$C,3,FALSE()),"")</f>
        <v/>
      </c>
      <c r="P1030">
        <f>IFERROR(VLOOKUP(C1030,Customers!$A:$C,3,FALSE()),"")</f>
        <v>32</v>
      </c>
      <c r="Q1030" t="str">
        <f t="shared" si="16"/>
        <v>Jul-24</v>
      </c>
      <c r="R1030">
        <f>IFERROR((VLOOKUP(D1030,Products!$A:$E,5,FALSE())-VLOOKUP(D1030,Products!$A:$E,4,FALSE()))/VLOOKUP(D1030,Products!$A:$E,5,FALSE()),"")</f>
        <v>0.50151515151515147</v>
      </c>
    </row>
    <row r="1031" spans="1:18" x14ac:dyDescent="0.3">
      <c r="A1031" s="22" t="s">
        <v>2529</v>
      </c>
      <c r="B1031" s="23">
        <v>45307</v>
      </c>
      <c r="C1031" s="22" t="s">
        <v>635</v>
      </c>
      <c r="D1031" s="22" t="s">
        <v>319</v>
      </c>
      <c r="E1031" s="22" t="s">
        <v>2530</v>
      </c>
      <c r="F1031" s="24">
        <v>5</v>
      </c>
      <c r="G1031" s="24">
        <v>1220</v>
      </c>
      <c r="H1031" s="24">
        <v>23.3</v>
      </c>
      <c r="I1031" s="24">
        <v>4678.7</v>
      </c>
      <c r="J1031" s="22" t="s">
        <v>104</v>
      </c>
      <c r="K1031" s="22" t="s">
        <v>105</v>
      </c>
      <c r="L1031" t="str">
        <f>VLOOKUP(D1031,Products!A:F,3,FALSE())</f>
        <v>Electronics</v>
      </c>
      <c r="M1031" t="str">
        <f>VLOOKUP(C1031,Customers!A:F,5,FALSE())</f>
        <v>SMB</v>
      </c>
      <c r="O1031" t="str">
        <f>IFERROR(VLOOKUP(E1031,Sales_Reps!$A:$C,3,FALSE()),"")</f>
        <v/>
      </c>
      <c r="P1031">
        <f>IFERROR(VLOOKUP(C1031,Customers!$A:$C,3,FALSE()),"")</f>
        <v>49</v>
      </c>
      <c r="Q1031" t="str">
        <f t="shared" si="16"/>
        <v>Jan-24</v>
      </c>
      <c r="R1031">
        <f>IFERROR((VLOOKUP(D1031,Products!$A:$E,5,FALSE())-VLOOKUP(D1031,Products!$A:$E,4,FALSE()))/VLOOKUP(D1031,Products!$A:$E,5,FALSE()),"")</f>
        <v>0.57622950819672136</v>
      </c>
    </row>
    <row r="1032" spans="1:18" x14ac:dyDescent="0.3">
      <c r="A1032" s="22" t="s">
        <v>2531</v>
      </c>
      <c r="B1032" s="23">
        <v>45294</v>
      </c>
      <c r="C1032" s="22" t="s">
        <v>827</v>
      </c>
      <c r="D1032" s="22" t="s">
        <v>162</v>
      </c>
      <c r="E1032" s="22" t="s">
        <v>2532</v>
      </c>
      <c r="F1032" s="24">
        <v>9</v>
      </c>
      <c r="G1032" s="24">
        <v>3250</v>
      </c>
      <c r="H1032" s="24">
        <v>19.600000000000001</v>
      </c>
      <c r="I1032" s="24">
        <v>23517</v>
      </c>
      <c r="J1032" s="22" t="s">
        <v>110</v>
      </c>
      <c r="K1032" s="22" t="s">
        <v>116</v>
      </c>
      <c r="L1032" t="str">
        <f>VLOOKUP(D1032,Products!A:F,3,FALSE())</f>
        <v>Home</v>
      </c>
      <c r="M1032" t="str">
        <f>VLOOKUP(C1032,Customers!A:F,5,FALSE())</f>
        <v>SMB</v>
      </c>
      <c r="O1032" t="str">
        <f>IFERROR(VLOOKUP(E1032,Sales_Reps!$A:$C,3,FALSE()),"")</f>
        <v/>
      </c>
      <c r="P1032">
        <f>IFERROR(VLOOKUP(C1032,Customers!$A:$C,3,FALSE()),"")</f>
        <v>48</v>
      </c>
      <c r="Q1032" t="str">
        <f t="shared" si="16"/>
        <v>Jan-24</v>
      </c>
      <c r="R1032">
        <f>IFERROR((VLOOKUP(D1032,Products!$A:$E,5,FALSE())-VLOOKUP(D1032,Products!$A:$E,4,FALSE()))/VLOOKUP(D1032,Products!$A:$E,5,FALSE()),"")</f>
        <v>0.52123076923076928</v>
      </c>
    </row>
    <row r="1033" spans="1:18" x14ac:dyDescent="0.3">
      <c r="A1033" s="22" t="s">
        <v>2533</v>
      </c>
      <c r="B1033" s="23">
        <v>45542</v>
      </c>
      <c r="C1033" s="22" t="s">
        <v>1903</v>
      </c>
      <c r="D1033" s="22" t="s">
        <v>352</v>
      </c>
      <c r="E1033" s="22" t="s">
        <v>2534</v>
      </c>
      <c r="F1033" s="24">
        <v>7</v>
      </c>
      <c r="G1033" s="24">
        <v>620</v>
      </c>
      <c r="H1033" s="24">
        <v>29</v>
      </c>
      <c r="I1033" s="24">
        <v>3081.4</v>
      </c>
      <c r="J1033" s="22" t="s">
        <v>104</v>
      </c>
      <c r="K1033" s="22" t="s">
        <v>134</v>
      </c>
      <c r="L1033" t="str">
        <f>VLOOKUP(D1033,Products!A:F,3,FALSE())</f>
        <v>Apparel</v>
      </c>
      <c r="M1033" t="str">
        <f>VLOOKUP(C1033,Customers!A:F,5,FALSE())</f>
        <v>Retail</v>
      </c>
      <c r="O1033" t="str">
        <f>IFERROR(VLOOKUP(E1033,Sales_Reps!$A:$C,3,FALSE()),"")</f>
        <v/>
      </c>
      <c r="P1033">
        <f>IFERROR(VLOOKUP(C1033,Customers!$A:$C,3,FALSE()),"")</f>
        <v>36</v>
      </c>
      <c r="Q1033" t="str">
        <f t="shared" si="16"/>
        <v>Sep-24</v>
      </c>
      <c r="R1033">
        <f>IFERROR((VLOOKUP(D1033,Products!$A:$E,5,FALSE())-VLOOKUP(D1033,Products!$A:$E,4,FALSE()))/VLOOKUP(D1033,Products!$A:$E,5,FALSE()),"")</f>
        <v>0.36129032258064514</v>
      </c>
    </row>
    <row r="1034" spans="1:18" x14ac:dyDescent="0.3">
      <c r="A1034" s="22" t="s">
        <v>2535</v>
      </c>
      <c r="B1034" s="23">
        <v>45453</v>
      </c>
      <c r="C1034" s="22" t="s">
        <v>185</v>
      </c>
      <c r="D1034" s="22" t="s">
        <v>315</v>
      </c>
      <c r="E1034" s="22" t="s">
        <v>2536</v>
      </c>
      <c r="F1034" s="24">
        <v>9</v>
      </c>
      <c r="G1034" s="24">
        <v>4070</v>
      </c>
      <c r="H1034" s="24">
        <v>16.2</v>
      </c>
      <c r="I1034" s="24">
        <v>30695.94</v>
      </c>
      <c r="J1034" s="22" t="s">
        <v>104</v>
      </c>
      <c r="K1034" s="22" t="s">
        <v>111</v>
      </c>
      <c r="L1034" t="str">
        <f>VLOOKUP(D1034,Products!A:F,3,FALSE())</f>
        <v>Grocery</v>
      </c>
      <c r="M1034" t="str">
        <f>VLOOKUP(C1034,Customers!A:F,5,FALSE())</f>
        <v>Retail</v>
      </c>
      <c r="O1034" t="str">
        <f>IFERROR(VLOOKUP(E1034,Sales_Reps!$A:$C,3,FALSE()),"")</f>
        <v/>
      </c>
      <c r="P1034">
        <f>IFERROR(VLOOKUP(C1034,Customers!$A:$C,3,FALSE()),"")</f>
        <v>49</v>
      </c>
      <c r="Q1034" t="str">
        <f t="shared" si="16"/>
        <v>Jun-24</v>
      </c>
      <c r="R1034">
        <f>IFERROR((VLOOKUP(D1034,Products!$A:$E,5,FALSE())-VLOOKUP(D1034,Products!$A:$E,4,FALSE()))/VLOOKUP(D1034,Products!$A:$E,5,FALSE()),"")</f>
        <v>0.50196560196560192</v>
      </c>
    </row>
    <row r="1035" spans="1:18" x14ac:dyDescent="0.3">
      <c r="A1035" s="22" t="s">
        <v>2537</v>
      </c>
      <c r="B1035" s="23">
        <v>45351</v>
      </c>
      <c r="C1035" s="22" t="s">
        <v>1539</v>
      </c>
      <c r="D1035" s="22" t="s">
        <v>123</v>
      </c>
      <c r="E1035" s="22" t="s">
        <v>2538</v>
      </c>
      <c r="F1035" s="24">
        <v>8</v>
      </c>
      <c r="G1035" s="24">
        <v>3160</v>
      </c>
      <c r="H1035" s="24">
        <v>23.8</v>
      </c>
      <c r="I1035" s="24">
        <v>19263.36</v>
      </c>
      <c r="J1035" s="22" t="s">
        <v>104</v>
      </c>
      <c r="K1035" s="22" t="s">
        <v>134</v>
      </c>
      <c r="L1035" t="str">
        <f>VLOOKUP(D1035,Products!A:F,3,FALSE())</f>
        <v>Apparel</v>
      </c>
      <c r="M1035" t="str">
        <f>VLOOKUP(C1035,Customers!A:F,5,FALSE())</f>
        <v>Retail</v>
      </c>
      <c r="O1035" t="str">
        <f>IFERROR(VLOOKUP(E1035,Sales_Reps!$A:$C,3,FALSE()),"")</f>
        <v/>
      </c>
      <c r="P1035">
        <f>IFERROR(VLOOKUP(C1035,Customers!$A:$C,3,FALSE()),"")</f>
        <v>27</v>
      </c>
      <c r="Q1035" t="str">
        <f t="shared" si="16"/>
        <v>Feb-24</v>
      </c>
      <c r="R1035">
        <f>IFERROR((VLOOKUP(D1035,Products!$A:$E,5,FALSE())-VLOOKUP(D1035,Products!$A:$E,4,FALSE()))/VLOOKUP(D1035,Products!$A:$E,5,FALSE()),"")</f>
        <v>0.4031645569620253</v>
      </c>
    </row>
    <row r="1036" spans="1:18" x14ac:dyDescent="0.3">
      <c r="A1036" s="22" t="s">
        <v>2539</v>
      </c>
      <c r="B1036" s="23">
        <v>45422</v>
      </c>
      <c r="C1036" s="22" t="s">
        <v>122</v>
      </c>
      <c r="D1036" s="22" t="s">
        <v>419</v>
      </c>
      <c r="E1036" s="22" t="s">
        <v>2540</v>
      </c>
      <c r="F1036" s="24">
        <v>3</v>
      </c>
      <c r="G1036" s="24">
        <v>2210</v>
      </c>
      <c r="H1036" s="24">
        <v>29.7</v>
      </c>
      <c r="I1036" s="24">
        <v>4660.8900000000003</v>
      </c>
      <c r="J1036" s="22" t="s">
        <v>104</v>
      </c>
      <c r="K1036" s="22" t="s">
        <v>111</v>
      </c>
      <c r="L1036" t="str">
        <f>VLOOKUP(D1036,Products!A:F,3,FALSE())</f>
        <v>Grocery</v>
      </c>
      <c r="M1036" t="str">
        <f>VLOOKUP(C1036,Customers!A:F,5,FALSE())</f>
        <v>Retail</v>
      </c>
      <c r="O1036" t="str">
        <f>IFERROR(VLOOKUP(E1036,Sales_Reps!$A:$C,3,FALSE()),"")</f>
        <v/>
      </c>
      <c r="P1036">
        <f>IFERROR(VLOOKUP(C1036,Customers!$A:$C,3,FALSE()),"")</f>
        <v>36</v>
      </c>
      <c r="Q1036" t="str">
        <f t="shared" si="16"/>
        <v>May-24</v>
      </c>
      <c r="R1036">
        <f>IFERROR((VLOOKUP(D1036,Products!$A:$E,5,FALSE())-VLOOKUP(D1036,Products!$A:$E,4,FALSE()))/VLOOKUP(D1036,Products!$A:$E,5,FALSE()),"")</f>
        <v>0.54298642533936647</v>
      </c>
    </row>
    <row r="1037" spans="1:18" x14ac:dyDescent="0.3">
      <c r="A1037" s="22" t="s">
        <v>2541</v>
      </c>
      <c r="B1037" s="23">
        <v>45361</v>
      </c>
      <c r="C1037" s="22" t="s">
        <v>838</v>
      </c>
      <c r="D1037" s="22" t="s">
        <v>114</v>
      </c>
      <c r="E1037" s="22" t="s">
        <v>2542</v>
      </c>
      <c r="F1037" s="24">
        <v>9</v>
      </c>
      <c r="G1037" s="24">
        <v>470</v>
      </c>
      <c r="H1037" s="24">
        <v>27.1</v>
      </c>
      <c r="I1037" s="24">
        <v>3083.67</v>
      </c>
      <c r="J1037" s="22" t="s">
        <v>104</v>
      </c>
      <c r="K1037" s="22" t="s">
        <v>111</v>
      </c>
      <c r="L1037" t="str">
        <f>VLOOKUP(D1037,Products!A:F,3,FALSE())</f>
        <v>Sports</v>
      </c>
      <c r="M1037" t="str">
        <f>VLOOKUP(C1037,Customers!A:F,5,FALSE())</f>
        <v>Retail</v>
      </c>
      <c r="O1037" t="str">
        <f>IFERROR(VLOOKUP(E1037,Sales_Reps!$A:$C,3,FALSE()),"")</f>
        <v/>
      </c>
      <c r="P1037">
        <f>IFERROR(VLOOKUP(C1037,Customers!$A:$C,3,FALSE()),"")</f>
        <v>61</v>
      </c>
      <c r="Q1037" t="str">
        <f t="shared" si="16"/>
        <v>Mar-24</v>
      </c>
      <c r="R1037">
        <f>IFERROR((VLOOKUP(D1037,Products!$A:$E,5,FALSE())-VLOOKUP(D1037,Products!$A:$E,4,FALSE()))/VLOOKUP(D1037,Products!$A:$E,5,FALSE()),"")</f>
        <v>0.35744680851063831</v>
      </c>
    </row>
    <row r="1038" spans="1:18" x14ac:dyDescent="0.3">
      <c r="A1038" s="22" t="s">
        <v>2543</v>
      </c>
      <c r="B1038" s="23">
        <v>45622</v>
      </c>
      <c r="C1038" s="22" t="s">
        <v>348</v>
      </c>
      <c r="D1038" s="22" t="s">
        <v>127</v>
      </c>
      <c r="E1038" s="22" t="s">
        <v>2544</v>
      </c>
      <c r="F1038" s="24">
        <v>6</v>
      </c>
      <c r="G1038" s="24">
        <v>370</v>
      </c>
      <c r="H1038" s="24">
        <v>5.4</v>
      </c>
      <c r="I1038" s="24">
        <v>2100.12</v>
      </c>
      <c r="J1038" s="22" t="s">
        <v>104</v>
      </c>
      <c r="K1038" s="22" t="s">
        <v>111</v>
      </c>
      <c r="L1038" t="str">
        <f>VLOOKUP(D1038,Products!A:F,3,FALSE())</f>
        <v>Home</v>
      </c>
      <c r="M1038" t="str">
        <f>VLOOKUP(C1038,Customers!A:F,5,FALSE())</f>
        <v>Retail</v>
      </c>
      <c r="O1038" t="str">
        <f>IFERROR(VLOOKUP(E1038,Sales_Reps!$A:$C,3,FALSE()),"")</f>
        <v/>
      </c>
      <c r="P1038">
        <f>IFERROR(VLOOKUP(C1038,Customers!$A:$C,3,FALSE()),"")</f>
        <v>38</v>
      </c>
      <c r="Q1038" t="str">
        <f t="shared" si="16"/>
        <v>Nov-24</v>
      </c>
      <c r="R1038">
        <f>IFERROR((VLOOKUP(D1038,Products!$A:$E,5,FALSE())-VLOOKUP(D1038,Products!$A:$E,4,FALSE()))/VLOOKUP(D1038,Products!$A:$E,5,FALSE()),"")</f>
        <v>0.22162162162162163</v>
      </c>
    </row>
    <row r="1039" spans="1:18" x14ac:dyDescent="0.3">
      <c r="A1039" s="22" t="s">
        <v>2545</v>
      </c>
      <c r="B1039" s="23">
        <v>45496</v>
      </c>
      <c r="C1039" s="22" t="s">
        <v>855</v>
      </c>
      <c r="D1039" s="22" t="s">
        <v>605</v>
      </c>
      <c r="E1039" s="22" t="s">
        <v>2546</v>
      </c>
      <c r="F1039" s="24">
        <v>10</v>
      </c>
      <c r="G1039" s="24">
        <v>3780</v>
      </c>
      <c r="H1039" s="24">
        <v>21.5</v>
      </c>
      <c r="I1039" s="24">
        <v>29673</v>
      </c>
      <c r="J1039" s="22" t="s">
        <v>110</v>
      </c>
      <c r="K1039" s="22" t="s">
        <v>129</v>
      </c>
      <c r="L1039" t="str">
        <f>VLOOKUP(D1039,Products!A:F,3,FALSE())</f>
        <v>Sports</v>
      </c>
      <c r="M1039" t="str">
        <f>VLOOKUP(C1039,Customers!A:F,5,FALSE())</f>
        <v>Retail</v>
      </c>
      <c r="O1039" t="str">
        <f>IFERROR(VLOOKUP(E1039,Sales_Reps!$A:$C,3,FALSE()),"")</f>
        <v/>
      </c>
      <c r="P1039">
        <f>IFERROR(VLOOKUP(C1039,Customers!$A:$C,3,FALSE()),"")</f>
        <v>44</v>
      </c>
      <c r="Q1039" t="str">
        <f t="shared" si="16"/>
        <v>Jul-24</v>
      </c>
      <c r="R1039">
        <f>IFERROR((VLOOKUP(D1039,Products!$A:$E,5,FALSE())-VLOOKUP(D1039,Products!$A:$E,4,FALSE()))/VLOOKUP(D1039,Products!$A:$E,5,FALSE()),"")</f>
        <v>0.50793650793650791</v>
      </c>
    </row>
    <row r="1040" spans="1:18" x14ac:dyDescent="0.3">
      <c r="A1040" s="22" t="s">
        <v>2547</v>
      </c>
      <c r="B1040" s="23">
        <v>45578</v>
      </c>
      <c r="C1040" s="22" t="s">
        <v>653</v>
      </c>
      <c r="D1040" s="22" t="s">
        <v>695</v>
      </c>
      <c r="E1040" s="22" t="s">
        <v>2548</v>
      </c>
      <c r="F1040" s="24">
        <v>4</v>
      </c>
      <c r="G1040" s="24">
        <v>6940</v>
      </c>
      <c r="H1040" s="24">
        <v>3.9</v>
      </c>
      <c r="I1040" s="24">
        <v>26677.360000000001</v>
      </c>
      <c r="J1040" s="22" t="s">
        <v>159</v>
      </c>
      <c r="K1040" s="22" t="s">
        <v>116</v>
      </c>
      <c r="L1040" t="str">
        <f>VLOOKUP(D1040,Products!A:F,3,FALSE())</f>
        <v>Sports</v>
      </c>
      <c r="M1040" t="str">
        <f>VLOOKUP(C1040,Customers!A:F,5,FALSE())</f>
        <v>Retail</v>
      </c>
      <c r="O1040" t="str">
        <f>IFERROR(VLOOKUP(E1040,Sales_Reps!$A:$C,3,FALSE()),"")</f>
        <v/>
      </c>
      <c r="P1040">
        <f>IFERROR(VLOOKUP(C1040,Customers!$A:$C,3,FALSE()),"")</f>
        <v>59</v>
      </c>
      <c r="Q1040" t="str">
        <f t="shared" si="16"/>
        <v>Oct-24</v>
      </c>
      <c r="R1040">
        <f>IFERROR((VLOOKUP(D1040,Products!$A:$E,5,FALSE())-VLOOKUP(D1040,Products!$A:$E,4,FALSE()))/VLOOKUP(D1040,Products!$A:$E,5,FALSE()),"")</f>
        <v>0.5926512968299712</v>
      </c>
    </row>
    <row r="1041" spans="1:18" x14ac:dyDescent="0.3">
      <c r="A1041" s="22" t="s">
        <v>2549</v>
      </c>
      <c r="B1041" s="23">
        <v>45476</v>
      </c>
      <c r="C1041" s="22" t="s">
        <v>724</v>
      </c>
      <c r="D1041" s="22" t="s">
        <v>265</v>
      </c>
      <c r="E1041" s="22" t="s">
        <v>2550</v>
      </c>
      <c r="F1041" s="24">
        <v>3</v>
      </c>
      <c r="G1041" s="24">
        <v>3730</v>
      </c>
      <c r="H1041" s="24">
        <v>20.7</v>
      </c>
      <c r="I1041" s="24">
        <v>8873.67</v>
      </c>
      <c r="J1041" s="22" t="s">
        <v>104</v>
      </c>
      <c r="K1041" s="22" t="s">
        <v>116</v>
      </c>
      <c r="L1041" t="str">
        <f>VLOOKUP(D1041,Products!A:F,3,FALSE())</f>
        <v>Home</v>
      </c>
      <c r="M1041" t="str">
        <f>VLOOKUP(C1041,Customers!A:F,5,FALSE())</f>
        <v>SMB</v>
      </c>
      <c r="O1041" t="str">
        <f>IFERROR(VLOOKUP(E1041,Sales_Reps!$A:$C,3,FALSE()),"")</f>
        <v/>
      </c>
      <c r="P1041">
        <f>IFERROR(VLOOKUP(C1041,Customers!$A:$C,3,FALSE()),"")</f>
        <v>48</v>
      </c>
      <c r="Q1041" t="str">
        <f t="shared" si="16"/>
        <v>Jul-24</v>
      </c>
      <c r="R1041">
        <f>IFERROR((VLOOKUP(D1041,Products!$A:$E,5,FALSE())-VLOOKUP(D1041,Products!$A:$E,4,FALSE()))/VLOOKUP(D1041,Products!$A:$E,5,FALSE()),"")</f>
        <v>0.42761394101876676</v>
      </c>
    </row>
    <row r="1042" spans="1:18" x14ac:dyDescent="0.3">
      <c r="A1042" s="22" t="s">
        <v>2551</v>
      </c>
      <c r="B1042" s="23">
        <v>45300</v>
      </c>
      <c r="C1042" s="22" t="s">
        <v>1641</v>
      </c>
      <c r="D1042" s="22" t="s">
        <v>577</v>
      </c>
      <c r="E1042" s="22" t="s">
        <v>2552</v>
      </c>
      <c r="F1042" s="24">
        <v>8</v>
      </c>
      <c r="G1042" s="24">
        <v>5080</v>
      </c>
      <c r="H1042" s="24">
        <v>6.2</v>
      </c>
      <c r="I1042" s="24">
        <v>38120.32</v>
      </c>
      <c r="J1042" s="22" t="s">
        <v>104</v>
      </c>
      <c r="K1042" s="22" t="s">
        <v>129</v>
      </c>
      <c r="L1042" t="str">
        <f>VLOOKUP(D1042,Products!A:F,3,FALSE())</f>
        <v>Home</v>
      </c>
      <c r="M1042" t="str">
        <f>VLOOKUP(C1042,Customers!A:F,5,FALSE())</f>
        <v>Retail</v>
      </c>
      <c r="O1042" t="str">
        <f>IFERROR(VLOOKUP(E1042,Sales_Reps!$A:$C,3,FALSE()),"")</f>
        <v/>
      </c>
      <c r="P1042">
        <f>IFERROR(VLOOKUP(C1042,Customers!$A:$C,3,FALSE()),"")</f>
        <v>37</v>
      </c>
      <c r="Q1042" t="str">
        <f t="shared" si="16"/>
        <v>Jan-24</v>
      </c>
      <c r="R1042">
        <f>IFERROR((VLOOKUP(D1042,Products!$A:$E,5,FALSE())-VLOOKUP(D1042,Products!$A:$E,4,FALSE()))/VLOOKUP(D1042,Products!$A:$E,5,FALSE()),"")</f>
        <v>0.51594488188976373</v>
      </c>
    </row>
    <row r="1043" spans="1:18" x14ac:dyDescent="0.3">
      <c r="A1043" s="22" t="s">
        <v>2553</v>
      </c>
      <c r="B1043" s="23">
        <v>45455</v>
      </c>
      <c r="C1043" s="22" t="s">
        <v>189</v>
      </c>
      <c r="D1043" s="22" t="s">
        <v>449</v>
      </c>
      <c r="E1043" s="22" t="s">
        <v>2554</v>
      </c>
      <c r="F1043" s="24">
        <v>5</v>
      </c>
      <c r="G1043" s="24">
        <v>5410</v>
      </c>
      <c r="H1043" s="24">
        <v>5.2</v>
      </c>
      <c r="I1043" s="24">
        <v>25643.4</v>
      </c>
      <c r="J1043" s="22" t="s">
        <v>104</v>
      </c>
      <c r="K1043" s="22" t="s">
        <v>151</v>
      </c>
      <c r="L1043" t="str">
        <f>VLOOKUP(D1043,Products!A:F,3,FALSE())</f>
        <v>Sports</v>
      </c>
      <c r="M1043" t="str">
        <f>VLOOKUP(C1043,Customers!A:F,5,FALSE())</f>
        <v>Retail</v>
      </c>
      <c r="O1043" t="str">
        <f>IFERROR(VLOOKUP(E1043,Sales_Reps!$A:$C,3,FALSE()),"")</f>
        <v/>
      </c>
      <c r="P1043">
        <f>IFERROR(VLOOKUP(C1043,Customers!$A:$C,3,FALSE()),"")</f>
        <v>32</v>
      </c>
      <c r="Q1043" t="str">
        <f t="shared" si="16"/>
        <v>Jun-24</v>
      </c>
      <c r="R1043">
        <f>IFERROR((VLOOKUP(D1043,Products!$A:$E,5,FALSE())-VLOOKUP(D1043,Products!$A:$E,4,FALSE()))/VLOOKUP(D1043,Products!$A:$E,5,FALSE()),"")</f>
        <v>0.58133086876155271</v>
      </c>
    </row>
    <row r="1044" spans="1:18" x14ac:dyDescent="0.3">
      <c r="A1044" s="22" t="s">
        <v>2555</v>
      </c>
      <c r="B1044" s="23">
        <v>45404</v>
      </c>
      <c r="C1044" s="22" t="s">
        <v>540</v>
      </c>
      <c r="D1044" s="22" t="s">
        <v>197</v>
      </c>
      <c r="E1044" s="22" t="s">
        <v>2556</v>
      </c>
      <c r="F1044" s="24">
        <v>6</v>
      </c>
      <c r="G1044" s="24">
        <v>2720</v>
      </c>
      <c r="H1044" s="24">
        <v>29.8</v>
      </c>
      <c r="I1044" s="24">
        <v>11456.64</v>
      </c>
      <c r="J1044" s="22" t="s">
        <v>110</v>
      </c>
      <c r="K1044" s="22" t="s">
        <v>116</v>
      </c>
      <c r="L1044" t="str">
        <f>VLOOKUP(D1044,Products!A:F,3,FALSE())</f>
        <v>Apparel</v>
      </c>
      <c r="M1044" t="str">
        <f>VLOOKUP(C1044,Customers!A:F,5,FALSE())</f>
        <v>Retail</v>
      </c>
      <c r="O1044" t="str">
        <f>IFERROR(VLOOKUP(E1044,Sales_Reps!$A:$C,3,FALSE()),"")</f>
        <v/>
      </c>
      <c r="P1044">
        <f>IFERROR(VLOOKUP(C1044,Customers!$A:$C,3,FALSE()),"")</f>
        <v>44</v>
      </c>
      <c r="Q1044" t="str">
        <f t="shared" si="16"/>
        <v>Apr-24</v>
      </c>
      <c r="R1044">
        <f>IFERROR((VLOOKUP(D1044,Products!$A:$E,5,FALSE())-VLOOKUP(D1044,Products!$A:$E,4,FALSE()))/VLOOKUP(D1044,Products!$A:$E,5,FALSE()),"")</f>
        <v>0.2786764705882353</v>
      </c>
    </row>
    <row r="1045" spans="1:18" x14ac:dyDescent="0.3">
      <c r="A1045" s="22" t="s">
        <v>2557</v>
      </c>
      <c r="B1045" s="23">
        <v>45468</v>
      </c>
      <c r="C1045" s="22" t="s">
        <v>473</v>
      </c>
      <c r="D1045" s="22" t="s">
        <v>319</v>
      </c>
      <c r="E1045" s="22" t="s">
        <v>2558</v>
      </c>
      <c r="F1045" s="24">
        <v>1</v>
      </c>
      <c r="G1045" s="24">
        <v>1220</v>
      </c>
      <c r="H1045" s="24">
        <v>22.6</v>
      </c>
      <c r="I1045" s="24">
        <v>944.28</v>
      </c>
      <c r="J1045" s="22" t="s">
        <v>104</v>
      </c>
      <c r="K1045" s="22" t="s">
        <v>134</v>
      </c>
      <c r="L1045" t="str">
        <f>VLOOKUP(D1045,Products!A:F,3,FALSE())</f>
        <v>Electronics</v>
      </c>
      <c r="M1045" t="str">
        <f>VLOOKUP(C1045,Customers!A:F,5,FALSE())</f>
        <v>SMB</v>
      </c>
      <c r="O1045" t="str">
        <f>IFERROR(VLOOKUP(E1045,Sales_Reps!$A:$C,3,FALSE()),"")</f>
        <v/>
      </c>
      <c r="P1045">
        <f>IFERROR(VLOOKUP(C1045,Customers!$A:$C,3,FALSE()),"")</f>
        <v>44</v>
      </c>
      <c r="Q1045" t="str">
        <f t="shared" si="16"/>
        <v>Jun-24</v>
      </c>
      <c r="R1045">
        <f>IFERROR((VLOOKUP(D1045,Products!$A:$E,5,FALSE())-VLOOKUP(D1045,Products!$A:$E,4,FALSE()))/VLOOKUP(D1045,Products!$A:$E,5,FALSE()),"")</f>
        <v>0.57622950819672136</v>
      </c>
    </row>
    <row r="1046" spans="1:18" x14ac:dyDescent="0.3">
      <c r="A1046" s="22" t="s">
        <v>2559</v>
      </c>
      <c r="B1046" s="23">
        <v>45640</v>
      </c>
      <c r="C1046" s="22" t="s">
        <v>2560</v>
      </c>
      <c r="D1046" s="22" t="s">
        <v>212</v>
      </c>
      <c r="E1046" s="22" t="s">
        <v>2561</v>
      </c>
      <c r="F1046" s="24">
        <v>10</v>
      </c>
      <c r="G1046" s="24">
        <v>4880</v>
      </c>
      <c r="H1046" s="24">
        <v>7.3</v>
      </c>
      <c r="I1046" s="24">
        <v>45237.599999999999</v>
      </c>
      <c r="J1046" s="22" t="s">
        <v>104</v>
      </c>
      <c r="K1046" s="22" t="s">
        <v>111</v>
      </c>
      <c r="L1046" t="str">
        <f>VLOOKUP(D1046,Products!A:F,3,FALSE())</f>
        <v>Beauty</v>
      </c>
      <c r="M1046" t="str">
        <f>VLOOKUP(C1046,Customers!A:F,5,FALSE())</f>
        <v>Retail</v>
      </c>
      <c r="O1046" t="str">
        <f>IFERROR(VLOOKUP(E1046,Sales_Reps!$A:$C,3,FALSE()),"")</f>
        <v/>
      </c>
      <c r="P1046">
        <f>IFERROR(VLOOKUP(C1046,Customers!$A:$C,3,FALSE()),"")</f>
        <v>31</v>
      </c>
      <c r="Q1046" t="str">
        <f t="shared" si="16"/>
        <v>Dec-24</v>
      </c>
      <c r="R1046">
        <f>IFERROR((VLOOKUP(D1046,Products!$A:$E,5,FALSE())-VLOOKUP(D1046,Products!$A:$E,4,FALSE()))/VLOOKUP(D1046,Products!$A:$E,5,FALSE()),"")</f>
        <v>0.43278688524590164</v>
      </c>
    </row>
    <row r="1047" spans="1:18" x14ac:dyDescent="0.3">
      <c r="A1047" s="22" t="s">
        <v>2562</v>
      </c>
      <c r="B1047" s="23">
        <v>45450</v>
      </c>
      <c r="C1047" s="22" t="s">
        <v>1309</v>
      </c>
      <c r="D1047" s="22" t="s">
        <v>289</v>
      </c>
      <c r="E1047" s="22" t="s">
        <v>2563</v>
      </c>
      <c r="F1047" s="24">
        <v>10</v>
      </c>
      <c r="G1047" s="24">
        <v>2270</v>
      </c>
      <c r="H1047" s="24">
        <v>1.6</v>
      </c>
      <c r="I1047" s="24">
        <v>22336.799999999999</v>
      </c>
      <c r="J1047" s="22" t="s">
        <v>104</v>
      </c>
      <c r="K1047" s="22" t="s">
        <v>129</v>
      </c>
      <c r="L1047" t="str">
        <f>VLOOKUP(D1047,Products!A:F,3,FALSE())</f>
        <v>Grocery</v>
      </c>
      <c r="M1047" t="str">
        <f>VLOOKUP(C1047,Customers!A:F,5,FALSE())</f>
        <v>Corporate</v>
      </c>
      <c r="O1047" t="str">
        <f>IFERROR(VLOOKUP(E1047,Sales_Reps!$A:$C,3,FALSE()),"")</f>
        <v/>
      </c>
      <c r="P1047">
        <f>IFERROR(VLOOKUP(C1047,Customers!$A:$C,3,FALSE()),"")</f>
        <v>62</v>
      </c>
      <c r="Q1047" t="str">
        <f t="shared" si="16"/>
        <v>Jun-24</v>
      </c>
      <c r="R1047">
        <f>IFERROR((VLOOKUP(D1047,Products!$A:$E,5,FALSE())-VLOOKUP(D1047,Products!$A:$E,4,FALSE()))/VLOOKUP(D1047,Products!$A:$E,5,FALSE()),"")</f>
        <v>0.37797356828193834</v>
      </c>
    </row>
    <row r="1048" spans="1:18" x14ac:dyDescent="0.3">
      <c r="A1048" s="22" t="s">
        <v>2564</v>
      </c>
      <c r="B1048" s="23">
        <v>45589</v>
      </c>
      <c r="C1048" s="22" t="s">
        <v>520</v>
      </c>
      <c r="D1048" s="22" t="s">
        <v>145</v>
      </c>
      <c r="E1048" s="22" t="s">
        <v>2565</v>
      </c>
      <c r="F1048" s="24">
        <v>8</v>
      </c>
      <c r="G1048" s="24">
        <v>970</v>
      </c>
      <c r="H1048" s="24">
        <v>13.1</v>
      </c>
      <c r="I1048" s="24">
        <v>6743.44</v>
      </c>
      <c r="J1048" s="22" t="s">
        <v>104</v>
      </c>
      <c r="K1048" s="22" t="s">
        <v>105</v>
      </c>
      <c r="L1048" t="str">
        <f>VLOOKUP(D1048,Products!A:F,3,FALSE())</f>
        <v>Grocery</v>
      </c>
      <c r="M1048" t="str">
        <f>VLOOKUP(C1048,Customers!A:F,5,FALSE())</f>
        <v>SMB</v>
      </c>
      <c r="O1048" t="str">
        <f>IFERROR(VLOOKUP(E1048,Sales_Reps!$A:$C,3,FALSE()),"")</f>
        <v/>
      </c>
      <c r="P1048">
        <f>IFERROR(VLOOKUP(C1048,Customers!$A:$C,3,FALSE()),"")</f>
        <v>53</v>
      </c>
      <c r="Q1048" t="str">
        <f t="shared" si="16"/>
        <v>Oct-24</v>
      </c>
      <c r="R1048">
        <f>IFERROR((VLOOKUP(D1048,Products!$A:$E,5,FALSE())-VLOOKUP(D1048,Products!$A:$E,4,FALSE()))/VLOOKUP(D1048,Products!$A:$E,5,FALSE()),"")</f>
        <v>0.5525773195876289</v>
      </c>
    </row>
    <row r="1049" spans="1:18" x14ac:dyDescent="0.3">
      <c r="A1049" s="22" t="s">
        <v>2566</v>
      </c>
      <c r="B1049" s="23">
        <v>45646</v>
      </c>
      <c r="C1049" s="22" t="s">
        <v>482</v>
      </c>
      <c r="D1049" s="22" t="s">
        <v>459</v>
      </c>
      <c r="E1049" s="22" t="s">
        <v>2567</v>
      </c>
      <c r="F1049" s="24">
        <v>7</v>
      </c>
      <c r="G1049" s="24">
        <v>2380</v>
      </c>
      <c r="H1049" s="24">
        <v>10.6</v>
      </c>
      <c r="I1049" s="24">
        <v>14894.04</v>
      </c>
      <c r="J1049" s="22" t="s">
        <v>159</v>
      </c>
      <c r="K1049" s="22" t="s">
        <v>116</v>
      </c>
      <c r="L1049" t="str">
        <f>VLOOKUP(D1049,Products!A:F,3,FALSE())</f>
        <v>Grocery</v>
      </c>
      <c r="M1049" t="str">
        <f>VLOOKUP(C1049,Customers!A:F,5,FALSE())</f>
        <v>Corporate</v>
      </c>
      <c r="O1049" t="str">
        <f>IFERROR(VLOOKUP(E1049,Sales_Reps!$A:$C,3,FALSE()),"")</f>
        <v/>
      </c>
      <c r="P1049">
        <f>IFERROR(VLOOKUP(C1049,Customers!$A:$C,3,FALSE()),"")</f>
        <v>27</v>
      </c>
      <c r="Q1049" t="str">
        <f t="shared" si="16"/>
        <v>Dec-24</v>
      </c>
      <c r="R1049">
        <f>IFERROR((VLOOKUP(D1049,Products!$A:$E,5,FALSE())-VLOOKUP(D1049,Products!$A:$E,4,FALSE()))/VLOOKUP(D1049,Products!$A:$E,5,FALSE()),"")</f>
        <v>0.50336134453781511</v>
      </c>
    </row>
    <row r="1050" spans="1:18" x14ac:dyDescent="0.3">
      <c r="A1050" s="22" t="s">
        <v>2568</v>
      </c>
      <c r="B1050" s="23">
        <v>45488</v>
      </c>
      <c r="C1050" s="22" t="s">
        <v>2569</v>
      </c>
      <c r="D1050" s="22" t="s">
        <v>102</v>
      </c>
      <c r="E1050" s="22" t="s">
        <v>2570</v>
      </c>
      <c r="F1050" s="24">
        <v>6</v>
      </c>
      <c r="G1050" s="24">
        <v>3620</v>
      </c>
      <c r="H1050" s="24">
        <v>21.3</v>
      </c>
      <c r="I1050" s="24">
        <v>17093.64</v>
      </c>
      <c r="J1050" s="22" t="s">
        <v>159</v>
      </c>
      <c r="K1050" s="22" t="s">
        <v>151</v>
      </c>
      <c r="L1050" t="str">
        <f>VLOOKUP(D1050,Products!A:F,3,FALSE())</f>
        <v>Apparel</v>
      </c>
      <c r="M1050" t="str">
        <f>VLOOKUP(C1050,Customers!A:F,5,FALSE())</f>
        <v>Corporate</v>
      </c>
      <c r="O1050" t="str">
        <f>IFERROR(VLOOKUP(E1050,Sales_Reps!$A:$C,3,FALSE()),"")</f>
        <v/>
      </c>
      <c r="P1050">
        <f>IFERROR(VLOOKUP(C1050,Customers!$A:$C,3,FALSE()),"")</f>
        <v>25</v>
      </c>
      <c r="Q1050" t="str">
        <f t="shared" si="16"/>
        <v>Jul-24</v>
      </c>
      <c r="R1050">
        <f>IFERROR((VLOOKUP(D1050,Products!$A:$E,5,FALSE())-VLOOKUP(D1050,Products!$A:$E,4,FALSE()))/VLOOKUP(D1050,Products!$A:$E,5,FALSE()),"")</f>
        <v>0.3069060773480663</v>
      </c>
    </row>
    <row r="1051" spans="1:18" x14ac:dyDescent="0.3">
      <c r="A1051" s="22" t="s">
        <v>2571</v>
      </c>
      <c r="B1051" s="23">
        <v>45555</v>
      </c>
      <c r="C1051" s="22" t="s">
        <v>653</v>
      </c>
      <c r="D1051" s="22" t="s">
        <v>315</v>
      </c>
      <c r="E1051" s="22" t="s">
        <v>2572</v>
      </c>
      <c r="F1051" s="24">
        <v>3</v>
      </c>
      <c r="G1051" s="24">
        <v>4070</v>
      </c>
      <c r="H1051" s="24">
        <v>8.1999999999999993</v>
      </c>
      <c r="I1051" s="24">
        <v>11208.78</v>
      </c>
      <c r="J1051" s="22" t="s">
        <v>159</v>
      </c>
      <c r="K1051" s="22" t="s">
        <v>116</v>
      </c>
      <c r="L1051" t="str">
        <f>VLOOKUP(D1051,Products!A:F,3,FALSE())</f>
        <v>Grocery</v>
      </c>
      <c r="M1051" t="str">
        <f>VLOOKUP(C1051,Customers!A:F,5,FALSE())</f>
        <v>Retail</v>
      </c>
      <c r="O1051" t="str">
        <f>IFERROR(VLOOKUP(E1051,Sales_Reps!$A:$C,3,FALSE()),"")</f>
        <v/>
      </c>
      <c r="P1051">
        <f>IFERROR(VLOOKUP(C1051,Customers!$A:$C,3,FALSE()),"")</f>
        <v>59</v>
      </c>
      <c r="Q1051" t="str">
        <f t="shared" si="16"/>
        <v>Sep-24</v>
      </c>
      <c r="R1051">
        <f>IFERROR((VLOOKUP(D1051,Products!$A:$E,5,FALSE())-VLOOKUP(D1051,Products!$A:$E,4,FALSE()))/VLOOKUP(D1051,Products!$A:$E,5,FALSE()),"")</f>
        <v>0.50196560196560192</v>
      </c>
    </row>
    <row r="1052" spans="1:18" x14ac:dyDescent="0.3">
      <c r="A1052" s="22" t="s">
        <v>2573</v>
      </c>
      <c r="B1052" s="23">
        <v>45578</v>
      </c>
      <c r="C1052" s="22" t="s">
        <v>594</v>
      </c>
      <c r="D1052" s="22" t="s">
        <v>220</v>
      </c>
      <c r="E1052" s="22" t="s">
        <v>2574</v>
      </c>
      <c r="F1052" s="24">
        <v>8</v>
      </c>
      <c r="G1052" s="24">
        <v>5100</v>
      </c>
      <c r="H1052" s="24">
        <v>26.9</v>
      </c>
      <c r="I1052" s="24">
        <v>29824.799999999999</v>
      </c>
      <c r="J1052" s="22" t="s">
        <v>104</v>
      </c>
      <c r="K1052" s="22" t="s">
        <v>151</v>
      </c>
      <c r="L1052" t="str">
        <f>VLOOKUP(D1052,Products!A:F,3,FALSE())</f>
        <v>Beauty</v>
      </c>
      <c r="M1052" t="str">
        <f>VLOOKUP(C1052,Customers!A:F,5,FALSE())</f>
        <v>Corporate</v>
      </c>
      <c r="O1052" t="str">
        <f>IFERROR(VLOOKUP(E1052,Sales_Reps!$A:$C,3,FALSE()),"")</f>
        <v/>
      </c>
      <c r="P1052">
        <f>IFERROR(VLOOKUP(C1052,Customers!$A:$C,3,FALSE()),"")</f>
        <v>43</v>
      </c>
      <c r="Q1052" t="str">
        <f t="shared" si="16"/>
        <v>Oct-24</v>
      </c>
      <c r="R1052">
        <f>IFERROR((VLOOKUP(D1052,Products!$A:$E,5,FALSE())-VLOOKUP(D1052,Products!$A:$E,4,FALSE()))/VLOOKUP(D1052,Products!$A:$E,5,FALSE()),"")</f>
        <v>0.56137254901960787</v>
      </c>
    </row>
    <row r="1053" spans="1:18" x14ac:dyDescent="0.3">
      <c r="A1053" s="22" t="s">
        <v>2089</v>
      </c>
      <c r="B1053" s="23">
        <v>45296</v>
      </c>
      <c r="C1053" s="22" t="s">
        <v>1309</v>
      </c>
      <c r="D1053" s="22" t="s">
        <v>330</v>
      </c>
      <c r="E1053" s="22" t="s">
        <v>2575</v>
      </c>
      <c r="F1053" s="24">
        <v>3</v>
      </c>
      <c r="G1053" s="24">
        <v>3020</v>
      </c>
      <c r="H1053" s="24">
        <v>18.5</v>
      </c>
      <c r="I1053" s="24">
        <v>7383.9</v>
      </c>
      <c r="J1053" s="22" t="s">
        <v>159</v>
      </c>
      <c r="K1053" s="22" t="s">
        <v>129</v>
      </c>
      <c r="L1053" t="str">
        <f>VLOOKUP(D1053,Products!A:F,3,FALSE())</f>
        <v>Beauty</v>
      </c>
      <c r="M1053" t="str">
        <f>VLOOKUP(C1053,Customers!A:F,5,FALSE())</f>
        <v>Corporate</v>
      </c>
      <c r="O1053" t="str">
        <f>IFERROR(VLOOKUP(E1053,Sales_Reps!$A:$C,3,FALSE()),"")</f>
        <v/>
      </c>
      <c r="P1053">
        <f>IFERROR(VLOOKUP(C1053,Customers!$A:$C,3,FALSE()),"")</f>
        <v>62</v>
      </c>
      <c r="Q1053" t="str">
        <f t="shared" si="16"/>
        <v>Jan-24</v>
      </c>
      <c r="R1053">
        <f>IFERROR((VLOOKUP(D1053,Products!$A:$E,5,FALSE())-VLOOKUP(D1053,Products!$A:$E,4,FALSE()))/VLOOKUP(D1053,Products!$A:$E,5,FALSE()),"")</f>
        <v>0.46158940397350995</v>
      </c>
    </row>
    <row r="1054" spans="1:18" x14ac:dyDescent="0.3">
      <c r="A1054" s="22" t="s">
        <v>2576</v>
      </c>
      <c r="B1054" s="23">
        <v>45564</v>
      </c>
      <c r="C1054" s="22" t="s">
        <v>1719</v>
      </c>
      <c r="D1054" s="22" t="s">
        <v>479</v>
      </c>
      <c r="E1054" s="22" t="s">
        <v>2577</v>
      </c>
      <c r="F1054" s="24">
        <v>8</v>
      </c>
      <c r="G1054" s="24">
        <v>960</v>
      </c>
      <c r="H1054" s="24">
        <v>7.1</v>
      </c>
      <c r="I1054" s="24">
        <v>7134.72</v>
      </c>
      <c r="J1054" s="22" t="s">
        <v>104</v>
      </c>
      <c r="K1054" s="22" t="s">
        <v>105</v>
      </c>
      <c r="L1054" t="str">
        <f>VLOOKUP(D1054,Products!A:F,3,FALSE())</f>
        <v>Beauty</v>
      </c>
      <c r="M1054" t="str">
        <f>VLOOKUP(C1054,Customers!A:F,5,FALSE())</f>
        <v>Corporate</v>
      </c>
      <c r="O1054" t="str">
        <f>IFERROR(VLOOKUP(E1054,Sales_Reps!$A:$C,3,FALSE()),"")</f>
        <v/>
      </c>
      <c r="P1054">
        <f>IFERROR(VLOOKUP(C1054,Customers!$A:$C,3,FALSE()),"")</f>
        <v>42</v>
      </c>
      <c r="Q1054" t="str">
        <f t="shared" si="16"/>
        <v>Sep-24</v>
      </c>
      <c r="R1054">
        <f>IFERROR((VLOOKUP(D1054,Products!$A:$E,5,FALSE())-VLOOKUP(D1054,Products!$A:$E,4,FALSE()))/VLOOKUP(D1054,Products!$A:$E,5,FALSE()),"")</f>
        <v>0.296875</v>
      </c>
    </row>
    <row r="1055" spans="1:18" x14ac:dyDescent="0.3">
      <c r="A1055" s="22" t="s">
        <v>2578</v>
      </c>
      <c r="B1055" s="23">
        <v>45383</v>
      </c>
      <c r="C1055" s="22" t="s">
        <v>838</v>
      </c>
      <c r="D1055" s="22" t="s">
        <v>577</v>
      </c>
      <c r="E1055" s="22" t="s">
        <v>2579</v>
      </c>
      <c r="F1055" s="24">
        <v>8</v>
      </c>
      <c r="G1055" s="24">
        <v>5080</v>
      </c>
      <c r="H1055" s="24">
        <v>6.2</v>
      </c>
      <c r="I1055" s="24">
        <v>38120.32</v>
      </c>
      <c r="J1055" s="22" t="s">
        <v>104</v>
      </c>
      <c r="K1055" s="22" t="s">
        <v>111</v>
      </c>
      <c r="L1055" t="str">
        <f>VLOOKUP(D1055,Products!A:F,3,FALSE())</f>
        <v>Home</v>
      </c>
      <c r="M1055" t="str">
        <f>VLOOKUP(C1055,Customers!A:F,5,FALSE())</f>
        <v>Retail</v>
      </c>
      <c r="O1055" t="str">
        <f>IFERROR(VLOOKUP(E1055,Sales_Reps!$A:$C,3,FALSE()),"")</f>
        <v/>
      </c>
      <c r="P1055">
        <f>IFERROR(VLOOKUP(C1055,Customers!$A:$C,3,FALSE()),"")</f>
        <v>61</v>
      </c>
      <c r="Q1055" t="str">
        <f t="shared" si="16"/>
        <v>Apr-24</v>
      </c>
      <c r="R1055">
        <f>IFERROR((VLOOKUP(D1055,Products!$A:$E,5,FALSE())-VLOOKUP(D1055,Products!$A:$E,4,FALSE()))/VLOOKUP(D1055,Products!$A:$E,5,FALSE()),"")</f>
        <v>0.51594488188976373</v>
      </c>
    </row>
    <row r="1056" spans="1:18" x14ac:dyDescent="0.3">
      <c r="A1056" s="22" t="s">
        <v>2580</v>
      </c>
      <c r="B1056" s="23">
        <v>45436</v>
      </c>
      <c r="C1056" s="22" t="s">
        <v>737</v>
      </c>
      <c r="D1056" s="22" t="s">
        <v>283</v>
      </c>
      <c r="E1056" s="22" t="s">
        <v>2581</v>
      </c>
      <c r="F1056" s="24">
        <v>6</v>
      </c>
      <c r="G1056" s="24">
        <v>6080</v>
      </c>
      <c r="H1056" s="24">
        <v>25.8</v>
      </c>
      <c r="I1056" s="24">
        <v>27068.16</v>
      </c>
      <c r="J1056" s="22" t="s">
        <v>104</v>
      </c>
      <c r="K1056" s="22" t="s">
        <v>111</v>
      </c>
      <c r="L1056" t="str">
        <f>VLOOKUP(D1056,Products!A:F,3,FALSE())</f>
        <v>Beauty</v>
      </c>
      <c r="M1056" t="str">
        <f>VLOOKUP(C1056,Customers!A:F,5,FALSE())</f>
        <v>Corporate</v>
      </c>
      <c r="O1056" t="str">
        <f>IFERROR(VLOOKUP(E1056,Sales_Reps!$A:$C,3,FALSE()),"")</f>
        <v/>
      </c>
      <c r="P1056">
        <f>IFERROR(VLOOKUP(C1056,Customers!$A:$C,3,FALSE()),"")</f>
        <v>34</v>
      </c>
      <c r="Q1056" t="str">
        <f t="shared" si="16"/>
        <v>May-24</v>
      </c>
      <c r="R1056">
        <f>IFERROR((VLOOKUP(D1056,Products!$A:$E,5,FALSE())-VLOOKUP(D1056,Products!$A:$E,4,FALSE()))/VLOOKUP(D1056,Products!$A:$E,5,FALSE()),"")</f>
        <v>0.56957236842105263</v>
      </c>
    </row>
    <row r="1057" spans="1:18" x14ac:dyDescent="0.3">
      <c r="A1057" s="22" t="s">
        <v>2582</v>
      </c>
      <c r="B1057" s="23">
        <v>45544</v>
      </c>
      <c r="C1057" s="22" t="s">
        <v>734</v>
      </c>
      <c r="D1057" s="22" t="s">
        <v>308</v>
      </c>
      <c r="E1057" s="22" t="s">
        <v>2583</v>
      </c>
      <c r="F1057" s="24">
        <v>5</v>
      </c>
      <c r="G1057" s="24">
        <v>1540</v>
      </c>
      <c r="H1057" s="24">
        <v>24.6</v>
      </c>
      <c r="I1057" s="24">
        <v>5805.8</v>
      </c>
      <c r="J1057" s="22" t="s">
        <v>104</v>
      </c>
      <c r="K1057" s="22" t="s">
        <v>151</v>
      </c>
      <c r="L1057" t="str">
        <f>VLOOKUP(D1057,Products!A:F,3,FALSE())</f>
        <v>Beauty</v>
      </c>
      <c r="M1057" t="str">
        <f>VLOOKUP(C1057,Customers!A:F,5,FALSE())</f>
        <v>Retail</v>
      </c>
      <c r="O1057" t="str">
        <f>IFERROR(VLOOKUP(E1057,Sales_Reps!$A:$C,3,FALSE()),"")</f>
        <v/>
      </c>
      <c r="P1057">
        <f>IFERROR(VLOOKUP(C1057,Customers!$A:$C,3,FALSE()),"")</f>
        <v>38</v>
      </c>
      <c r="Q1057" t="str">
        <f t="shared" si="16"/>
        <v>Sep-24</v>
      </c>
      <c r="R1057">
        <f>IFERROR((VLOOKUP(D1057,Products!$A:$E,5,FALSE())-VLOOKUP(D1057,Products!$A:$E,4,FALSE()))/VLOOKUP(D1057,Products!$A:$E,5,FALSE()),"")</f>
        <v>0.57987012987012987</v>
      </c>
    </row>
    <row r="1058" spans="1:18" x14ac:dyDescent="0.3">
      <c r="A1058" s="22" t="s">
        <v>2584</v>
      </c>
      <c r="B1058" s="23">
        <v>45404</v>
      </c>
      <c r="C1058" s="22" t="s">
        <v>1144</v>
      </c>
      <c r="D1058" s="22" t="s">
        <v>209</v>
      </c>
      <c r="E1058" s="22" t="s">
        <v>2585</v>
      </c>
      <c r="F1058" s="24">
        <v>4</v>
      </c>
      <c r="G1058" s="24">
        <v>1010</v>
      </c>
      <c r="H1058" s="24">
        <v>2.9</v>
      </c>
      <c r="I1058" s="24">
        <v>3922.84</v>
      </c>
      <c r="J1058" s="22" t="s">
        <v>110</v>
      </c>
      <c r="K1058" s="22" t="s">
        <v>134</v>
      </c>
      <c r="L1058" t="str">
        <f>VLOOKUP(D1058,Products!A:F,3,FALSE())</f>
        <v>Sports</v>
      </c>
      <c r="M1058" t="str">
        <f>VLOOKUP(C1058,Customers!A:F,5,FALSE())</f>
        <v>Retail</v>
      </c>
      <c r="O1058" t="str">
        <f>IFERROR(VLOOKUP(E1058,Sales_Reps!$A:$C,3,FALSE()),"")</f>
        <v/>
      </c>
      <c r="P1058">
        <f>IFERROR(VLOOKUP(C1058,Customers!$A:$C,3,FALSE()),"")</f>
        <v>27</v>
      </c>
      <c r="Q1058" t="str">
        <f t="shared" si="16"/>
        <v>Apr-24</v>
      </c>
      <c r="R1058">
        <f>IFERROR((VLOOKUP(D1058,Products!$A:$E,5,FALSE())-VLOOKUP(D1058,Products!$A:$E,4,FALSE()))/VLOOKUP(D1058,Products!$A:$E,5,FALSE()),"")</f>
        <v>0.4891089108910891</v>
      </c>
    </row>
    <row r="1059" spans="1:18" x14ac:dyDescent="0.3">
      <c r="A1059" s="22" t="s">
        <v>2586</v>
      </c>
      <c r="B1059" s="23">
        <v>45586</v>
      </c>
      <c r="C1059" s="22" t="s">
        <v>724</v>
      </c>
      <c r="D1059" s="22" t="s">
        <v>479</v>
      </c>
      <c r="E1059" s="22" t="s">
        <v>2587</v>
      </c>
      <c r="F1059" s="24">
        <v>5</v>
      </c>
      <c r="G1059" s="24">
        <v>960</v>
      </c>
      <c r="H1059" s="24">
        <v>11.4</v>
      </c>
      <c r="I1059" s="24">
        <v>4252.8</v>
      </c>
      <c r="J1059" s="22" t="s">
        <v>104</v>
      </c>
      <c r="K1059" s="22" t="s">
        <v>116</v>
      </c>
      <c r="L1059" t="str">
        <f>VLOOKUP(D1059,Products!A:F,3,FALSE())</f>
        <v>Beauty</v>
      </c>
      <c r="M1059" t="str">
        <f>VLOOKUP(C1059,Customers!A:F,5,FALSE())</f>
        <v>SMB</v>
      </c>
      <c r="O1059" t="str">
        <f>IFERROR(VLOOKUP(E1059,Sales_Reps!$A:$C,3,FALSE()),"")</f>
        <v/>
      </c>
      <c r="P1059">
        <f>IFERROR(VLOOKUP(C1059,Customers!$A:$C,3,FALSE()),"")</f>
        <v>48</v>
      </c>
      <c r="Q1059" t="str">
        <f t="shared" si="16"/>
        <v>Oct-24</v>
      </c>
      <c r="R1059">
        <f>IFERROR((VLOOKUP(D1059,Products!$A:$E,5,FALSE())-VLOOKUP(D1059,Products!$A:$E,4,FALSE()))/VLOOKUP(D1059,Products!$A:$E,5,FALSE()),"")</f>
        <v>0.296875</v>
      </c>
    </row>
    <row r="1060" spans="1:18" x14ac:dyDescent="0.3">
      <c r="A1060" s="22" t="s">
        <v>2588</v>
      </c>
      <c r="B1060" s="23">
        <v>45524</v>
      </c>
      <c r="C1060" s="22" t="s">
        <v>271</v>
      </c>
      <c r="D1060" s="22" t="s">
        <v>308</v>
      </c>
      <c r="E1060" s="22" t="s">
        <v>2589</v>
      </c>
      <c r="F1060" s="24">
        <v>1</v>
      </c>
      <c r="G1060" s="24">
        <v>1540</v>
      </c>
      <c r="H1060" s="24">
        <v>5.6</v>
      </c>
      <c r="I1060" s="24">
        <v>1453.76</v>
      </c>
      <c r="J1060" s="22" t="s">
        <v>104</v>
      </c>
      <c r="K1060" s="22" t="s">
        <v>134</v>
      </c>
      <c r="L1060" t="str">
        <f>VLOOKUP(D1060,Products!A:F,3,FALSE())</f>
        <v>Beauty</v>
      </c>
      <c r="M1060" t="str">
        <f>VLOOKUP(C1060,Customers!A:F,5,FALSE())</f>
        <v>SMB</v>
      </c>
      <c r="O1060" t="str">
        <f>IFERROR(VLOOKUP(E1060,Sales_Reps!$A:$C,3,FALSE()),"")</f>
        <v/>
      </c>
      <c r="P1060">
        <f>IFERROR(VLOOKUP(C1060,Customers!$A:$C,3,FALSE()),"")</f>
        <v>64</v>
      </c>
      <c r="Q1060" t="str">
        <f t="shared" si="16"/>
        <v>Aug-24</v>
      </c>
      <c r="R1060">
        <f>IFERROR((VLOOKUP(D1060,Products!$A:$E,5,FALSE())-VLOOKUP(D1060,Products!$A:$E,4,FALSE()))/VLOOKUP(D1060,Products!$A:$E,5,FALSE()),"")</f>
        <v>0.57987012987012987</v>
      </c>
    </row>
    <row r="1061" spans="1:18" x14ac:dyDescent="0.3">
      <c r="A1061" s="22" t="s">
        <v>2590</v>
      </c>
      <c r="B1061" s="23">
        <v>45397</v>
      </c>
      <c r="C1061" s="22" t="s">
        <v>1544</v>
      </c>
      <c r="D1061" s="22" t="s">
        <v>205</v>
      </c>
      <c r="E1061" s="22" t="s">
        <v>2591</v>
      </c>
      <c r="F1061" s="24">
        <v>9</v>
      </c>
      <c r="G1061" s="24">
        <v>3350</v>
      </c>
      <c r="H1061" s="24">
        <v>2.1</v>
      </c>
      <c r="I1061" s="24">
        <v>29516.85</v>
      </c>
      <c r="J1061" s="22" t="s">
        <v>104</v>
      </c>
      <c r="K1061" s="22" t="s">
        <v>116</v>
      </c>
      <c r="L1061" t="str">
        <f>VLOOKUP(D1061,Products!A:F,3,FALSE())</f>
        <v>Beauty</v>
      </c>
      <c r="M1061" t="str">
        <f>VLOOKUP(C1061,Customers!A:F,5,FALSE())</f>
        <v>SMB</v>
      </c>
      <c r="O1061" t="str">
        <f>IFERROR(VLOOKUP(E1061,Sales_Reps!$A:$C,3,FALSE()),"")</f>
        <v/>
      </c>
      <c r="P1061">
        <f>IFERROR(VLOOKUP(C1061,Customers!$A:$C,3,FALSE()),"")</f>
        <v>45</v>
      </c>
      <c r="Q1061" t="str">
        <f t="shared" si="16"/>
        <v>Apr-24</v>
      </c>
      <c r="R1061">
        <f>IFERROR((VLOOKUP(D1061,Products!$A:$E,5,FALSE())-VLOOKUP(D1061,Products!$A:$E,4,FALSE()))/VLOOKUP(D1061,Products!$A:$E,5,FALSE()),"")</f>
        <v>0.48417910447761192</v>
      </c>
    </row>
    <row r="1062" spans="1:18" x14ac:dyDescent="0.3">
      <c r="A1062" s="22" t="s">
        <v>2592</v>
      </c>
      <c r="B1062" s="23">
        <v>45336</v>
      </c>
      <c r="C1062" s="22" t="s">
        <v>1372</v>
      </c>
      <c r="D1062" s="22" t="s">
        <v>182</v>
      </c>
      <c r="E1062" s="22" t="s">
        <v>2593</v>
      </c>
      <c r="F1062" s="24">
        <v>7</v>
      </c>
      <c r="G1062" s="24">
        <v>3450</v>
      </c>
      <c r="H1062" s="24">
        <v>4.7</v>
      </c>
      <c r="I1062" s="24">
        <v>23014.95</v>
      </c>
      <c r="J1062" s="22" t="s">
        <v>104</v>
      </c>
      <c r="K1062" s="22" t="s">
        <v>151</v>
      </c>
      <c r="L1062" t="str">
        <f>VLOOKUP(D1062,Products!A:F,3,FALSE())</f>
        <v>Sports</v>
      </c>
      <c r="M1062" t="str">
        <f>VLOOKUP(C1062,Customers!A:F,5,FALSE())</f>
        <v>Retail</v>
      </c>
      <c r="O1062" t="str">
        <f>IFERROR(VLOOKUP(E1062,Sales_Reps!$A:$C,3,FALSE()),"")</f>
        <v/>
      </c>
      <c r="P1062">
        <f>IFERROR(VLOOKUP(C1062,Customers!$A:$C,3,FALSE()),"")</f>
        <v>31</v>
      </c>
      <c r="Q1062" t="str">
        <f t="shared" si="16"/>
        <v>Feb-24</v>
      </c>
      <c r="R1062">
        <f>IFERROR((VLOOKUP(D1062,Products!$A:$E,5,FALSE())-VLOOKUP(D1062,Products!$A:$E,4,FALSE()))/VLOOKUP(D1062,Products!$A:$E,5,FALSE()),"")</f>
        <v>0.28492753623188405</v>
      </c>
    </row>
    <row r="1063" spans="1:18" x14ac:dyDescent="0.3">
      <c r="A1063" s="22" t="s">
        <v>2594</v>
      </c>
      <c r="B1063" s="23">
        <v>45594</v>
      </c>
      <c r="C1063" s="22" t="s">
        <v>355</v>
      </c>
      <c r="D1063" s="22" t="s">
        <v>132</v>
      </c>
      <c r="E1063" s="22" t="s">
        <v>2595</v>
      </c>
      <c r="F1063" s="24">
        <v>10</v>
      </c>
      <c r="G1063" s="24">
        <v>960</v>
      </c>
      <c r="H1063" s="24">
        <v>17.899999999999999</v>
      </c>
      <c r="I1063" s="24">
        <v>7881.6</v>
      </c>
      <c r="J1063" s="22" t="s">
        <v>104</v>
      </c>
      <c r="K1063" s="22" t="s">
        <v>151</v>
      </c>
      <c r="L1063" t="str">
        <f>VLOOKUP(D1063,Products!A:F,3,FALSE())</f>
        <v>Sports</v>
      </c>
      <c r="M1063" t="str">
        <f>VLOOKUP(C1063,Customers!A:F,5,FALSE())</f>
        <v>SMB</v>
      </c>
      <c r="O1063" t="str">
        <f>IFERROR(VLOOKUP(E1063,Sales_Reps!$A:$C,3,FALSE()),"")</f>
        <v/>
      </c>
      <c r="P1063">
        <f>IFERROR(VLOOKUP(C1063,Customers!$A:$C,3,FALSE()),"")</f>
        <v>43</v>
      </c>
      <c r="Q1063" t="str">
        <f t="shared" si="16"/>
        <v>Oct-24</v>
      </c>
      <c r="R1063">
        <f>IFERROR((VLOOKUP(D1063,Products!$A:$E,5,FALSE())-VLOOKUP(D1063,Products!$A:$E,4,FALSE()))/VLOOKUP(D1063,Products!$A:$E,5,FALSE()),"")</f>
        <v>0.265625</v>
      </c>
    </row>
    <row r="1064" spans="1:18" x14ac:dyDescent="0.3">
      <c r="A1064" s="22" t="s">
        <v>2596</v>
      </c>
      <c r="B1064" s="23">
        <v>45617</v>
      </c>
      <c r="C1064" s="22" t="s">
        <v>554</v>
      </c>
      <c r="D1064" s="22" t="s">
        <v>279</v>
      </c>
      <c r="E1064" s="22" t="s">
        <v>2597</v>
      </c>
      <c r="F1064" s="24">
        <v>1</v>
      </c>
      <c r="G1064" s="24">
        <v>3640</v>
      </c>
      <c r="H1064" s="24">
        <v>8.8000000000000007</v>
      </c>
      <c r="I1064" s="24">
        <v>3319.68</v>
      </c>
      <c r="J1064" s="22" t="s">
        <v>104</v>
      </c>
      <c r="K1064" s="22" t="s">
        <v>134</v>
      </c>
      <c r="L1064" t="str">
        <f>VLOOKUP(D1064,Products!A:F,3,FALSE())</f>
        <v>Apparel</v>
      </c>
      <c r="M1064" t="str">
        <f>VLOOKUP(C1064,Customers!A:F,5,FALSE())</f>
        <v>Retail</v>
      </c>
      <c r="O1064" t="str">
        <f>IFERROR(VLOOKUP(E1064,Sales_Reps!$A:$C,3,FALSE()),"")</f>
        <v/>
      </c>
      <c r="P1064">
        <f>IFERROR(VLOOKUP(C1064,Customers!$A:$C,3,FALSE()),"")</f>
        <v>55</v>
      </c>
      <c r="Q1064" t="str">
        <f t="shared" si="16"/>
        <v>Nov-24</v>
      </c>
      <c r="R1064">
        <f>IFERROR((VLOOKUP(D1064,Products!$A:$E,5,FALSE())-VLOOKUP(D1064,Products!$A:$E,4,FALSE()))/VLOOKUP(D1064,Products!$A:$E,5,FALSE()),"")</f>
        <v>0.28269230769230769</v>
      </c>
    </row>
    <row r="1065" spans="1:18" x14ac:dyDescent="0.3">
      <c r="A1065" s="22" t="s">
        <v>2598</v>
      </c>
      <c r="B1065" s="23">
        <v>45378</v>
      </c>
      <c r="C1065" s="22" t="s">
        <v>1144</v>
      </c>
      <c r="D1065" s="22" t="s">
        <v>419</v>
      </c>
      <c r="E1065" s="22" t="s">
        <v>2599</v>
      </c>
      <c r="F1065" s="24">
        <v>1</v>
      </c>
      <c r="G1065" s="24">
        <v>2210</v>
      </c>
      <c r="H1065" s="24">
        <v>10.7</v>
      </c>
      <c r="I1065" s="24">
        <v>1973.53</v>
      </c>
      <c r="J1065" s="22" t="s">
        <v>104</v>
      </c>
      <c r="K1065" s="22" t="s">
        <v>134</v>
      </c>
      <c r="L1065" t="str">
        <f>VLOOKUP(D1065,Products!A:F,3,FALSE())</f>
        <v>Grocery</v>
      </c>
      <c r="M1065" t="str">
        <f>VLOOKUP(C1065,Customers!A:F,5,FALSE())</f>
        <v>Retail</v>
      </c>
      <c r="O1065" t="str">
        <f>IFERROR(VLOOKUP(E1065,Sales_Reps!$A:$C,3,FALSE()),"")</f>
        <v/>
      </c>
      <c r="P1065">
        <f>IFERROR(VLOOKUP(C1065,Customers!$A:$C,3,FALSE()),"")</f>
        <v>27</v>
      </c>
      <c r="Q1065" t="str">
        <f t="shared" si="16"/>
        <v>Mar-24</v>
      </c>
      <c r="R1065">
        <f>IFERROR((VLOOKUP(D1065,Products!$A:$E,5,FALSE())-VLOOKUP(D1065,Products!$A:$E,4,FALSE()))/VLOOKUP(D1065,Products!$A:$E,5,FALSE()),"")</f>
        <v>0.54298642533936647</v>
      </c>
    </row>
    <row r="1066" spans="1:18" x14ac:dyDescent="0.3">
      <c r="A1066" s="22" t="s">
        <v>2600</v>
      </c>
      <c r="B1066" s="23">
        <v>45318</v>
      </c>
      <c r="C1066" s="22" t="s">
        <v>118</v>
      </c>
      <c r="D1066" s="22" t="s">
        <v>265</v>
      </c>
      <c r="E1066" s="22" t="s">
        <v>2601</v>
      </c>
      <c r="F1066" s="24">
        <v>2</v>
      </c>
      <c r="G1066" s="24">
        <v>3730</v>
      </c>
      <c r="H1066" s="24">
        <v>13.9</v>
      </c>
      <c r="I1066" s="24">
        <v>6423.06</v>
      </c>
      <c r="J1066" s="22" t="s">
        <v>104</v>
      </c>
      <c r="K1066" s="22" t="s">
        <v>116</v>
      </c>
      <c r="L1066" t="str">
        <f>VLOOKUP(D1066,Products!A:F,3,FALSE())</f>
        <v>Home</v>
      </c>
      <c r="M1066" t="str">
        <f>VLOOKUP(C1066,Customers!A:F,5,FALSE())</f>
        <v>Corporate</v>
      </c>
      <c r="O1066" t="str">
        <f>IFERROR(VLOOKUP(E1066,Sales_Reps!$A:$C,3,FALSE()),"")</f>
        <v/>
      </c>
      <c r="P1066">
        <f>IFERROR(VLOOKUP(C1066,Customers!$A:$C,3,FALSE()),"")</f>
        <v>46</v>
      </c>
      <c r="Q1066" t="str">
        <f t="shared" si="16"/>
        <v>Jan-24</v>
      </c>
      <c r="R1066">
        <f>IFERROR((VLOOKUP(D1066,Products!$A:$E,5,FALSE())-VLOOKUP(D1066,Products!$A:$E,4,FALSE()))/VLOOKUP(D1066,Products!$A:$E,5,FALSE()),"")</f>
        <v>0.42761394101876676</v>
      </c>
    </row>
    <row r="1067" spans="1:18" x14ac:dyDescent="0.3">
      <c r="A1067" s="22" t="s">
        <v>2602</v>
      </c>
      <c r="B1067" s="23">
        <v>45542</v>
      </c>
      <c r="C1067" s="22" t="s">
        <v>551</v>
      </c>
      <c r="D1067" s="22" t="s">
        <v>449</v>
      </c>
      <c r="E1067" s="22" t="s">
        <v>2603</v>
      </c>
      <c r="F1067" s="24">
        <v>7</v>
      </c>
      <c r="G1067" s="24">
        <v>5410</v>
      </c>
      <c r="H1067" s="24">
        <v>23.6</v>
      </c>
      <c r="I1067" s="24">
        <v>28932.68</v>
      </c>
      <c r="J1067" s="22" t="s">
        <v>104</v>
      </c>
      <c r="K1067" s="22" t="s">
        <v>105</v>
      </c>
      <c r="L1067" t="str">
        <f>VLOOKUP(D1067,Products!A:F,3,FALSE())</f>
        <v>Sports</v>
      </c>
      <c r="M1067" t="str">
        <f>VLOOKUP(C1067,Customers!A:F,5,FALSE())</f>
        <v>Corporate</v>
      </c>
      <c r="O1067" t="str">
        <f>IFERROR(VLOOKUP(E1067,Sales_Reps!$A:$C,3,FALSE()),"")</f>
        <v/>
      </c>
      <c r="P1067">
        <f>IFERROR(VLOOKUP(C1067,Customers!$A:$C,3,FALSE()),"")</f>
        <v>48</v>
      </c>
      <c r="Q1067" t="str">
        <f t="shared" si="16"/>
        <v>Sep-24</v>
      </c>
      <c r="R1067">
        <f>IFERROR((VLOOKUP(D1067,Products!$A:$E,5,FALSE())-VLOOKUP(D1067,Products!$A:$E,4,FALSE()))/VLOOKUP(D1067,Products!$A:$E,5,FALSE()),"")</f>
        <v>0.58133086876155271</v>
      </c>
    </row>
    <row r="1068" spans="1:18" x14ac:dyDescent="0.3">
      <c r="A1068" s="22" t="s">
        <v>2604</v>
      </c>
      <c r="B1068" s="23">
        <v>45618</v>
      </c>
      <c r="C1068" s="22" t="s">
        <v>1309</v>
      </c>
      <c r="D1068" s="22" t="s">
        <v>275</v>
      </c>
      <c r="E1068" s="22" t="s">
        <v>2605</v>
      </c>
      <c r="F1068" s="24">
        <v>7</v>
      </c>
      <c r="G1068" s="24">
        <v>3780</v>
      </c>
      <c r="H1068" s="24">
        <v>8.5</v>
      </c>
      <c r="I1068" s="24">
        <v>24210.9</v>
      </c>
      <c r="J1068" s="22" t="s">
        <v>159</v>
      </c>
      <c r="K1068" s="22" t="s">
        <v>129</v>
      </c>
      <c r="L1068" t="str">
        <f>VLOOKUP(D1068,Products!A:F,3,FALSE())</f>
        <v>Grocery</v>
      </c>
      <c r="M1068" t="str">
        <f>VLOOKUP(C1068,Customers!A:F,5,FALSE())</f>
        <v>Corporate</v>
      </c>
      <c r="O1068" t="str">
        <f>IFERROR(VLOOKUP(E1068,Sales_Reps!$A:$C,3,FALSE()),"")</f>
        <v/>
      </c>
      <c r="P1068">
        <f>IFERROR(VLOOKUP(C1068,Customers!$A:$C,3,FALSE()),"")</f>
        <v>62</v>
      </c>
      <c r="Q1068" t="str">
        <f t="shared" si="16"/>
        <v>Nov-24</v>
      </c>
      <c r="R1068">
        <f>IFERROR((VLOOKUP(D1068,Products!$A:$E,5,FALSE())-VLOOKUP(D1068,Products!$A:$E,4,FALSE()))/VLOOKUP(D1068,Products!$A:$E,5,FALSE()),"")</f>
        <v>0.35555555555555557</v>
      </c>
    </row>
    <row r="1069" spans="1:18" x14ac:dyDescent="0.3">
      <c r="A1069" s="22" t="s">
        <v>2606</v>
      </c>
      <c r="B1069" s="23">
        <v>45555</v>
      </c>
      <c r="C1069" s="22" t="s">
        <v>307</v>
      </c>
      <c r="D1069" s="22" t="s">
        <v>323</v>
      </c>
      <c r="E1069" s="22" t="s">
        <v>2607</v>
      </c>
      <c r="F1069" s="24">
        <v>9</v>
      </c>
      <c r="G1069" s="24">
        <v>4610</v>
      </c>
      <c r="H1069" s="24">
        <v>26.6</v>
      </c>
      <c r="I1069" s="24">
        <v>30453.66</v>
      </c>
      <c r="J1069" s="22" t="s">
        <v>104</v>
      </c>
      <c r="K1069" s="22" t="s">
        <v>116</v>
      </c>
      <c r="L1069" t="str">
        <f>VLOOKUP(D1069,Products!A:F,3,FALSE())</f>
        <v>Home</v>
      </c>
      <c r="M1069" t="str">
        <f>VLOOKUP(C1069,Customers!A:F,5,FALSE())</f>
        <v>SMB</v>
      </c>
      <c r="O1069" t="str">
        <f>IFERROR(VLOOKUP(E1069,Sales_Reps!$A:$C,3,FALSE()),"")</f>
        <v/>
      </c>
      <c r="P1069">
        <f>IFERROR(VLOOKUP(C1069,Customers!$A:$C,3,FALSE()),"")</f>
        <v>55</v>
      </c>
      <c r="Q1069" t="str">
        <f t="shared" si="16"/>
        <v>Sep-24</v>
      </c>
      <c r="R1069">
        <f>IFERROR((VLOOKUP(D1069,Products!$A:$E,5,FALSE())-VLOOKUP(D1069,Products!$A:$E,4,FALSE()))/VLOOKUP(D1069,Products!$A:$E,5,FALSE()),"")</f>
        <v>0.59869848156182215</v>
      </c>
    </row>
    <row r="1070" spans="1:18" x14ac:dyDescent="0.3">
      <c r="A1070" s="22" t="s">
        <v>2608</v>
      </c>
      <c r="B1070" s="23">
        <v>45373</v>
      </c>
      <c r="C1070" s="22" t="s">
        <v>838</v>
      </c>
      <c r="D1070" s="22" t="s">
        <v>153</v>
      </c>
      <c r="E1070" s="22" t="s">
        <v>2609</v>
      </c>
      <c r="F1070" s="24">
        <v>5</v>
      </c>
      <c r="G1070" s="24">
        <v>2640</v>
      </c>
      <c r="H1070" s="24">
        <v>1.5</v>
      </c>
      <c r="I1070" s="24">
        <v>13002</v>
      </c>
      <c r="J1070" s="22" t="s">
        <v>104</v>
      </c>
      <c r="K1070" s="22" t="s">
        <v>111</v>
      </c>
      <c r="L1070" t="str">
        <f>VLOOKUP(D1070,Products!A:F,3,FALSE())</f>
        <v>Electronics</v>
      </c>
      <c r="M1070" t="str">
        <f>VLOOKUP(C1070,Customers!A:F,5,FALSE())</f>
        <v>Retail</v>
      </c>
      <c r="O1070" t="str">
        <f>IFERROR(VLOOKUP(E1070,Sales_Reps!$A:$C,3,FALSE()),"")</f>
        <v/>
      </c>
      <c r="P1070">
        <f>IFERROR(VLOOKUP(C1070,Customers!$A:$C,3,FALSE()),"")</f>
        <v>61</v>
      </c>
      <c r="Q1070" t="str">
        <f t="shared" si="16"/>
        <v>Mar-24</v>
      </c>
      <c r="R1070">
        <f>IFERROR((VLOOKUP(D1070,Products!$A:$E,5,FALSE())-VLOOKUP(D1070,Products!$A:$E,4,FALSE()))/VLOOKUP(D1070,Products!$A:$E,5,FALSE()),"")</f>
        <v>0.56477272727272732</v>
      </c>
    </row>
    <row r="1071" spans="1:18" x14ac:dyDescent="0.3">
      <c r="A1071" s="22" t="s">
        <v>2610</v>
      </c>
      <c r="B1071" s="23">
        <v>45515</v>
      </c>
      <c r="C1071" s="22" t="s">
        <v>261</v>
      </c>
      <c r="D1071" s="22" t="s">
        <v>102</v>
      </c>
      <c r="E1071" s="22" t="s">
        <v>2611</v>
      </c>
      <c r="F1071" s="24">
        <v>3</v>
      </c>
      <c r="G1071" s="24">
        <v>3620</v>
      </c>
      <c r="H1071" s="24">
        <v>3.1</v>
      </c>
      <c r="I1071" s="24">
        <v>10523.34</v>
      </c>
      <c r="J1071" s="22" t="s">
        <v>104</v>
      </c>
      <c r="K1071" s="22" t="s">
        <v>116</v>
      </c>
      <c r="L1071" t="str">
        <f>VLOOKUP(D1071,Products!A:F,3,FALSE())</f>
        <v>Apparel</v>
      </c>
      <c r="M1071" t="str">
        <f>VLOOKUP(C1071,Customers!A:F,5,FALSE())</f>
        <v>Retail</v>
      </c>
      <c r="O1071" t="str">
        <f>IFERROR(VLOOKUP(E1071,Sales_Reps!$A:$C,3,FALSE()),"")</f>
        <v/>
      </c>
      <c r="P1071">
        <f>IFERROR(VLOOKUP(C1071,Customers!$A:$C,3,FALSE()),"")</f>
        <v>53</v>
      </c>
      <c r="Q1071" t="str">
        <f t="shared" si="16"/>
        <v>Aug-24</v>
      </c>
      <c r="R1071">
        <f>IFERROR((VLOOKUP(D1071,Products!$A:$E,5,FALSE())-VLOOKUP(D1071,Products!$A:$E,4,FALSE()))/VLOOKUP(D1071,Products!$A:$E,5,FALSE()),"")</f>
        <v>0.3069060773480663</v>
      </c>
    </row>
    <row r="1072" spans="1:18" x14ac:dyDescent="0.3">
      <c r="A1072" s="22" t="s">
        <v>2612</v>
      </c>
      <c r="B1072" s="23">
        <v>45530</v>
      </c>
      <c r="C1072" s="22" t="s">
        <v>1175</v>
      </c>
      <c r="D1072" s="22" t="s">
        <v>114</v>
      </c>
      <c r="E1072" s="22" t="s">
        <v>2613</v>
      </c>
      <c r="F1072" s="24">
        <v>5</v>
      </c>
      <c r="G1072" s="24">
        <v>470</v>
      </c>
      <c r="H1072" s="24">
        <v>10.6</v>
      </c>
      <c r="I1072" s="24">
        <v>2100.9</v>
      </c>
      <c r="J1072" s="22" t="s">
        <v>159</v>
      </c>
      <c r="K1072" s="22" t="s">
        <v>116</v>
      </c>
      <c r="L1072" t="str">
        <f>VLOOKUP(D1072,Products!A:F,3,FALSE())</f>
        <v>Sports</v>
      </c>
      <c r="M1072" t="str">
        <f>VLOOKUP(C1072,Customers!A:F,5,FALSE())</f>
        <v>Retail</v>
      </c>
      <c r="O1072" t="str">
        <f>IFERROR(VLOOKUP(E1072,Sales_Reps!$A:$C,3,FALSE()),"")</f>
        <v/>
      </c>
      <c r="P1072">
        <f>IFERROR(VLOOKUP(C1072,Customers!$A:$C,3,FALSE()),"")</f>
        <v>63</v>
      </c>
      <c r="Q1072" t="str">
        <f t="shared" si="16"/>
        <v>Aug-24</v>
      </c>
      <c r="R1072">
        <f>IFERROR((VLOOKUP(D1072,Products!$A:$E,5,FALSE())-VLOOKUP(D1072,Products!$A:$E,4,FALSE()))/VLOOKUP(D1072,Products!$A:$E,5,FALSE()),"")</f>
        <v>0.35744680851063831</v>
      </c>
    </row>
    <row r="1073" spans="1:18" x14ac:dyDescent="0.3">
      <c r="A1073" s="22" t="s">
        <v>2614</v>
      </c>
      <c r="B1073" s="23">
        <v>45463</v>
      </c>
      <c r="C1073" s="22" t="s">
        <v>311</v>
      </c>
      <c r="D1073" s="22" t="s">
        <v>455</v>
      </c>
      <c r="E1073" s="22" t="s">
        <v>2615</v>
      </c>
      <c r="F1073" s="24">
        <v>7</v>
      </c>
      <c r="G1073" s="24">
        <v>5330</v>
      </c>
      <c r="H1073" s="24">
        <v>25</v>
      </c>
      <c r="I1073" s="24">
        <v>27982.5</v>
      </c>
      <c r="J1073" s="22" t="s">
        <v>159</v>
      </c>
      <c r="K1073" s="22" t="s">
        <v>116</v>
      </c>
      <c r="L1073" t="str">
        <f>VLOOKUP(D1073,Products!A:F,3,FALSE())</f>
        <v>Electronics</v>
      </c>
      <c r="M1073" t="str">
        <f>VLOOKUP(C1073,Customers!A:F,5,FALSE())</f>
        <v>Retail</v>
      </c>
      <c r="O1073" t="str">
        <f>IFERROR(VLOOKUP(E1073,Sales_Reps!$A:$C,3,FALSE()),"")</f>
        <v/>
      </c>
      <c r="P1073">
        <f>IFERROR(VLOOKUP(C1073,Customers!$A:$C,3,FALSE()),"")</f>
        <v>54</v>
      </c>
      <c r="Q1073" t="str">
        <f t="shared" si="16"/>
        <v>Jun-24</v>
      </c>
      <c r="R1073">
        <f>IFERROR((VLOOKUP(D1073,Products!$A:$E,5,FALSE())-VLOOKUP(D1073,Products!$A:$E,4,FALSE()))/VLOOKUP(D1073,Products!$A:$E,5,FALSE()),"")</f>
        <v>0.54878048780487809</v>
      </c>
    </row>
    <row r="1074" spans="1:18" x14ac:dyDescent="0.3">
      <c r="A1074" s="22" t="s">
        <v>2616</v>
      </c>
      <c r="B1074" s="23">
        <v>45292</v>
      </c>
      <c r="C1074" s="22" t="s">
        <v>1183</v>
      </c>
      <c r="D1074" s="22" t="s">
        <v>283</v>
      </c>
      <c r="E1074" s="22" t="s">
        <v>2617</v>
      </c>
      <c r="F1074" s="24">
        <v>1</v>
      </c>
      <c r="G1074" s="24">
        <v>6080</v>
      </c>
      <c r="H1074" s="24">
        <v>27.8</v>
      </c>
      <c r="I1074" s="24">
        <v>4389.76</v>
      </c>
      <c r="J1074" s="22" t="s">
        <v>104</v>
      </c>
      <c r="K1074" s="22" t="s">
        <v>111</v>
      </c>
      <c r="L1074" t="str">
        <f>VLOOKUP(D1074,Products!A:F,3,FALSE())</f>
        <v>Beauty</v>
      </c>
      <c r="M1074" t="str">
        <f>VLOOKUP(C1074,Customers!A:F,5,FALSE())</f>
        <v>SMB</v>
      </c>
      <c r="O1074" t="str">
        <f>IFERROR(VLOOKUP(E1074,Sales_Reps!$A:$C,3,FALSE()),"")</f>
        <v/>
      </c>
      <c r="P1074">
        <f>IFERROR(VLOOKUP(C1074,Customers!$A:$C,3,FALSE()),"")</f>
        <v>39</v>
      </c>
      <c r="Q1074" t="str">
        <f t="shared" si="16"/>
        <v>Jan-24</v>
      </c>
      <c r="R1074">
        <f>IFERROR((VLOOKUP(D1074,Products!$A:$E,5,FALSE())-VLOOKUP(D1074,Products!$A:$E,4,FALSE()))/VLOOKUP(D1074,Products!$A:$E,5,FALSE()),"")</f>
        <v>0.56957236842105263</v>
      </c>
    </row>
    <row r="1075" spans="1:18" x14ac:dyDescent="0.3">
      <c r="A1075" s="22" t="s">
        <v>2618</v>
      </c>
      <c r="B1075" s="23">
        <v>45347</v>
      </c>
      <c r="C1075" s="22" t="s">
        <v>237</v>
      </c>
      <c r="D1075" s="22" t="s">
        <v>205</v>
      </c>
      <c r="E1075" s="22" t="s">
        <v>2619</v>
      </c>
      <c r="F1075" s="24">
        <v>6</v>
      </c>
      <c r="G1075" s="24">
        <v>3350</v>
      </c>
      <c r="H1075" s="24">
        <v>12</v>
      </c>
      <c r="I1075" s="24">
        <v>17688</v>
      </c>
      <c r="J1075" s="22" t="s">
        <v>104</v>
      </c>
      <c r="K1075" s="22" t="s">
        <v>151</v>
      </c>
      <c r="L1075" t="str">
        <f>VLOOKUP(D1075,Products!A:F,3,FALSE())</f>
        <v>Beauty</v>
      </c>
      <c r="M1075" t="str">
        <f>VLOOKUP(C1075,Customers!A:F,5,FALSE())</f>
        <v>SMB</v>
      </c>
      <c r="O1075" t="str">
        <f>IFERROR(VLOOKUP(E1075,Sales_Reps!$A:$C,3,FALSE()),"")</f>
        <v/>
      </c>
      <c r="P1075">
        <f>IFERROR(VLOOKUP(C1075,Customers!$A:$C,3,FALSE()),"")</f>
        <v>40</v>
      </c>
      <c r="Q1075" t="str">
        <f t="shared" si="16"/>
        <v>Feb-24</v>
      </c>
      <c r="R1075">
        <f>IFERROR((VLOOKUP(D1075,Products!$A:$E,5,FALSE())-VLOOKUP(D1075,Products!$A:$E,4,FALSE()))/VLOOKUP(D1075,Products!$A:$E,5,FALSE()),"")</f>
        <v>0.48417910447761192</v>
      </c>
    </row>
    <row r="1076" spans="1:18" x14ac:dyDescent="0.3">
      <c r="A1076" s="22" t="s">
        <v>2620</v>
      </c>
      <c r="B1076" s="23">
        <v>45592</v>
      </c>
      <c r="C1076" s="22" t="s">
        <v>2621</v>
      </c>
      <c r="D1076" s="22" t="s">
        <v>695</v>
      </c>
      <c r="E1076" s="22" t="s">
        <v>2622</v>
      </c>
      <c r="F1076" s="24">
        <v>6</v>
      </c>
      <c r="G1076" s="24">
        <v>6940</v>
      </c>
      <c r="H1076" s="24">
        <v>20</v>
      </c>
      <c r="I1076" s="24">
        <v>33312</v>
      </c>
      <c r="J1076" s="22" t="s">
        <v>104</v>
      </c>
      <c r="K1076" s="22" t="s">
        <v>111</v>
      </c>
      <c r="L1076" t="str">
        <f>VLOOKUP(D1076,Products!A:F,3,FALSE())</f>
        <v>Sports</v>
      </c>
      <c r="M1076" t="e">
        <f>VLOOKUP(C1076,Customers!A:F,5,FALSE())</f>
        <v>#N/A</v>
      </c>
      <c r="O1076" t="str">
        <f>IFERROR(VLOOKUP(E1076,Sales_Reps!$A:$C,3,FALSE()),"")</f>
        <v/>
      </c>
      <c r="P1076" t="str">
        <f>IFERROR(VLOOKUP(C1076,Customers!$A:$C,3,FALSE()),"")</f>
        <v/>
      </c>
      <c r="Q1076" t="str">
        <f t="shared" si="16"/>
        <v>Oct-24</v>
      </c>
      <c r="R1076">
        <f>IFERROR((VLOOKUP(D1076,Products!$A:$E,5,FALSE())-VLOOKUP(D1076,Products!$A:$E,4,FALSE()))/VLOOKUP(D1076,Products!$A:$E,5,FALSE()),"")</f>
        <v>0.5926512968299712</v>
      </c>
    </row>
    <row r="1077" spans="1:18" x14ac:dyDescent="0.3">
      <c r="A1077" s="22" t="s">
        <v>2623</v>
      </c>
      <c r="B1077" s="23">
        <v>45636</v>
      </c>
      <c r="C1077" s="22" t="s">
        <v>369</v>
      </c>
      <c r="D1077" s="22" t="s">
        <v>127</v>
      </c>
      <c r="E1077" s="22" t="s">
        <v>2624</v>
      </c>
      <c r="F1077" s="24">
        <v>1</v>
      </c>
      <c r="G1077" s="24">
        <v>370</v>
      </c>
      <c r="H1077" s="24">
        <v>10</v>
      </c>
      <c r="I1077" s="24">
        <v>333</v>
      </c>
      <c r="J1077" s="22" t="s">
        <v>104</v>
      </c>
      <c r="K1077" s="22" t="s">
        <v>151</v>
      </c>
      <c r="L1077" t="str">
        <f>VLOOKUP(D1077,Products!A:F,3,FALSE())</f>
        <v>Home</v>
      </c>
      <c r="M1077" t="str">
        <f>VLOOKUP(C1077,Customers!A:F,5,FALSE())</f>
        <v>Corporate</v>
      </c>
      <c r="O1077" t="str">
        <f>IFERROR(VLOOKUP(E1077,Sales_Reps!$A:$C,3,FALSE()),"")</f>
        <v/>
      </c>
      <c r="P1077">
        <f>IFERROR(VLOOKUP(C1077,Customers!$A:$C,3,FALSE()),"")</f>
        <v>46</v>
      </c>
      <c r="Q1077" t="str">
        <f t="shared" si="16"/>
        <v>Dec-24</v>
      </c>
      <c r="R1077">
        <f>IFERROR((VLOOKUP(D1077,Products!$A:$E,5,FALSE())-VLOOKUP(D1077,Products!$A:$E,4,FALSE()))/VLOOKUP(D1077,Products!$A:$E,5,FALSE()),"")</f>
        <v>0.22162162162162163</v>
      </c>
    </row>
    <row r="1078" spans="1:18" x14ac:dyDescent="0.3">
      <c r="A1078" s="22" t="s">
        <v>2625</v>
      </c>
      <c r="B1078" s="23">
        <v>45432</v>
      </c>
      <c r="C1078" s="22" t="s">
        <v>1568</v>
      </c>
      <c r="D1078" s="22" t="s">
        <v>141</v>
      </c>
      <c r="E1078" s="22" t="s">
        <v>2626</v>
      </c>
      <c r="F1078" s="24">
        <v>2</v>
      </c>
      <c r="G1078" s="24">
        <v>5490</v>
      </c>
      <c r="H1078" s="24">
        <v>27.9</v>
      </c>
      <c r="I1078" s="24">
        <v>7916.58</v>
      </c>
      <c r="J1078" s="22" t="s">
        <v>104</v>
      </c>
      <c r="K1078" s="22" t="s">
        <v>134</v>
      </c>
      <c r="L1078" t="str">
        <f>VLOOKUP(D1078,Products!A:F,3,FALSE())</f>
        <v>Home</v>
      </c>
      <c r="M1078" t="str">
        <f>VLOOKUP(C1078,Customers!A:F,5,FALSE())</f>
        <v>SMB</v>
      </c>
      <c r="O1078" t="str">
        <f>IFERROR(VLOOKUP(E1078,Sales_Reps!$A:$C,3,FALSE()),"")</f>
        <v/>
      </c>
      <c r="P1078">
        <f>IFERROR(VLOOKUP(C1078,Customers!$A:$C,3,FALSE()),"")</f>
        <v>49</v>
      </c>
      <c r="Q1078" t="str">
        <f t="shared" si="16"/>
        <v>May-24</v>
      </c>
      <c r="R1078">
        <f>IFERROR((VLOOKUP(D1078,Products!$A:$E,5,FALSE())-VLOOKUP(D1078,Products!$A:$E,4,FALSE()))/VLOOKUP(D1078,Products!$A:$E,5,FALSE()),"")</f>
        <v>0.53570127504553733</v>
      </c>
    </row>
    <row r="1079" spans="1:18" x14ac:dyDescent="0.3">
      <c r="A1079" s="22" t="s">
        <v>2627</v>
      </c>
      <c r="B1079" s="23">
        <v>45479</v>
      </c>
      <c r="C1079" s="22" t="s">
        <v>1606</v>
      </c>
      <c r="D1079" s="22" t="s">
        <v>119</v>
      </c>
      <c r="E1079" s="22" t="s">
        <v>2628</v>
      </c>
      <c r="F1079" s="24">
        <v>5</v>
      </c>
      <c r="G1079" s="24">
        <v>3660</v>
      </c>
      <c r="H1079" s="24">
        <v>4.5999999999999996</v>
      </c>
      <c r="I1079" s="24">
        <v>17458.2</v>
      </c>
      <c r="J1079" s="22" t="s">
        <v>104</v>
      </c>
      <c r="K1079" s="22" t="s">
        <v>129</v>
      </c>
      <c r="L1079" t="str">
        <f>VLOOKUP(D1079,Products!A:F,3,FALSE())</f>
        <v>Grocery</v>
      </c>
      <c r="M1079" t="str">
        <f>VLOOKUP(C1079,Customers!A:F,5,FALSE())</f>
        <v>Retail</v>
      </c>
      <c r="O1079" t="str">
        <f>IFERROR(VLOOKUP(E1079,Sales_Reps!$A:$C,3,FALSE()),"")</f>
        <v/>
      </c>
      <c r="P1079">
        <f>IFERROR(VLOOKUP(C1079,Customers!$A:$C,3,FALSE()),"")</f>
        <v>33</v>
      </c>
      <c r="Q1079" t="str">
        <f t="shared" si="16"/>
        <v>Jul-24</v>
      </c>
      <c r="R1079">
        <f>IFERROR((VLOOKUP(D1079,Products!$A:$E,5,FALSE())-VLOOKUP(D1079,Products!$A:$E,4,FALSE()))/VLOOKUP(D1079,Products!$A:$E,5,FALSE()),"")</f>
        <v>0.39508196721311473</v>
      </c>
    </row>
    <row r="1080" spans="1:18" x14ac:dyDescent="0.3">
      <c r="A1080" s="22" t="s">
        <v>2629</v>
      </c>
      <c r="B1080" s="23">
        <v>45563</v>
      </c>
      <c r="C1080" s="22" t="s">
        <v>196</v>
      </c>
      <c r="D1080" s="22" t="s">
        <v>338</v>
      </c>
      <c r="E1080" s="22" t="s">
        <v>2630</v>
      </c>
      <c r="F1080" s="24">
        <v>6</v>
      </c>
      <c r="G1080" s="24">
        <v>300</v>
      </c>
      <c r="H1080" s="24">
        <v>9</v>
      </c>
      <c r="I1080" s="24">
        <v>1638</v>
      </c>
      <c r="J1080" s="22" t="s">
        <v>104</v>
      </c>
      <c r="K1080" s="22" t="s">
        <v>105</v>
      </c>
      <c r="L1080" t="str">
        <f>VLOOKUP(D1080,Products!A:F,3,FALSE())</f>
        <v>Electronics</v>
      </c>
      <c r="M1080" t="str">
        <f>VLOOKUP(C1080,Customers!A:F,5,FALSE())</f>
        <v>Retail</v>
      </c>
      <c r="O1080" t="str">
        <f>IFERROR(VLOOKUP(E1080,Sales_Reps!$A:$C,3,FALSE()),"")</f>
        <v/>
      </c>
      <c r="P1080">
        <f>IFERROR(VLOOKUP(C1080,Customers!$A:$C,3,FALSE()),"")</f>
        <v>50</v>
      </c>
      <c r="Q1080" t="str">
        <f t="shared" si="16"/>
        <v>Sep-24</v>
      </c>
      <c r="R1080">
        <f>IFERROR((VLOOKUP(D1080,Products!$A:$E,5,FALSE())-VLOOKUP(D1080,Products!$A:$E,4,FALSE()))/VLOOKUP(D1080,Products!$A:$E,5,FALSE()),"")</f>
        <v>0.57333333333333336</v>
      </c>
    </row>
    <row r="1081" spans="1:18" x14ac:dyDescent="0.3">
      <c r="A1081" s="22" t="s">
        <v>2631</v>
      </c>
      <c r="B1081" s="23">
        <v>45523</v>
      </c>
      <c r="C1081" s="22" t="s">
        <v>170</v>
      </c>
      <c r="D1081" s="22" t="s">
        <v>338</v>
      </c>
      <c r="E1081" s="22" t="s">
        <v>2632</v>
      </c>
      <c r="F1081" s="24">
        <v>3</v>
      </c>
      <c r="G1081" s="24">
        <v>300</v>
      </c>
      <c r="H1081" s="24">
        <v>19.2</v>
      </c>
      <c r="I1081" s="24">
        <v>727.2</v>
      </c>
      <c r="J1081" s="22" t="s">
        <v>104</v>
      </c>
      <c r="K1081" s="22" t="s">
        <v>105</v>
      </c>
      <c r="L1081" t="str">
        <f>VLOOKUP(D1081,Products!A:F,3,FALSE())</f>
        <v>Electronics</v>
      </c>
      <c r="M1081" t="str">
        <f>VLOOKUP(C1081,Customers!A:F,5,FALSE())</f>
        <v>Retail</v>
      </c>
      <c r="O1081" t="str">
        <f>IFERROR(VLOOKUP(E1081,Sales_Reps!$A:$C,3,FALSE()),"")</f>
        <v/>
      </c>
      <c r="P1081">
        <f>IFERROR(VLOOKUP(C1081,Customers!$A:$C,3,FALSE()),"")</f>
        <v>63</v>
      </c>
      <c r="Q1081" t="str">
        <f t="shared" si="16"/>
        <v>Aug-24</v>
      </c>
      <c r="R1081">
        <f>IFERROR((VLOOKUP(D1081,Products!$A:$E,5,FALSE())-VLOOKUP(D1081,Products!$A:$E,4,FALSE()))/VLOOKUP(D1081,Products!$A:$E,5,FALSE()),"")</f>
        <v>0.57333333333333336</v>
      </c>
    </row>
    <row r="1082" spans="1:18" x14ac:dyDescent="0.3">
      <c r="A1082" s="22" t="s">
        <v>2633</v>
      </c>
      <c r="B1082" s="23">
        <v>45537</v>
      </c>
      <c r="C1082" s="22" t="s">
        <v>107</v>
      </c>
      <c r="D1082" s="22" t="s">
        <v>479</v>
      </c>
      <c r="E1082" s="22" t="s">
        <v>2634</v>
      </c>
      <c r="F1082" s="24">
        <v>6</v>
      </c>
      <c r="G1082" s="24">
        <v>960</v>
      </c>
      <c r="H1082" s="24">
        <v>29.3</v>
      </c>
      <c r="I1082" s="24">
        <v>4072.32</v>
      </c>
      <c r="J1082" s="22" t="s">
        <v>159</v>
      </c>
      <c r="K1082" s="22" t="s">
        <v>111</v>
      </c>
      <c r="L1082" t="str">
        <f>VLOOKUP(D1082,Products!A:F,3,FALSE())</f>
        <v>Beauty</v>
      </c>
      <c r="M1082" t="str">
        <f>VLOOKUP(C1082,Customers!A:F,5,FALSE())</f>
        <v>Retail</v>
      </c>
      <c r="O1082" t="str">
        <f>IFERROR(VLOOKUP(E1082,Sales_Reps!$A:$C,3,FALSE()),"")</f>
        <v/>
      </c>
      <c r="P1082">
        <f>IFERROR(VLOOKUP(C1082,Customers!$A:$C,3,FALSE()),"")</f>
        <v>39</v>
      </c>
      <c r="Q1082" t="str">
        <f t="shared" si="16"/>
        <v>Sep-24</v>
      </c>
      <c r="R1082">
        <f>IFERROR((VLOOKUP(D1082,Products!$A:$E,5,FALSE())-VLOOKUP(D1082,Products!$A:$E,4,FALSE()))/VLOOKUP(D1082,Products!$A:$E,5,FALSE()),"")</f>
        <v>0.296875</v>
      </c>
    </row>
    <row r="1083" spans="1:18" x14ac:dyDescent="0.3">
      <c r="A1083" s="22" t="s">
        <v>2635</v>
      </c>
      <c r="B1083" s="23">
        <v>45383</v>
      </c>
      <c r="C1083" s="22" t="s">
        <v>584</v>
      </c>
      <c r="D1083" s="22" t="s">
        <v>289</v>
      </c>
      <c r="E1083" s="22" t="s">
        <v>2636</v>
      </c>
      <c r="F1083" s="24">
        <v>1</v>
      </c>
      <c r="G1083" s="24">
        <v>2270</v>
      </c>
      <c r="H1083" s="24">
        <v>12.4</v>
      </c>
      <c r="I1083" s="24">
        <v>1988.52</v>
      </c>
      <c r="J1083" s="22" t="s">
        <v>104</v>
      </c>
      <c r="K1083" s="22" t="s">
        <v>129</v>
      </c>
      <c r="L1083" t="str">
        <f>VLOOKUP(D1083,Products!A:F,3,FALSE())</f>
        <v>Grocery</v>
      </c>
      <c r="M1083" t="str">
        <f>VLOOKUP(C1083,Customers!A:F,5,FALSE())</f>
        <v>Retail</v>
      </c>
      <c r="O1083" t="str">
        <f>IFERROR(VLOOKUP(E1083,Sales_Reps!$A:$C,3,FALSE()),"")</f>
        <v/>
      </c>
      <c r="P1083">
        <f>IFERROR(VLOOKUP(C1083,Customers!$A:$C,3,FALSE()),"")</f>
        <v>41</v>
      </c>
      <c r="Q1083" t="str">
        <f t="shared" si="16"/>
        <v>Apr-24</v>
      </c>
      <c r="R1083">
        <f>IFERROR((VLOOKUP(D1083,Products!$A:$E,5,FALSE())-VLOOKUP(D1083,Products!$A:$E,4,FALSE()))/VLOOKUP(D1083,Products!$A:$E,5,FALSE()),"")</f>
        <v>0.37797356828193834</v>
      </c>
    </row>
    <row r="1084" spans="1:18" x14ac:dyDescent="0.3">
      <c r="A1084" s="22" t="s">
        <v>2637</v>
      </c>
      <c r="B1084" s="23">
        <v>45541</v>
      </c>
      <c r="C1084" s="22" t="s">
        <v>408</v>
      </c>
      <c r="D1084" s="22" t="s">
        <v>356</v>
      </c>
      <c r="E1084" s="22" t="s">
        <v>2638</v>
      </c>
      <c r="F1084" s="24">
        <v>10</v>
      </c>
      <c r="G1084" s="24">
        <v>2030</v>
      </c>
      <c r="H1084" s="24">
        <v>4</v>
      </c>
      <c r="I1084" s="24">
        <v>19488</v>
      </c>
      <c r="J1084" s="22" t="s">
        <v>104</v>
      </c>
      <c r="K1084" s="22" t="s">
        <v>134</v>
      </c>
      <c r="L1084" t="str">
        <f>VLOOKUP(D1084,Products!A:F,3,FALSE())</f>
        <v>Home</v>
      </c>
      <c r="M1084" t="str">
        <f>VLOOKUP(C1084,Customers!A:F,5,FALSE())</f>
        <v>Corporate</v>
      </c>
      <c r="O1084" t="str">
        <f>IFERROR(VLOOKUP(E1084,Sales_Reps!$A:$C,3,FALSE()),"")</f>
        <v/>
      </c>
      <c r="P1084">
        <f>IFERROR(VLOOKUP(C1084,Customers!$A:$C,3,FALSE()),"")</f>
        <v>59</v>
      </c>
      <c r="Q1084" t="str">
        <f t="shared" si="16"/>
        <v>Sep-24</v>
      </c>
      <c r="R1084">
        <f>IFERROR((VLOOKUP(D1084,Products!$A:$E,5,FALSE())-VLOOKUP(D1084,Products!$A:$E,4,FALSE()))/VLOOKUP(D1084,Products!$A:$E,5,FALSE()),"")</f>
        <v>0.43694581280788175</v>
      </c>
    </row>
    <row r="1085" spans="1:18" x14ac:dyDescent="0.3">
      <c r="A1085" s="22" t="s">
        <v>2639</v>
      </c>
      <c r="B1085" s="23">
        <v>45609</v>
      </c>
      <c r="C1085" s="22" t="s">
        <v>1362</v>
      </c>
      <c r="D1085" s="22" t="s">
        <v>186</v>
      </c>
      <c r="E1085" s="22" t="s">
        <v>2640</v>
      </c>
      <c r="F1085" s="24">
        <v>9</v>
      </c>
      <c r="G1085" s="24">
        <v>1080</v>
      </c>
      <c r="H1085" s="24">
        <v>19.2</v>
      </c>
      <c r="I1085" s="24">
        <v>7853.76</v>
      </c>
      <c r="J1085" s="22" t="s">
        <v>110</v>
      </c>
      <c r="K1085" s="22" t="s">
        <v>129</v>
      </c>
      <c r="L1085" t="str">
        <f>VLOOKUP(D1085,Products!A:F,3,FALSE())</f>
        <v>Home</v>
      </c>
      <c r="M1085" t="str">
        <f>VLOOKUP(C1085,Customers!A:F,5,FALSE())</f>
        <v>Retail</v>
      </c>
      <c r="O1085" t="str">
        <f>IFERROR(VLOOKUP(E1085,Sales_Reps!$A:$C,3,FALSE()),"")</f>
        <v/>
      </c>
      <c r="P1085">
        <f>IFERROR(VLOOKUP(C1085,Customers!$A:$C,3,FALSE()),"")</f>
        <v>37</v>
      </c>
      <c r="Q1085" t="str">
        <f t="shared" si="16"/>
        <v>Nov-24</v>
      </c>
      <c r="R1085">
        <f>IFERROR((VLOOKUP(D1085,Products!$A:$E,5,FALSE())-VLOOKUP(D1085,Products!$A:$E,4,FALSE()))/VLOOKUP(D1085,Products!$A:$E,5,FALSE()),"")</f>
        <v>0.51944444444444449</v>
      </c>
    </row>
    <row r="1086" spans="1:18" x14ac:dyDescent="0.3">
      <c r="A1086" s="22" t="s">
        <v>2641</v>
      </c>
      <c r="B1086" s="23">
        <v>45463</v>
      </c>
      <c r="C1086" s="22" t="s">
        <v>196</v>
      </c>
      <c r="D1086" s="22" t="s">
        <v>224</v>
      </c>
      <c r="E1086" s="22" t="s">
        <v>2642</v>
      </c>
      <c r="F1086" s="24">
        <v>5</v>
      </c>
      <c r="G1086" s="24">
        <v>2860</v>
      </c>
      <c r="H1086" s="24">
        <v>25</v>
      </c>
      <c r="I1086" s="24">
        <v>10725</v>
      </c>
      <c r="J1086" s="22" t="s">
        <v>110</v>
      </c>
      <c r="K1086" s="22" t="s">
        <v>105</v>
      </c>
      <c r="L1086" t="str">
        <f>VLOOKUP(D1086,Products!A:F,3,FALSE())</f>
        <v>Sports</v>
      </c>
      <c r="M1086" t="str">
        <f>VLOOKUP(C1086,Customers!A:F,5,FALSE())</f>
        <v>Retail</v>
      </c>
      <c r="O1086" t="str">
        <f>IFERROR(VLOOKUP(E1086,Sales_Reps!$A:$C,3,FALSE()),"")</f>
        <v/>
      </c>
      <c r="P1086">
        <f>IFERROR(VLOOKUP(C1086,Customers!$A:$C,3,FALSE()),"")</f>
        <v>50</v>
      </c>
      <c r="Q1086" t="str">
        <f t="shared" si="16"/>
        <v>Jun-24</v>
      </c>
      <c r="R1086">
        <f>IFERROR((VLOOKUP(D1086,Products!$A:$E,5,FALSE())-VLOOKUP(D1086,Products!$A:$E,4,FALSE()))/VLOOKUP(D1086,Products!$A:$E,5,FALSE()),"")</f>
        <v>0.29090909090909089</v>
      </c>
    </row>
    <row r="1087" spans="1:18" x14ac:dyDescent="0.3">
      <c r="A1087" s="22" t="s">
        <v>2643</v>
      </c>
      <c r="B1087" s="23">
        <v>45588</v>
      </c>
      <c r="C1087" s="22" t="s">
        <v>118</v>
      </c>
      <c r="D1087" s="22" t="s">
        <v>149</v>
      </c>
      <c r="E1087" s="22" t="s">
        <v>2644</v>
      </c>
      <c r="F1087" s="24">
        <v>6</v>
      </c>
      <c r="G1087" s="24">
        <v>2270</v>
      </c>
      <c r="H1087" s="24">
        <v>9.3000000000000007</v>
      </c>
      <c r="I1087" s="24">
        <v>12353.34</v>
      </c>
      <c r="J1087" s="22" t="s">
        <v>104</v>
      </c>
      <c r="K1087" s="22" t="s">
        <v>116</v>
      </c>
      <c r="L1087" t="str">
        <f>VLOOKUP(D1087,Products!A:F,3,FALSE())</f>
        <v>Grocery</v>
      </c>
      <c r="M1087" t="str">
        <f>VLOOKUP(C1087,Customers!A:F,5,FALSE())</f>
        <v>Corporate</v>
      </c>
      <c r="O1087" t="str">
        <f>IFERROR(VLOOKUP(E1087,Sales_Reps!$A:$C,3,FALSE()),"")</f>
        <v/>
      </c>
      <c r="P1087">
        <f>IFERROR(VLOOKUP(C1087,Customers!$A:$C,3,FALSE()),"")</f>
        <v>46</v>
      </c>
      <c r="Q1087" t="str">
        <f t="shared" si="16"/>
        <v>Oct-24</v>
      </c>
      <c r="R1087">
        <f>IFERROR((VLOOKUP(D1087,Products!$A:$E,5,FALSE())-VLOOKUP(D1087,Products!$A:$E,4,FALSE()))/VLOOKUP(D1087,Products!$A:$E,5,FALSE()),"")</f>
        <v>0.47004405286343615</v>
      </c>
    </row>
    <row r="1088" spans="1:18" x14ac:dyDescent="0.3">
      <c r="A1088" s="22" t="s">
        <v>2645</v>
      </c>
      <c r="B1088" s="23">
        <v>45328</v>
      </c>
      <c r="C1088" s="22" t="s">
        <v>892</v>
      </c>
      <c r="D1088" s="22" t="s">
        <v>197</v>
      </c>
      <c r="E1088" s="22" t="s">
        <v>2646</v>
      </c>
      <c r="F1088" s="24">
        <v>1</v>
      </c>
      <c r="G1088" s="24">
        <v>2720</v>
      </c>
      <c r="H1088" s="24">
        <v>15.2</v>
      </c>
      <c r="I1088" s="24">
        <v>2306.56</v>
      </c>
      <c r="J1088" s="22" t="s">
        <v>104</v>
      </c>
      <c r="K1088" s="22" t="s">
        <v>116</v>
      </c>
      <c r="L1088" t="str">
        <f>VLOOKUP(D1088,Products!A:F,3,FALSE())</f>
        <v>Apparel</v>
      </c>
      <c r="M1088" t="str">
        <f>VLOOKUP(C1088,Customers!A:F,5,FALSE())</f>
        <v>Retail</v>
      </c>
      <c r="O1088" t="str">
        <f>IFERROR(VLOOKUP(E1088,Sales_Reps!$A:$C,3,FALSE()),"")</f>
        <v/>
      </c>
      <c r="P1088">
        <f>IFERROR(VLOOKUP(C1088,Customers!$A:$C,3,FALSE()),"")</f>
        <v>49</v>
      </c>
      <c r="Q1088" t="str">
        <f t="shared" si="16"/>
        <v>Feb-24</v>
      </c>
      <c r="R1088">
        <f>IFERROR((VLOOKUP(D1088,Products!$A:$E,5,FALSE())-VLOOKUP(D1088,Products!$A:$E,4,FALSE()))/VLOOKUP(D1088,Products!$A:$E,5,FALSE()),"")</f>
        <v>0.2786764705882353</v>
      </c>
    </row>
    <row r="1089" spans="1:18" x14ac:dyDescent="0.3">
      <c r="A1089" s="22" t="s">
        <v>2647</v>
      </c>
      <c r="B1089" s="23">
        <v>45638</v>
      </c>
      <c r="C1089" s="22" t="s">
        <v>1609</v>
      </c>
      <c r="D1089" s="22" t="s">
        <v>293</v>
      </c>
      <c r="E1089" s="22" t="s">
        <v>2648</v>
      </c>
      <c r="F1089" s="24">
        <v>10</v>
      </c>
      <c r="G1089" s="24">
        <v>3870</v>
      </c>
      <c r="H1089" s="24">
        <v>4.9000000000000004</v>
      </c>
      <c r="I1089" s="24">
        <v>36803.699999999997</v>
      </c>
      <c r="J1089" s="22" t="s">
        <v>159</v>
      </c>
      <c r="K1089" s="22" t="s">
        <v>134</v>
      </c>
      <c r="L1089" t="str">
        <f>VLOOKUP(D1089,Products!A:F,3,FALSE())</f>
        <v>Electronics</v>
      </c>
      <c r="M1089" t="str">
        <f>VLOOKUP(C1089,Customers!A:F,5,FALSE())</f>
        <v>Corporate</v>
      </c>
      <c r="O1089" t="str">
        <f>IFERROR(VLOOKUP(E1089,Sales_Reps!$A:$C,3,FALSE()),"")</f>
        <v/>
      </c>
      <c r="P1089">
        <f>IFERROR(VLOOKUP(C1089,Customers!$A:$C,3,FALSE()),"")</f>
        <v>55</v>
      </c>
      <c r="Q1089" t="str">
        <f t="shared" si="16"/>
        <v>Dec-24</v>
      </c>
      <c r="R1089">
        <f>IFERROR((VLOOKUP(D1089,Products!$A:$E,5,FALSE())-VLOOKUP(D1089,Products!$A:$E,4,FALSE()))/VLOOKUP(D1089,Products!$A:$E,5,FALSE()),"")</f>
        <v>0.59715762273901807</v>
      </c>
    </row>
    <row r="1090" spans="1:18" x14ac:dyDescent="0.3">
      <c r="A1090" s="22" t="s">
        <v>2649</v>
      </c>
      <c r="B1090" s="23">
        <v>45332</v>
      </c>
      <c r="C1090" s="22" t="s">
        <v>2650</v>
      </c>
      <c r="D1090" s="22" t="s">
        <v>591</v>
      </c>
      <c r="E1090" s="22" t="s">
        <v>2651</v>
      </c>
      <c r="F1090" s="24">
        <v>8</v>
      </c>
      <c r="G1090" s="24">
        <v>3450</v>
      </c>
      <c r="H1090" s="24">
        <v>20.6</v>
      </c>
      <c r="I1090" s="24">
        <v>21914.400000000001</v>
      </c>
      <c r="J1090" s="22" t="s">
        <v>104</v>
      </c>
      <c r="K1090" s="22" t="s">
        <v>151</v>
      </c>
      <c r="L1090" t="str">
        <f>VLOOKUP(D1090,Products!A:F,3,FALSE())</f>
        <v>Apparel</v>
      </c>
      <c r="M1090" t="str">
        <f>VLOOKUP(C1090,Customers!A:F,5,FALSE())</f>
        <v>Corporate</v>
      </c>
      <c r="O1090" t="str">
        <f>IFERROR(VLOOKUP(E1090,Sales_Reps!$A:$C,3,FALSE()),"")</f>
        <v/>
      </c>
      <c r="P1090">
        <f>IFERROR(VLOOKUP(C1090,Customers!$A:$C,3,FALSE()),"")</f>
        <v>60</v>
      </c>
      <c r="Q1090" t="str">
        <f t="shared" ref="Q1090:Q1153" si="17">TEXT(B1090,"mmm-yy")</f>
        <v>Feb-24</v>
      </c>
      <c r="R1090">
        <f>IFERROR((VLOOKUP(D1090,Products!$A:$E,5,FALSE())-VLOOKUP(D1090,Products!$A:$E,4,FALSE()))/VLOOKUP(D1090,Products!$A:$E,5,FALSE()),"")</f>
        <v>0.49333333333333335</v>
      </c>
    </row>
    <row r="1091" spans="1:18" x14ac:dyDescent="0.3">
      <c r="A1091" s="22" t="s">
        <v>2652</v>
      </c>
      <c r="B1091" s="23">
        <v>45406</v>
      </c>
      <c r="C1091" s="22" t="s">
        <v>322</v>
      </c>
      <c r="D1091" s="22" t="s">
        <v>114</v>
      </c>
      <c r="E1091" s="22" t="s">
        <v>2653</v>
      </c>
      <c r="F1091" s="24">
        <v>1</v>
      </c>
      <c r="G1091" s="24">
        <v>470</v>
      </c>
      <c r="H1091" s="24">
        <v>5.4</v>
      </c>
      <c r="I1091" s="24">
        <v>444.62</v>
      </c>
      <c r="J1091" s="22" t="s">
        <v>164</v>
      </c>
      <c r="K1091" s="22" t="s">
        <v>129</v>
      </c>
      <c r="L1091" t="str">
        <f>VLOOKUP(D1091,Products!A:F,3,FALSE())</f>
        <v>Sports</v>
      </c>
      <c r="M1091" t="str">
        <f>VLOOKUP(C1091,Customers!A:F,5,FALSE())</f>
        <v>Retail</v>
      </c>
      <c r="O1091" t="str">
        <f>IFERROR(VLOOKUP(E1091,Sales_Reps!$A:$C,3,FALSE()),"")</f>
        <v/>
      </c>
      <c r="P1091">
        <f>IFERROR(VLOOKUP(C1091,Customers!$A:$C,3,FALSE()),"")</f>
        <v>40</v>
      </c>
      <c r="Q1091" t="str">
        <f t="shared" si="17"/>
        <v>Apr-24</v>
      </c>
      <c r="R1091">
        <f>IFERROR((VLOOKUP(D1091,Products!$A:$E,5,FALSE())-VLOOKUP(D1091,Products!$A:$E,4,FALSE()))/VLOOKUP(D1091,Products!$A:$E,5,FALSE()),"")</f>
        <v>0.35744680851063831</v>
      </c>
    </row>
    <row r="1092" spans="1:18" x14ac:dyDescent="0.3">
      <c r="A1092" s="22" t="s">
        <v>2654</v>
      </c>
      <c r="B1092" s="23">
        <v>45405</v>
      </c>
      <c r="C1092" s="22" t="s">
        <v>398</v>
      </c>
      <c r="D1092" s="22" t="s">
        <v>521</v>
      </c>
      <c r="E1092" s="22" t="s">
        <v>2655</v>
      </c>
      <c r="F1092" s="24">
        <v>5</v>
      </c>
      <c r="G1092" s="24">
        <v>3970</v>
      </c>
      <c r="H1092" s="24">
        <v>5.8</v>
      </c>
      <c r="I1092" s="24">
        <v>18698.7</v>
      </c>
      <c r="J1092" s="22" t="s">
        <v>104</v>
      </c>
      <c r="K1092" s="22" t="s">
        <v>151</v>
      </c>
      <c r="L1092" t="str">
        <f>VLOOKUP(D1092,Products!A:F,3,FALSE())</f>
        <v>Electronics</v>
      </c>
      <c r="M1092" t="str">
        <f>VLOOKUP(C1092,Customers!A:F,5,FALSE())</f>
        <v>Retail</v>
      </c>
      <c r="O1092" t="str">
        <f>IFERROR(VLOOKUP(E1092,Sales_Reps!$A:$C,3,FALSE()),"")</f>
        <v/>
      </c>
      <c r="P1092">
        <f>IFERROR(VLOOKUP(C1092,Customers!$A:$C,3,FALSE()),"")</f>
        <v>28</v>
      </c>
      <c r="Q1092" t="str">
        <f t="shared" si="17"/>
        <v>Apr-24</v>
      </c>
      <c r="R1092">
        <f>IFERROR((VLOOKUP(D1092,Products!$A:$E,5,FALSE())-VLOOKUP(D1092,Products!$A:$E,4,FALSE()))/VLOOKUP(D1092,Products!$A:$E,5,FALSE()),"")</f>
        <v>0.27833753148614609</v>
      </c>
    </row>
    <row r="1093" spans="1:18" x14ac:dyDescent="0.3">
      <c r="A1093" s="22" t="s">
        <v>2656</v>
      </c>
      <c r="B1093" s="23">
        <v>45469</v>
      </c>
      <c r="C1093" s="22" t="s">
        <v>1549</v>
      </c>
      <c r="D1093" s="22" t="s">
        <v>220</v>
      </c>
      <c r="E1093" s="22" t="s">
        <v>2657</v>
      </c>
      <c r="F1093" s="24">
        <v>2</v>
      </c>
      <c r="G1093" s="24">
        <v>5100</v>
      </c>
      <c r="H1093" s="24">
        <v>19.899999999999999</v>
      </c>
      <c r="I1093" s="24">
        <v>8170.2</v>
      </c>
      <c r="J1093" s="22" t="s">
        <v>104</v>
      </c>
      <c r="K1093" s="22" t="s">
        <v>134</v>
      </c>
      <c r="L1093" t="str">
        <f>VLOOKUP(D1093,Products!A:F,3,FALSE())</f>
        <v>Beauty</v>
      </c>
      <c r="M1093" t="str">
        <f>VLOOKUP(C1093,Customers!A:F,5,FALSE())</f>
        <v>SMB</v>
      </c>
      <c r="O1093" t="str">
        <f>IFERROR(VLOOKUP(E1093,Sales_Reps!$A:$C,3,FALSE()),"")</f>
        <v/>
      </c>
      <c r="P1093">
        <f>IFERROR(VLOOKUP(C1093,Customers!$A:$C,3,FALSE()),"")</f>
        <v>44</v>
      </c>
      <c r="Q1093" t="str">
        <f t="shared" si="17"/>
        <v>Jun-24</v>
      </c>
      <c r="R1093">
        <f>IFERROR((VLOOKUP(D1093,Products!$A:$E,5,FALSE())-VLOOKUP(D1093,Products!$A:$E,4,FALSE()))/VLOOKUP(D1093,Products!$A:$E,5,FALSE()),"")</f>
        <v>0.56137254901960787</v>
      </c>
    </row>
    <row r="1094" spans="1:18" x14ac:dyDescent="0.3">
      <c r="A1094" s="22" t="s">
        <v>2658</v>
      </c>
      <c r="B1094" s="23">
        <v>45656</v>
      </c>
      <c r="C1094" s="22" t="s">
        <v>658</v>
      </c>
      <c r="D1094" s="22" t="s">
        <v>178</v>
      </c>
      <c r="E1094" s="22" t="s">
        <v>2659</v>
      </c>
      <c r="F1094" s="24">
        <v>6</v>
      </c>
      <c r="G1094" s="24">
        <v>3450</v>
      </c>
      <c r="H1094" s="24">
        <v>13</v>
      </c>
      <c r="I1094" s="24">
        <v>18009</v>
      </c>
      <c r="J1094" s="22" t="s">
        <v>104</v>
      </c>
      <c r="K1094" s="22" t="s">
        <v>105</v>
      </c>
      <c r="L1094" t="str">
        <f>VLOOKUP(D1094,Products!A:F,3,FALSE())</f>
        <v>Beauty</v>
      </c>
      <c r="M1094" t="str">
        <f>VLOOKUP(C1094,Customers!A:F,5,FALSE())</f>
        <v>Retail</v>
      </c>
      <c r="O1094" t="str">
        <f>IFERROR(VLOOKUP(E1094,Sales_Reps!$A:$C,3,FALSE()),"")</f>
        <v/>
      </c>
      <c r="P1094">
        <f>IFERROR(VLOOKUP(C1094,Customers!$A:$C,3,FALSE()),"")</f>
        <v>57</v>
      </c>
      <c r="Q1094" t="str">
        <f t="shared" si="17"/>
        <v>Dec-24</v>
      </c>
      <c r="R1094">
        <f>IFERROR((VLOOKUP(D1094,Products!$A:$E,5,FALSE())-VLOOKUP(D1094,Products!$A:$E,4,FALSE()))/VLOOKUP(D1094,Products!$A:$E,5,FALSE()),"")</f>
        <v>0.29855072463768118</v>
      </c>
    </row>
    <row r="1095" spans="1:18" x14ac:dyDescent="0.3">
      <c r="A1095" s="22" t="s">
        <v>2660</v>
      </c>
      <c r="B1095" s="23">
        <v>45653</v>
      </c>
      <c r="C1095" s="22" t="s">
        <v>2501</v>
      </c>
      <c r="D1095" s="22" t="s">
        <v>265</v>
      </c>
      <c r="E1095" s="22" t="s">
        <v>2661</v>
      </c>
      <c r="F1095" s="24">
        <v>9</v>
      </c>
      <c r="G1095" s="24">
        <v>3730</v>
      </c>
      <c r="H1095" s="24">
        <v>15.5</v>
      </c>
      <c r="I1095" s="24">
        <v>28366.65</v>
      </c>
      <c r="J1095" s="22" t="s">
        <v>104</v>
      </c>
      <c r="K1095" s="22" t="s">
        <v>111</v>
      </c>
      <c r="L1095" t="str">
        <f>VLOOKUP(D1095,Products!A:F,3,FALSE())</f>
        <v>Home</v>
      </c>
      <c r="M1095" t="str">
        <f>VLOOKUP(C1095,Customers!A:F,5,FALSE())</f>
        <v>Retail</v>
      </c>
      <c r="O1095" t="str">
        <f>IFERROR(VLOOKUP(E1095,Sales_Reps!$A:$C,3,FALSE()),"")</f>
        <v/>
      </c>
      <c r="P1095">
        <f>IFERROR(VLOOKUP(C1095,Customers!$A:$C,3,FALSE()),"")</f>
        <v>26</v>
      </c>
      <c r="Q1095" t="str">
        <f t="shared" si="17"/>
        <v>Dec-24</v>
      </c>
      <c r="R1095">
        <f>IFERROR((VLOOKUP(D1095,Products!$A:$E,5,FALSE())-VLOOKUP(D1095,Products!$A:$E,4,FALSE()))/VLOOKUP(D1095,Products!$A:$E,5,FALSE()),"")</f>
        <v>0.42761394101876676</v>
      </c>
    </row>
    <row r="1096" spans="1:18" x14ac:dyDescent="0.3">
      <c r="A1096" s="22" t="s">
        <v>2662</v>
      </c>
      <c r="B1096" s="23">
        <v>45440</v>
      </c>
      <c r="C1096" s="22" t="s">
        <v>2650</v>
      </c>
      <c r="D1096" s="22" t="s">
        <v>479</v>
      </c>
      <c r="E1096" s="22" t="s">
        <v>2663</v>
      </c>
      <c r="F1096" s="24">
        <v>5</v>
      </c>
      <c r="G1096" s="24">
        <v>960</v>
      </c>
      <c r="H1096" s="24">
        <v>9.3000000000000007</v>
      </c>
      <c r="I1096" s="24">
        <v>4353.6000000000004</v>
      </c>
      <c r="J1096" s="22" t="s">
        <v>104</v>
      </c>
      <c r="K1096" s="22" t="s">
        <v>151</v>
      </c>
      <c r="L1096" t="str">
        <f>VLOOKUP(D1096,Products!A:F,3,FALSE())</f>
        <v>Beauty</v>
      </c>
      <c r="M1096" t="str">
        <f>VLOOKUP(C1096,Customers!A:F,5,FALSE())</f>
        <v>Corporate</v>
      </c>
      <c r="O1096" t="str">
        <f>IFERROR(VLOOKUP(E1096,Sales_Reps!$A:$C,3,FALSE()),"")</f>
        <v/>
      </c>
      <c r="P1096">
        <f>IFERROR(VLOOKUP(C1096,Customers!$A:$C,3,FALSE()),"")</f>
        <v>60</v>
      </c>
      <c r="Q1096" t="str">
        <f t="shared" si="17"/>
        <v>May-24</v>
      </c>
      <c r="R1096">
        <f>IFERROR((VLOOKUP(D1096,Products!$A:$E,5,FALSE())-VLOOKUP(D1096,Products!$A:$E,4,FALSE()))/VLOOKUP(D1096,Products!$A:$E,5,FALSE()),"")</f>
        <v>0.296875</v>
      </c>
    </row>
    <row r="1097" spans="1:18" x14ac:dyDescent="0.3">
      <c r="A1097" s="22" t="s">
        <v>2664</v>
      </c>
      <c r="B1097" s="23">
        <v>45511</v>
      </c>
      <c r="C1097" s="22" t="s">
        <v>1147</v>
      </c>
      <c r="D1097" s="22" t="s">
        <v>577</v>
      </c>
      <c r="E1097" s="22" t="s">
        <v>2665</v>
      </c>
      <c r="F1097" s="24">
        <v>3</v>
      </c>
      <c r="G1097" s="24">
        <v>5080</v>
      </c>
      <c r="H1097" s="24">
        <v>17.399999999999999</v>
      </c>
      <c r="I1097" s="24">
        <v>12588.24</v>
      </c>
      <c r="J1097" s="22" t="s">
        <v>159</v>
      </c>
      <c r="K1097" s="22" t="s">
        <v>116</v>
      </c>
      <c r="L1097" t="str">
        <f>VLOOKUP(D1097,Products!A:F,3,FALSE())</f>
        <v>Home</v>
      </c>
      <c r="M1097" t="str">
        <f>VLOOKUP(C1097,Customers!A:F,5,FALSE())</f>
        <v>SMB</v>
      </c>
      <c r="O1097" t="str">
        <f>IFERROR(VLOOKUP(E1097,Sales_Reps!$A:$C,3,FALSE()),"")</f>
        <v/>
      </c>
      <c r="P1097">
        <f>IFERROR(VLOOKUP(C1097,Customers!$A:$C,3,FALSE()),"")</f>
        <v>29</v>
      </c>
      <c r="Q1097" t="str">
        <f t="shared" si="17"/>
        <v>Aug-24</v>
      </c>
      <c r="R1097">
        <f>IFERROR((VLOOKUP(D1097,Products!$A:$E,5,FALSE())-VLOOKUP(D1097,Products!$A:$E,4,FALSE()))/VLOOKUP(D1097,Products!$A:$E,5,FALSE()),"")</f>
        <v>0.51594488188976373</v>
      </c>
    </row>
    <row r="1098" spans="1:18" x14ac:dyDescent="0.3">
      <c r="A1098" s="22" t="s">
        <v>2666</v>
      </c>
      <c r="B1098" s="23">
        <v>45300</v>
      </c>
      <c r="C1098" s="22" t="s">
        <v>1447</v>
      </c>
      <c r="D1098" s="22" t="s">
        <v>293</v>
      </c>
      <c r="E1098" s="22" t="s">
        <v>2667</v>
      </c>
      <c r="F1098" s="24">
        <v>4</v>
      </c>
      <c r="G1098" s="24">
        <v>3870</v>
      </c>
      <c r="H1098" s="24">
        <v>20.5</v>
      </c>
      <c r="I1098" s="24">
        <v>12306.6</v>
      </c>
      <c r="J1098" s="22" t="s">
        <v>110</v>
      </c>
      <c r="K1098" s="22" t="s">
        <v>1043</v>
      </c>
      <c r="L1098" t="str">
        <f>VLOOKUP(D1098,Products!A:F,3,FALSE())</f>
        <v>Electronics</v>
      </c>
      <c r="M1098" t="str">
        <f>VLOOKUP(C1098,Customers!A:F,5,FALSE())</f>
        <v>Retail</v>
      </c>
      <c r="O1098" t="str">
        <f>IFERROR(VLOOKUP(E1098,Sales_Reps!$A:$C,3,FALSE()),"")</f>
        <v/>
      </c>
      <c r="P1098">
        <f>IFERROR(VLOOKUP(C1098,Customers!$A:$C,3,FALSE()),"")</f>
        <v>65</v>
      </c>
      <c r="Q1098" t="str">
        <f t="shared" si="17"/>
        <v>Jan-24</v>
      </c>
      <c r="R1098">
        <f>IFERROR((VLOOKUP(D1098,Products!$A:$E,5,FALSE())-VLOOKUP(D1098,Products!$A:$E,4,FALSE()))/VLOOKUP(D1098,Products!$A:$E,5,FALSE()),"")</f>
        <v>0.59715762273901807</v>
      </c>
    </row>
    <row r="1099" spans="1:18" x14ac:dyDescent="0.3">
      <c r="A1099" s="22" t="s">
        <v>2668</v>
      </c>
      <c r="B1099" s="23">
        <v>45528</v>
      </c>
      <c r="C1099" s="22" t="s">
        <v>551</v>
      </c>
      <c r="D1099" s="22" t="s">
        <v>605</v>
      </c>
      <c r="E1099" s="22" t="s">
        <v>2669</v>
      </c>
      <c r="F1099" s="24">
        <v>1</v>
      </c>
      <c r="G1099" s="24">
        <v>3780</v>
      </c>
      <c r="H1099" s="24">
        <v>21.5</v>
      </c>
      <c r="I1099" s="24">
        <v>2967.3</v>
      </c>
      <c r="J1099" s="22" t="s">
        <v>104</v>
      </c>
      <c r="K1099" s="22" t="s">
        <v>105</v>
      </c>
      <c r="L1099" t="str">
        <f>VLOOKUP(D1099,Products!A:F,3,FALSE())</f>
        <v>Sports</v>
      </c>
      <c r="M1099" t="str">
        <f>VLOOKUP(C1099,Customers!A:F,5,FALSE())</f>
        <v>Corporate</v>
      </c>
      <c r="O1099" t="str">
        <f>IFERROR(VLOOKUP(E1099,Sales_Reps!$A:$C,3,FALSE()),"")</f>
        <v/>
      </c>
      <c r="P1099">
        <f>IFERROR(VLOOKUP(C1099,Customers!$A:$C,3,FALSE()),"")</f>
        <v>48</v>
      </c>
      <c r="Q1099" t="str">
        <f t="shared" si="17"/>
        <v>Aug-24</v>
      </c>
      <c r="R1099">
        <f>IFERROR((VLOOKUP(D1099,Products!$A:$E,5,FALSE())-VLOOKUP(D1099,Products!$A:$E,4,FALSE()))/VLOOKUP(D1099,Products!$A:$E,5,FALSE()),"")</f>
        <v>0.50793650793650791</v>
      </c>
    </row>
    <row r="1100" spans="1:18" x14ac:dyDescent="0.3">
      <c r="A1100" s="22" t="s">
        <v>2670</v>
      </c>
      <c r="B1100" s="23">
        <v>45622</v>
      </c>
      <c r="C1100" s="22" t="s">
        <v>131</v>
      </c>
      <c r="D1100" s="22" t="s">
        <v>293</v>
      </c>
      <c r="E1100" s="22" t="s">
        <v>2671</v>
      </c>
      <c r="F1100" s="24">
        <v>3</v>
      </c>
      <c r="G1100" s="24">
        <v>3870</v>
      </c>
      <c r="H1100" s="24">
        <v>21.9</v>
      </c>
      <c r="I1100" s="24">
        <v>9067.41</v>
      </c>
      <c r="J1100" s="22" t="s">
        <v>110</v>
      </c>
      <c r="K1100" s="22" t="s">
        <v>134</v>
      </c>
      <c r="L1100" t="str">
        <f>VLOOKUP(D1100,Products!A:F,3,FALSE())</f>
        <v>Electronics</v>
      </c>
      <c r="M1100" t="str">
        <f>VLOOKUP(C1100,Customers!A:F,5,FALSE())</f>
        <v>Retail</v>
      </c>
      <c r="O1100" t="str">
        <f>IFERROR(VLOOKUP(E1100,Sales_Reps!$A:$C,3,FALSE()),"")</f>
        <v/>
      </c>
      <c r="P1100">
        <f>IFERROR(VLOOKUP(C1100,Customers!$A:$C,3,FALSE()),"")</f>
        <v>27</v>
      </c>
      <c r="Q1100" t="str">
        <f t="shared" si="17"/>
        <v>Nov-24</v>
      </c>
      <c r="R1100">
        <f>IFERROR((VLOOKUP(D1100,Products!$A:$E,5,FALSE())-VLOOKUP(D1100,Products!$A:$E,4,FALSE()))/VLOOKUP(D1100,Products!$A:$E,5,FALSE()),"")</f>
        <v>0.59715762273901807</v>
      </c>
    </row>
    <row r="1101" spans="1:18" x14ac:dyDescent="0.3">
      <c r="A1101" s="22" t="s">
        <v>2672</v>
      </c>
      <c r="B1101" s="23">
        <v>45463</v>
      </c>
      <c r="C1101" s="22" t="s">
        <v>274</v>
      </c>
      <c r="D1101" s="22" t="s">
        <v>356</v>
      </c>
      <c r="E1101" s="22" t="s">
        <v>2673</v>
      </c>
      <c r="F1101" s="24">
        <v>4</v>
      </c>
      <c r="G1101" s="24">
        <v>2030</v>
      </c>
      <c r="H1101" s="24">
        <v>23.4</v>
      </c>
      <c r="I1101" s="24">
        <v>6219.92</v>
      </c>
      <c r="J1101" s="22" t="s">
        <v>104</v>
      </c>
      <c r="K1101" s="22" t="s">
        <v>105</v>
      </c>
      <c r="L1101" t="str">
        <f>VLOOKUP(D1101,Products!A:F,3,FALSE())</f>
        <v>Home</v>
      </c>
      <c r="M1101" t="str">
        <f>VLOOKUP(C1101,Customers!A:F,5,FALSE())</f>
        <v>SMB</v>
      </c>
      <c r="O1101" t="str">
        <f>IFERROR(VLOOKUP(E1101,Sales_Reps!$A:$C,3,FALSE()),"")</f>
        <v/>
      </c>
      <c r="P1101">
        <f>IFERROR(VLOOKUP(C1101,Customers!$A:$C,3,FALSE()),"")</f>
        <v>29</v>
      </c>
      <c r="Q1101" t="str">
        <f t="shared" si="17"/>
        <v>Jun-24</v>
      </c>
      <c r="R1101">
        <f>IFERROR((VLOOKUP(D1101,Products!$A:$E,5,FALSE())-VLOOKUP(D1101,Products!$A:$E,4,FALSE()))/VLOOKUP(D1101,Products!$A:$E,5,FALSE()),"")</f>
        <v>0.43694581280788175</v>
      </c>
    </row>
    <row r="1102" spans="1:18" x14ac:dyDescent="0.3">
      <c r="A1102" s="22" t="s">
        <v>2674</v>
      </c>
      <c r="B1102" s="23">
        <v>45407</v>
      </c>
      <c r="C1102" s="22" t="s">
        <v>827</v>
      </c>
      <c r="D1102" s="22" t="s">
        <v>419</v>
      </c>
      <c r="E1102" s="22" t="s">
        <v>2675</v>
      </c>
      <c r="F1102" s="24">
        <v>6</v>
      </c>
      <c r="G1102" s="24">
        <v>2210</v>
      </c>
      <c r="H1102" s="24">
        <v>9.1</v>
      </c>
      <c r="I1102" s="24">
        <v>12053.34</v>
      </c>
      <c r="J1102" s="22" t="s">
        <v>104</v>
      </c>
      <c r="K1102" s="22" t="s">
        <v>116</v>
      </c>
      <c r="L1102" t="str">
        <f>VLOOKUP(D1102,Products!A:F,3,FALSE())</f>
        <v>Grocery</v>
      </c>
      <c r="M1102" t="str">
        <f>VLOOKUP(C1102,Customers!A:F,5,FALSE())</f>
        <v>SMB</v>
      </c>
      <c r="O1102" t="str">
        <f>IFERROR(VLOOKUP(E1102,Sales_Reps!$A:$C,3,FALSE()),"")</f>
        <v/>
      </c>
      <c r="P1102">
        <f>IFERROR(VLOOKUP(C1102,Customers!$A:$C,3,FALSE()),"")</f>
        <v>48</v>
      </c>
      <c r="Q1102" t="str">
        <f t="shared" si="17"/>
        <v>Apr-24</v>
      </c>
      <c r="R1102">
        <f>IFERROR((VLOOKUP(D1102,Products!$A:$E,5,FALSE())-VLOOKUP(D1102,Products!$A:$E,4,FALSE()))/VLOOKUP(D1102,Products!$A:$E,5,FALSE()),"")</f>
        <v>0.54298642533936647</v>
      </c>
    </row>
    <row r="1103" spans="1:18" x14ac:dyDescent="0.3">
      <c r="A1103" s="22" t="s">
        <v>2676</v>
      </c>
      <c r="B1103" s="23">
        <v>45627</v>
      </c>
      <c r="C1103" s="22" t="s">
        <v>1333</v>
      </c>
      <c r="D1103" s="22" t="s">
        <v>308</v>
      </c>
      <c r="E1103" s="22" t="s">
        <v>2677</v>
      </c>
      <c r="F1103" s="24">
        <v>5</v>
      </c>
      <c r="G1103" s="24">
        <v>1540</v>
      </c>
      <c r="H1103" s="24">
        <v>18.100000000000001</v>
      </c>
      <c r="I1103" s="24">
        <v>6306.3</v>
      </c>
      <c r="J1103" s="22" t="s">
        <v>104</v>
      </c>
      <c r="K1103" s="22" t="s">
        <v>111</v>
      </c>
      <c r="L1103" t="str">
        <f>VLOOKUP(D1103,Products!A:F,3,FALSE())</f>
        <v>Beauty</v>
      </c>
      <c r="M1103" t="str">
        <f>VLOOKUP(C1103,Customers!A:F,5,FALSE())</f>
        <v>Corporate</v>
      </c>
      <c r="O1103" t="str">
        <f>IFERROR(VLOOKUP(E1103,Sales_Reps!$A:$C,3,FALSE()),"")</f>
        <v/>
      </c>
      <c r="P1103">
        <f>IFERROR(VLOOKUP(C1103,Customers!$A:$C,3,FALSE()),"")</f>
        <v>44</v>
      </c>
      <c r="Q1103" t="str">
        <f t="shared" si="17"/>
        <v>Dec-24</v>
      </c>
      <c r="R1103">
        <f>IFERROR((VLOOKUP(D1103,Products!$A:$E,5,FALSE())-VLOOKUP(D1103,Products!$A:$E,4,FALSE()))/VLOOKUP(D1103,Products!$A:$E,5,FALSE()),"")</f>
        <v>0.57987012987012987</v>
      </c>
    </row>
    <row r="1104" spans="1:18" x14ac:dyDescent="0.3">
      <c r="A1104" s="22" t="s">
        <v>2678</v>
      </c>
      <c r="B1104" s="23">
        <v>45393</v>
      </c>
      <c r="C1104" s="22" t="s">
        <v>897</v>
      </c>
      <c r="D1104" s="22" t="s">
        <v>209</v>
      </c>
      <c r="E1104" s="22" t="s">
        <v>2679</v>
      </c>
      <c r="F1104" s="24">
        <v>1</v>
      </c>
      <c r="G1104" s="24">
        <v>1010</v>
      </c>
      <c r="H1104" s="24">
        <v>7.3</v>
      </c>
      <c r="I1104" s="24">
        <v>936.27</v>
      </c>
      <c r="J1104" s="22" t="s">
        <v>104</v>
      </c>
      <c r="K1104" s="22" t="s">
        <v>116</v>
      </c>
      <c r="L1104" t="str">
        <f>VLOOKUP(D1104,Products!A:F,3,FALSE())</f>
        <v>Sports</v>
      </c>
      <c r="M1104" t="str">
        <f>VLOOKUP(C1104,Customers!A:F,5,FALSE())</f>
        <v>Retail</v>
      </c>
      <c r="O1104" t="str">
        <f>IFERROR(VLOOKUP(E1104,Sales_Reps!$A:$C,3,FALSE()),"")</f>
        <v/>
      </c>
      <c r="P1104">
        <f>IFERROR(VLOOKUP(C1104,Customers!$A:$C,3,FALSE()),"")</f>
        <v>43</v>
      </c>
      <c r="Q1104" t="str">
        <f t="shared" si="17"/>
        <v>Apr-24</v>
      </c>
      <c r="R1104">
        <f>IFERROR((VLOOKUP(D1104,Products!$A:$E,5,FALSE())-VLOOKUP(D1104,Products!$A:$E,4,FALSE()))/VLOOKUP(D1104,Products!$A:$E,5,FALSE()),"")</f>
        <v>0.4891089108910891</v>
      </c>
    </row>
    <row r="1105" spans="1:18" x14ac:dyDescent="0.3">
      <c r="A1105" s="22" t="s">
        <v>2680</v>
      </c>
      <c r="B1105" s="23">
        <v>45360</v>
      </c>
      <c r="C1105" s="22" t="s">
        <v>965</v>
      </c>
      <c r="D1105" s="22" t="s">
        <v>455</v>
      </c>
      <c r="E1105" s="22" t="s">
        <v>2681</v>
      </c>
      <c r="F1105" s="24">
        <v>10</v>
      </c>
      <c r="G1105" s="24">
        <v>5330</v>
      </c>
      <c r="H1105" s="24">
        <v>27.3</v>
      </c>
      <c r="I1105" s="24">
        <v>38749.1</v>
      </c>
      <c r="J1105" s="22" t="s">
        <v>104</v>
      </c>
      <c r="K1105" s="22" t="s">
        <v>105</v>
      </c>
      <c r="L1105" t="str">
        <f>VLOOKUP(D1105,Products!A:F,3,FALSE())</f>
        <v>Electronics</v>
      </c>
      <c r="M1105" t="str">
        <f>VLOOKUP(C1105,Customers!A:F,5,FALSE())</f>
        <v>SMB</v>
      </c>
      <c r="O1105" t="str">
        <f>IFERROR(VLOOKUP(E1105,Sales_Reps!$A:$C,3,FALSE()),"")</f>
        <v/>
      </c>
      <c r="P1105">
        <f>IFERROR(VLOOKUP(C1105,Customers!$A:$C,3,FALSE()),"")</f>
        <v>35</v>
      </c>
      <c r="Q1105" t="str">
        <f t="shared" si="17"/>
        <v>Mar-24</v>
      </c>
      <c r="R1105">
        <f>IFERROR((VLOOKUP(D1105,Products!$A:$E,5,FALSE())-VLOOKUP(D1105,Products!$A:$E,4,FALSE()))/VLOOKUP(D1105,Products!$A:$E,5,FALSE()),"")</f>
        <v>0.54878048780487809</v>
      </c>
    </row>
    <row r="1106" spans="1:18" x14ac:dyDescent="0.3">
      <c r="A1106" s="22" t="s">
        <v>2682</v>
      </c>
      <c r="B1106" s="23">
        <v>45548</v>
      </c>
      <c r="C1106" s="22" t="s">
        <v>517</v>
      </c>
      <c r="D1106" s="22" t="s">
        <v>216</v>
      </c>
      <c r="E1106" s="22" t="s">
        <v>2683</v>
      </c>
      <c r="F1106" s="24">
        <v>7</v>
      </c>
      <c r="G1106" s="24">
        <v>3570</v>
      </c>
      <c r="H1106" s="24">
        <v>24.3</v>
      </c>
      <c r="I1106" s="24">
        <v>18917.43</v>
      </c>
      <c r="J1106" s="22" t="s">
        <v>104</v>
      </c>
      <c r="K1106" s="22" t="s">
        <v>111</v>
      </c>
      <c r="L1106" t="str">
        <f>VLOOKUP(D1106,Products!A:F,3,FALSE())</f>
        <v>Electronics</v>
      </c>
      <c r="M1106" t="str">
        <f>VLOOKUP(C1106,Customers!A:F,5,FALSE())</f>
        <v>Corporate</v>
      </c>
      <c r="O1106" t="str">
        <f>IFERROR(VLOOKUP(E1106,Sales_Reps!$A:$C,3,FALSE()),"")</f>
        <v/>
      </c>
      <c r="P1106">
        <f>IFERROR(VLOOKUP(C1106,Customers!$A:$C,3,FALSE()),"")</f>
        <v>24</v>
      </c>
      <c r="Q1106" t="str">
        <f t="shared" si="17"/>
        <v>Sep-24</v>
      </c>
      <c r="R1106">
        <f>IFERROR((VLOOKUP(D1106,Products!$A:$E,5,FALSE())-VLOOKUP(D1106,Products!$A:$E,4,FALSE()))/VLOOKUP(D1106,Products!$A:$E,5,FALSE()),"")</f>
        <v>0.53361344537815125</v>
      </c>
    </row>
    <row r="1107" spans="1:18" x14ac:dyDescent="0.3">
      <c r="A1107" s="22" t="s">
        <v>2684</v>
      </c>
      <c r="B1107" s="23">
        <v>45569</v>
      </c>
      <c r="C1107" s="22" t="s">
        <v>462</v>
      </c>
      <c r="D1107" s="22" t="s">
        <v>205</v>
      </c>
      <c r="E1107" s="22" t="s">
        <v>2685</v>
      </c>
      <c r="F1107" s="24">
        <v>1</v>
      </c>
      <c r="G1107" s="24">
        <v>3350</v>
      </c>
      <c r="H1107" s="24">
        <v>14.9</v>
      </c>
      <c r="I1107" s="24">
        <v>2850.85</v>
      </c>
      <c r="J1107" s="22" t="s">
        <v>104</v>
      </c>
      <c r="K1107" s="22" t="s">
        <v>111</v>
      </c>
      <c r="L1107" t="str">
        <f>VLOOKUP(D1107,Products!A:F,3,FALSE())</f>
        <v>Beauty</v>
      </c>
      <c r="M1107" t="str">
        <f>VLOOKUP(C1107,Customers!A:F,5,FALSE())</f>
        <v>SMB</v>
      </c>
      <c r="O1107" t="str">
        <f>IFERROR(VLOOKUP(E1107,Sales_Reps!$A:$C,3,FALSE()),"")</f>
        <v/>
      </c>
      <c r="P1107">
        <f>IFERROR(VLOOKUP(C1107,Customers!$A:$C,3,FALSE()),"")</f>
        <v>62</v>
      </c>
      <c r="Q1107" t="str">
        <f t="shared" si="17"/>
        <v>Oct-24</v>
      </c>
      <c r="R1107">
        <f>IFERROR((VLOOKUP(D1107,Products!$A:$E,5,FALSE())-VLOOKUP(D1107,Products!$A:$E,4,FALSE()))/VLOOKUP(D1107,Products!$A:$E,5,FALSE()),"")</f>
        <v>0.48417910447761192</v>
      </c>
    </row>
    <row r="1108" spans="1:18" x14ac:dyDescent="0.3">
      <c r="A1108" s="22" t="s">
        <v>2686</v>
      </c>
      <c r="B1108" s="23">
        <v>45541</v>
      </c>
      <c r="C1108" s="22" t="s">
        <v>858</v>
      </c>
      <c r="D1108" s="22" t="s">
        <v>442</v>
      </c>
      <c r="E1108" s="22" t="s">
        <v>2687</v>
      </c>
      <c r="F1108" s="24">
        <v>2</v>
      </c>
      <c r="G1108" s="24">
        <v>2510</v>
      </c>
      <c r="H1108" s="24">
        <v>10.6</v>
      </c>
      <c r="I1108" s="24">
        <v>4487.88</v>
      </c>
      <c r="J1108" s="22" t="s">
        <v>104</v>
      </c>
      <c r="K1108" s="22" t="s">
        <v>129</v>
      </c>
      <c r="L1108" t="str">
        <f>VLOOKUP(D1108,Products!A:F,3,FALSE())</f>
        <v>Apparel</v>
      </c>
      <c r="M1108" t="str">
        <f>VLOOKUP(C1108,Customers!A:F,5,FALSE())</f>
        <v>Retail</v>
      </c>
      <c r="O1108" t="str">
        <f>IFERROR(VLOOKUP(E1108,Sales_Reps!$A:$C,3,FALSE()),"")</f>
        <v/>
      </c>
      <c r="P1108">
        <f>IFERROR(VLOOKUP(C1108,Customers!$A:$C,3,FALSE()),"")</f>
        <v>53</v>
      </c>
      <c r="Q1108" t="str">
        <f t="shared" si="17"/>
        <v>Sep-24</v>
      </c>
      <c r="R1108">
        <f>IFERROR((VLOOKUP(D1108,Products!$A:$E,5,FALSE())-VLOOKUP(D1108,Products!$A:$E,4,FALSE()))/VLOOKUP(D1108,Products!$A:$E,5,FALSE()),"")</f>
        <v>0.57171314741035861</v>
      </c>
    </row>
    <row r="1109" spans="1:18" x14ac:dyDescent="0.3">
      <c r="A1109" s="22" t="s">
        <v>2688</v>
      </c>
      <c r="B1109" s="23">
        <v>45369</v>
      </c>
      <c r="C1109" s="22" t="s">
        <v>181</v>
      </c>
      <c r="D1109" s="22" t="s">
        <v>145</v>
      </c>
      <c r="E1109" s="22" t="s">
        <v>2689</v>
      </c>
      <c r="F1109" s="24">
        <v>5</v>
      </c>
      <c r="G1109" s="24">
        <v>970</v>
      </c>
      <c r="H1109" s="24">
        <v>6.8</v>
      </c>
      <c r="I1109" s="24">
        <v>4520.2</v>
      </c>
      <c r="J1109" s="22" t="s">
        <v>110</v>
      </c>
      <c r="K1109" s="22" t="s">
        <v>129</v>
      </c>
      <c r="L1109" t="str">
        <f>VLOOKUP(D1109,Products!A:F,3,FALSE())</f>
        <v>Grocery</v>
      </c>
      <c r="M1109" t="str">
        <f>VLOOKUP(C1109,Customers!A:F,5,FALSE())</f>
        <v>Retail</v>
      </c>
      <c r="O1109" t="str">
        <f>IFERROR(VLOOKUP(E1109,Sales_Reps!$A:$C,3,FALSE()),"")</f>
        <v/>
      </c>
      <c r="P1109">
        <f>IFERROR(VLOOKUP(C1109,Customers!$A:$C,3,FALSE()),"")</f>
        <v>54</v>
      </c>
      <c r="Q1109" t="str">
        <f t="shared" si="17"/>
        <v>Mar-24</v>
      </c>
      <c r="R1109">
        <f>IFERROR((VLOOKUP(D1109,Products!$A:$E,5,FALSE())-VLOOKUP(D1109,Products!$A:$E,4,FALSE()))/VLOOKUP(D1109,Products!$A:$E,5,FALSE()),"")</f>
        <v>0.5525773195876289</v>
      </c>
    </row>
    <row r="1110" spans="1:18" x14ac:dyDescent="0.3">
      <c r="A1110" s="22" t="s">
        <v>2690</v>
      </c>
      <c r="B1110" s="23">
        <v>45519</v>
      </c>
      <c r="C1110" s="22" t="s">
        <v>271</v>
      </c>
      <c r="D1110" s="22" t="s">
        <v>275</v>
      </c>
      <c r="E1110" s="22" t="s">
        <v>2691</v>
      </c>
      <c r="F1110" s="24">
        <v>5</v>
      </c>
      <c r="G1110" s="24">
        <v>3780</v>
      </c>
      <c r="H1110" s="24">
        <v>16.600000000000001</v>
      </c>
      <c r="I1110" s="24">
        <v>15762.6</v>
      </c>
      <c r="J1110" s="22" t="s">
        <v>104</v>
      </c>
      <c r="K1110" s="22" t="s">
        <v>134</v>
      </c>
      <c r="L1110" t="str">
        <f>VLOOKUP(D1110,Products!A:F,3,FALSE())</f>
        <v>Grocery</v>
      </c>
      <c r="M1110" t="str">
        <f>VLOOKUP(C1110,Customers!A:F,5,FALSE())</f>
        <v>SMB</v>
      </c>
      <c r="O1110" t="str">
        <f>IFERROR(VLOOKUP(E1110,Sales_Reps!$A:$C,3,FALSE()),"")</f>
        <v/>
      </c>
      <c r="P1110">
        <f>IFERROR(VLOOKUP(C1110,Customers!$A:$C,3,FALSE()),"")</f>
        <v>64</v>
      </c>
      <c r="Q1110" t="str">
        <f t="shared" si="17"/>
        <v>Aug-24</v>
      </c>
      <c r="R1110">
        <f>IFERROR((VLOOKUP(D1110,Products!$A:$E,5,FALSE())-VLOOKUP(D1110,Products!$A:$E,4,FALSE()))/VLOOKUP(D1110,Products!$A:$E,5,FALSE()),"")</f>
        <v>0.35555555555555557</v>
      </c>
    </row>
    <row r="1111" spans="1:18" x14ac:dyDescent="0.3">
      <c r="A1111" s="22" t="s">
        <v>2692</v>
      </c>
      <c r="B1111" s="23">
        <v>45379</v>
      </c>
      <c r="C1111" s="22" t="s">
        <v>965</v>
      </c>
      <c r="D1111" s="22" t="s">
        <v>442</v>
      </c>
      <c r="E1111" s="22" t="s">
        <v>2693</v>
      </c>
      <c r="F1111" s="24">
        <v>3</v>
      </c>
      <c r="G1111" s="24">
        <v>2510</v>
      </c>
      <c r="H1111" s="24">
        <v>24.9</v>
      </c>
      <c r="I1111" s="24">
        <v>5655.03</v>
      </c>
      <c r="J1111" s="22" t="s">
        <v>159</v>
      </c>
      <c r="K1111" s="22" t="s">
        <v>105</v>
      </c>
      <c r="L1111" t="str">
        <f>VLOOKUP(D1111,Products!A:F,3,FALSE())</f>
        <v>Apparel</v>
      </c>
      <c r="M1111" t="str">
        <f>VLOOKUP(C1111,Customers!A:F,5,FALSE())</f>
        <v>SMB</v>
      </c>
      <c r="O1111" t="str">
        <f>IFERROR(VLOOKUP(E1111,Sales_Reps!$A:$C,3,FALSE()),"")</f>
        <v/>
      </c>
      <c r="P1111">
        <f>IFERROR(VLOOKUP(C1111,Customers!$A:$C,3,FALSE()),"")</f>
        <v>35</v>
      </c>
      <c r="Q1111" t="str">
        <f t="shared" si="17"/>
        <v>Mar-24</v>
      </c>
      <c r="R1111">
        <f>IFERROR((VLOOKUP(D1111,Products!$A:$E,5,FALSE())-VLOOKUP(D1111,Products!$A:$E,4,FALSE()))/VLOOKUP(D1111,Products!$A:$E,5,FALSE()),"")</f>
        <v>0.57171314741035861</v>
      </c>
    </row>
    <row r="1112" spans="1:18" x14ac:dyDescent="0.3">
      <c r="A1112" s="22" t="s">
        <v>2694</v>
      </c>
      <c r="B1112" s="23">
        <v>45548</v>
      </c>
      <c r="C1112" s="22" t="s">
        <v>2227</v>
      </c>
      <c r="D1112" s="22" t="s">
        <v>356</v>
      </c>
      <c r="E1112" s="22" t="s">
        <v>2695</v>
      </c>
      <c r="F1112" s="24">
        <v>3</v>
      </c>
      <c r="G1112" s="24">
        <v>2030</v>
      </c>
      <c r="H1112" s="24">
        <v>3.8</v>
      </c>
      <c r="I1112" s="24">
        <v>5858.58</v>
      </c>
      <c r="J1112" s="22" t="s">
        <v>104</v>
      </c>
      <c r="K1112" s="22" t="s">
        <v>111</v>
      </c>
      <c r="L1112" t="str">
        <f>VLOOKUP(D1112,Products!A:F,3,FALSE())</f>
        <v>Home</v>
      </c>
      <c r="M1112" t="str">
        <f>VLOOKUP(C1112,Customers!A:F,5,FALSE())</f>
        <v>Retail</v>
      </c>
      <c r="O1112" t="str">
        <f>IFERROR(VLOOKUP(E1112,Sales_Reps!$A:$C,3,FALSE()),"")</f>
        <v/>
      </c>
      <c r="P1112">
        <f>IFERROR(VLOOKUP(C1112,Customers!$A:$C,3,FALSE()),"")</f>
        <v>34</v>
      </c>
      <c r="Q1112" t="str">
        <f t="shared" si="17"/>
        <v>Sep-24</v>
      </c>
      <c r="R1112">
        <f>IFERROR((VLOOKUP(D1112,Products!$A:$E,5,FALSE())-VLOOKUP(D1112,Products!$A:$E,4,FALSE()))/VLOOKUP(D1112,Products!$A:$E,5,FALSE()),"")</f>
        <v>0.43694581280788175</v>
      </c>
    </row>
    <row r="1113" spans="1:18" x14ac:dyDescent="0.3">
      <c r="A1113" s="22" t="s">
        <v>2696</v>
      </c>
      <c r="B1113" s="23">
        <v>45478</v>
      </c>
      <c r="C1113" s="22" t="s">
        <v>1484</v>
      </c>
      <c r="D1113" s="22" t="s">
        <v>167</v>
      </c>
      <c r="E1113" s="22" t="s">
        <v>2697</v>
      </c>
      <c r="F1113" s="24">
        <v>9</v>
      </c>
      <c r="G1113" s="24">
        <v>190</v>
      </c>
      <c r="H1113" s="24">
        <v>5.4</v>
      </c>
      <c r="I1113" s="24">
        <v>1617.66</v>
      </c>
      <c r="J1113" s="22" t="s">
        <v>104</v>
      </c>
      <c r="K1113" s="22" t="s">
        <v>129</v>
      </c>
      <c r="L1113" t="str">
        <f>VLOOKUP(D1113,Products!A:F,3,FALSE())</f>
        <v>Sports</v>
      </c>
      <c r="M1113" t="str">
        <f>VLOOKUP(C1113,Customers!A:F,5,FALSE())</f>
        <v>Retail</v>
      </c>
      <c r="O1113" t="str">
        <f>IFERROR(VLOOKUP(E1113,Sales_Reps!$A:$C,3,FALSE()),"")</f>
        <v/>
      </c>
      <c r="P1113">
        <f>IFERROR(VLOOKUP(C1113,Customers!$A:$C,3,FALSE()),"")</f>
        <v>40</v>
      </c>
      <c r="Q1113" t="str">
        <f t="shared" si="17"/>
        <v>Jul-24</v>
      </c>
      <c r="R1113">
        <f>IFERROR((VLOOKUP(D1113,Products!$A:$E,5,FALSE())-VLOOKUP(D1113,Products!$A:$E,4,FALSE()))/VLOOKUP(D1113,Products!$A:$E,5,FALSE()),"")</f>
        <v>0.22631578947368422</v>
      </c>
    </row>
    <row r="1114" spans="1:18" x14ac:dyDescent="0.3">
      <c r="A1114" s="22" t="s">
        <v>2698</v>
      </c>
      <c r="B1114" s="23">
        <v>45338</v>
      </c>
      <c r="C1114" s="22" t="s">
        <v>428</v>
      </c>
      <c r="D1114" s="22" t="s">
        <v>419</v>
      </c>
      <c r="E1114" s="22" t="s">
        <v>2699</v>
      </c>
      <c r="F1114" s="24">
        <v>6</v>
      </c>
      <c r="G1114" s="24">
        <v>2210</v>
      </c>
      <c r="H1114" s="24">
        <v>29.4</v>
      </c>
      <c r="I1114" s="24">
        <v>9361.56</v>
      </c>
      <c r="J1114" s="22" t="s">
        <v>104</v>
      </c>
      <c r="K1114" s="22" t="s">
        <v>111</v>
      </c>
      <c r="L1114" t="str">
        <f>VLOOKUP(D1114,Products!A:F,3,FALSE())</f>
        <v>Grocery</v>
      </c>
      <c r="M1114" t="str">
        <f>VLOOKUP(C1114,Customers!A:F,5,FALSE())</f>
        <v>Corporate</v>
      </c>
      <c r="O1114" t="str">
        <f>IFERROR(VLOOKUP(E1114,Sales_Reps!$A:$C,3,FALSE()),"")</f>
        <v/>
      </c>
      <c r="P1114">
        <f>IFERROR(VLOOKUP(C1114,Customers!$A:$C,3,FALSE()),"")</f>
        <v>38</v>
      </c>
      <c r="Q1114" t="str">
        <f t="shared" si="17"/>
        <v>Feb-24</v>
      </c>
      <c r="R1114">
        <f>IFERROR((VLOOKUP(D1114,Products!$A:$E,5,FALSE())-VLOOKUP(D1114,Products!$A:$E,4,FALSE()))/VLOOKUP(D1114,Products!$A:$E,5,FALSE()),"")</f>
        <v>0.54298642533936647</v>
      </c>
    </row>
    <row r="1115" spans="1:18" x14ac:dyDescent="0.3">
      <c r="A1115" s="22" t="s">
        <v>2700</v>
      </c>
      <c r="B1115" s="23">
        <v>45546</v>
      </c>
      <c r="C1115" s="22" t="s">
        <v>540</v>
      </c>
      <c r="D1115" s="22" t="s">
        <v>279</v>
      </c>
      <c r="E1115" s="22" t="s">
        <v>2701</v>
      </c>
      <c r="F1115" s="24">
        <v>4</v>
      </c>
      <c r="G1115" s="24">
        <v>3640</v>
      </c>
      <c r="H1115" s="24">
        <v>0.6</v>
      </c>
      <c r="I1115" s="24">
        <v>14472.64</v>
      </c>
      <c r="J1115" s="22" t="s">
        <v>104</v>
      </c>
      <c r="K1115" s="22" t="s">
        <v>116</v>
      </c>
      <c r="L1115" t="str">
        <f>VLOOKUP(D1115,Products!A:F,3,FALSE())</f>
        <v>Apparel</v>
      </c>
      <c r="M1115" t="str">
        <f>VLOOKUP(C1115,Customers!A:F,5,FALSE())</f>
        <v>Retail</v>
      </c>
      <c r="O1115" t="str">
        <f>IFERROR(VLOOKUP(E1115,Sales_Reps!$A:$C,3,FALSE()),"")</f>
        <v/>
      </c>
      <c r="P1115">
        <f>IFERROR(VLOOKUP(C1115,Customers!$A:$C,3,FALSE()),"")</f>
        <v>44</v>
      </c>
      <c r="Q1115" t="str">
        <f t="shared" si="17"/>
        <v>Sep-24</v>
      </c>
      <c r="R1115">
        <f>IFERROR((VLOOKUP(D1115,Products!$A:$E,5,FALSE())-VLOOKUP(D1115,Products!$A:$E,4,FALSE()))/VLOOKUP(D1115,Products!$A:$E,5,FALSE()),"")</f>
        <v>0.28269230769230769</v>
      </c>
    </row>
    <row r="1116" spans="1:18" x14ac:dyDescent="0.3">
      <c r="A1116" s="22" t="s">
        <v>2702</v>
      </c>
      <c r="B1116" s="23">
        <v>45626</v>
      </c>
      <c r="C1116" s="22" t="s">
        <v>1359</v>
      </c>
      <c r="D1116" s="22" t="s">
        <v>319</v>
      </c>
      <c r="E1116" s="22" t="s">
        <v>2703</v>
      </c>
      <c r="F1116" s="24">
        <v>9</v>
      </c>
      <c r="G1116" s="24">
        <v>1220</v>
      </c>
      <c r="H1116" s="24">
        <v>24.1</v>
      </c>
      <c r="I1116" s="24">
        <v>8333.82</v>
      </c>
      <c r="J1116" s="22" t="s">
        <v>104</v>
      </c>
      <c r="K1116" s="22" t="s">
        <v>134</v>
      </c>
      <c r="L1116" t="str">
        <f>VLOOKUP(D1116,Products!A:F,3,FALSE())</f>
        <v>Electronics</v>
      </c>
      <c r="M1116" t="str">
        <f>VLOOKUP(C1116,Customers!A:F,5,FALSE())</f>
        <v>Retail</v>
      </c>
      <c r="O1116" t="str">
        <f>IFERROR(VLOOKUP(E1116,Sales_Reps!$A:$C,3,FALSE()),"")</f>
        <v/>
      </c>
      <c r="P1116">
        <f>IFERROR(VLOOKUP(C1116,Customers!$A:$C,3,FALSE()),"")</f>
        <v>35</v>
      </c>
      <c r="Q1116" t="str">
        <f t="shared" si="17"/>
        <v>Nov-24</v>
      </c>
      <c r="R1116">
        <f>IFERROR((VLOOKUP(D1116,Products!$A:$E,5,FALSE())-VLOOKUP(D1116,Products!$A:$E,4,FALSE()))/VLOOKUP(D1116,Products!$A:$E,5,FALSE()),"")</f>
        <v>0.57622950819672136</v>
      </c>
    </row>
    <row r="1117" spans="1:18" x14ac:dyDescent="0.3">
      <c r="A1117" s="22" t="s">
        <v>2704</v>
      </c>
      <c r="B1117" s="23">
        <v>45402</v>
      </c>
      <c r="C1117" s="22" t="s">
        <v>810</v>
      </c>
      <c r="D1117" s="22" t="s">
        <v>695</v>
      </c>
      <c r="E1117" s="22" t="s">
        <v>2705</v>
      </c>
      <c r="F1117" s="24">
        <v>2</v>
      </c>
      <c r="G1117" s="24">
        <v>6940</v>
      </c>
      <c r="H1117" s="24">
        <v>27</v>
      </c>
      <c r="I1117" s="24">
        <v>10132.4</v>
      </c>
      <c r="J1117" s="22" t="s">
        <v>104</v>
      </c>
      <c r="K1117" s="22" t="s">
        <v>111</v>
      </c>
      <c r="L1117" t="str">
        <f>VLOOKUP(D1117,Products!A:F,3,FALSE())</f>
        <v>Sports</v>
      </c>
      <c r="M1117" t="str">
        <f>VLOOKUP(C1117,Customers!A:F,5,FALSE())</f>
        <v>Retail</v>
      </c>
      <c r="O1117" t="str">
        <f>IFERROR(VLOOKUP(E1117,Sales_Reps!$A:$C,3,FALSE()),"")</f>
        <v/>
      </c>
      <c r="P1117">
        <f>IFERROR(VLOOKUP(C1117,Customers!$A:$C,3,FALSE()),"")</f>
        <v>26</v>
      </c>
      <c r="Q1117" t="str">
        <f t="shared" si="17"/>
        <v>Apr-24</v>
      </c>
      <c r="R1117">
        <f>IFERROR((VLOOKUP(D1117,Products!$A:$E,5,FALSE())-VLOOKUP(D1117,Products!$A:$E,4,FALSE()))/VLOOKUP(D1117,Products!$A:$E,5,FALSE()),"")</f>
        <v>0.5926512968299712</v>
      </c>
    </row>
    <row r="1118" spans="1:18" x14ac:dyDescent="0.3">
      <c r="A1118" s="22" t="s">
        <v>2706</v>
      </c>
      <c r="B1118" s="23">
        <v>45604</v>
      </c>
      <c r="C1118" s="22" t="s">
        <v>445</v>
      </c>
      <c r="D1118" s="22" t="s">
        <v>224</v>
      </c>
      <c r="E1118" s="22" t="s">
        <v>2707</v>
      </c>
      <c r="F1118" s="24">
        <v>6</v>
      </c>
      <c r="G1118" s="24">
        <v>2860</v>
      </c>
      <c r="H1118" s="24">
        <v>6.6</v>
      </c>
      <c r="I1118" s="24">
        <v>16027.44</v>
      </c>
      <c r="J1118" s="22" t="s">
        <v>104</v>
      </c>
      <c r="K1118" s="22" t="s">
        <v>116</v>
      </c>
      <c r="L1118" t="str">
        <f>VLOOKUP(D1118,Products!A:F,3,FALSE())</f>
        <v>Sports</v>
      </c>
      <c r="M1118" t="str">
        <f>VLOOKUP(C1118,Customers!A:F,5,FALSE())</f>
        <v>SMB</v>
      </c>
      <c r="O1118" t="str">
        <f>IFERROR(VLOOKUP(E1118,Sales_Reps!$A:$C,3,FALSE()),"")</f>
        <v/>
      </c>
      <c r="P1118">
        <f>IFERROR(VLOOKUP(C1118,Customers!$A:$C,3,FALSE()),"")</f>
        <v>38</v>
      </c>
      <c r="Q1118" t="str">
        <f t="shared" si="17"/>
        <v>Nov-24</v>
      </c>
      <c r="R1118">
        <f>IFERROR((VLOOKUP(D1118,Products!$A:$E,5,FALSE())-VLOOKUP(D1118,Products!$A:$E,4,FALSE()))/VLOOKUP(D1118,Products!$A:$E,5,FALSE()),"")</f>
        <v>0.29090909090909089</v>
      </c>
    </row>
    <row r="1119" spans="1:18" x14ac:dyDescent="0.3">
      <c r="A1119" s="22" t="s">
        <v>2708</v>
      </c>
      <c r="B1119" s="23">
        <v>45545</v>
      </c>
      <c r="C1119" s="22" t="s">
        <v>215</v>
      </c>
      <c r="D1119" s="22" t="s">
        <v>197</v>
      </c>
      <c r="E1119" s="22" t="s">
        <v>2709</v>
      </c>
      <c r="F1119" s="24">
        <v>5</v>
      </c>
      <c r="G1119" s="24">
        <v>2720</v>
      </c>
      <c r="H1119" s="24">
        <v>21.4</v>
      </c>
      <c r="I1119" s="24">
        <v>10689.6</v>
      </c>
      <c r="J1119" s="22" t="s">
        <v>104</v>
      </c>
      <c r="K1119" s="22" t="s">
        <v>111</v>
      </c>
      <c r="L1119" t="str">
        <f>VLOOKUP(D1119,Products!A:F,3,FALSE())</f>
        <v>Apparel</v>
      </c>
      <c r="M1119" t="str">
        <f>VLOOKUP(C1119,Customers!A:F,5,FALSE())</f>
        <v>SMB</v>
      </c>
      <c r="O1119" t="str">
        <f>IFERROR(VLOOKUP(E1119,Sales_Reps!$A:$C,3,FALSE()),"")</f>
        <v/>
      </c>
      <c r="P1119">
        <f>IFERROR(VLOOKUP(C1119,Customers!$A:$C,3,FALSE()),"")</f>
        <v>52</v>
      </c>
      <c r="Q1119" t="str">
        <f t="shared" si="17"/>
        <v>Sep-24</v>
      </c>
      <c r="R1119">
        <f>IFERROR((VLOOKUP(D1119,Products!$A:$E,5,FALSE())-VLOOKUP(D1119,Products!$A:$E,4,FALSE()))/VLOOKUP(D1119,Products!$A:$E,5,FALSE()),"")</f>
        <v>0.2786764705882353</v>
      </c>
    </row>
    <row r="1120" spans="1:18" x14ac:dyDescent="0.3">
      <c r="A1120" s="22" t="s">
        <v>2710</v>
      </c>
      <c r="B1120" s="23">
        <v>45445</v>
      </c>
      <c r="C1120" s="22" t="s">
        <v>322</v>
      </c>
      <c r="D1120" s="22" t="s">
        <v>108</v>
      </c>
      <c r="E1120" s="22" t="s">
        <v>2711</v>
      </c>
      <c r="F1120" s="24">
        <v>5</v>
      </c>
      <c r="G1120" s="24">
        <v>820</v>
      </c>
      <c r="H1120" s="24">
        <v>28.6</v>
      </c>
      <c r="I1120" s="24">
        <v>2927.4</v>
      </c>
      <c r="J1120" s="22" t="s">
        <v>104</v>
      </c>
      <c r="K1120" s="22" t="s">
        <v>129</v>
      </c>
      <c r="L1120" t="str">
        <f>VLOOKUP(D1120,Products!A:F,3,FALSE())</f>
        <v>Apparel</v>
      </c>
      <c r="M1120" t="str">
        <f>VLOOKUP(C1120,Customers!A:F,5,FALSE())</f>
        <v>Retail</v>
      </c>
      <c r="O1120" t="str">
        <f>IFERROR(VLOOKUP(E1120,Sales_Reps!$A:$C,3,FALSE()),"")</f>
        <v/>
      </c>
      <c r="P1120">
        <f>IFERROR(VLOOKUP(C1120,Customers!$A:$C,3,FALSE()),"")</f>
        <v>40</v>
      </c>
      <c r="Q1120" t="str">
        <f t="shared" si="17"/>
        <v>Jun-24</v>
      </c>
      <c r="R1120">
        <f>IFERROR((VLOOKUP(D1120,Products!$A:$E,5,FALSE())-VLOOKUP(D1120,Products!$A:$E,4,FALSE()))/VLOOKUP(D1120,Products!$A:$E,5,FALSE()),"")</f>
        <v>0.52317073170731709</v>
      </c>
    </row>
    <row r="1121" spans="1:18" x14ac:dyDescent="0.3">
      <c r="A1121" s="22" t="s">
        <v>2712</v>
      </c>
      <c r="B1121" s="23">
        <v>45489</v>
      </c>
      <c r="C1121" s="22" t="s">
        <v>2125</v>
      </c>
      <c r="D1121" s="22" t="s">
        <v>488</v>
      </c>
      <c r="E1121" s="22" t="s">
        <v>2713</v>
      </c>
      <c r="F1121" s="24">
        <v>6</v>
      </c>
      <c r="G1121" s="24">
        <v>2290</v>
      </c>
      <c r="H1121" s="24">
        <v>18.8</v>
      </c>
      <c r="I1121" s="24">
        <v>11156.88</v>
      </c>
      <c r="J1121" s="22" t="s">
        <v>104</v>
      </c>
      <c r="K1121" s="22" t="s">
        <v>111</v>
      </c>
      <c r="L1121" t="str">
        <f>VLOOKUP(D1121,Products!A:F,3,FALSE())</f>
        <v>Beauty</v>
      </c>
      <c r="M1121" t="str">
        <f>VLOOKUP(C1121,Customers!A:F,5,FALSE())</f>
        <v>SMB</v>
      </c>
      <c r="O1121" t="str">
        <f>IFERROR(VLOOKUP(E1121,Sales_Reps!$A:$C,3,FALSE()),"")</f>
        <v/>
      </c>
      <c r="P1121">
        <f>IFERROR(VLOOKUP(C1121,Customers!$A:$C,3,FALSE()),"")</f>
        <v>51</v>
      </c>
      <c r="Q1121" t="str">
        <f t="shared" si="17"/>
        <v>Jul-24</v>
      </c>
      <c r="R1121">
        <f>IFERROR((VLOOKUP(D1121,Products!$A:$E,5,FALSE())-VLOOKUP(D1121,Products!$A:$E,4,FALSE()))/VLOOKUP(D1121,Products!$A:$E,5,FALSE()),"")</f>
        <v>0.46768558951965067</v>
      </c>
    </row>
    <row r="1122" spans="1:18" x14ac:dyDescent="0.3">
      <c r="A1122" s="22" t="s">
        <v>2714</v>
      </c>
      <c r="B1122" s="23">
        <v>45394</v>
      </c>
      <c r="C1122" s="22" t="s">
        <v>987</v>
      </c>
      <c r="D1122" s="22" t="s">
        <v>178</v>
      </c>
      <c r="E1122" s="22" t="s">
        <v>2715</v>
      </c>
      <c r="F1122" s="24">
        <v>6</v>
      </c>
      <c r="G1122" s="24">
        <v>3450</v>
      </c>
      <c r="H1122" s="24">
        <v>28.4</v>
      </c>
      <c r="I1122" s="24">
        <v>14821.2</v>
      </c>
      <c r="J1122" s="22" t="s">
        <v>104</v>
      </c>
      <c r="K1122" s="22" t="s">
        <v>151</v>
      </c>
      <c r="L1122" t="str">
        <f>VLOOKUP(D1122,Products!A:F,3,FALSE())</f>
        <v>Beauty</v>
      </c>
      <c r="M1122" t="str">
        <f>VLOOKUP(C1122,Customers!A:F,5,FALSE())</f>
        <v>Retail</v>
      </c>
      <c r="O1122" t="str">
        <f>IFERROR(VLOOKUP(E1122,Sales_Reps!$A:$C,3,FALSE()),"")</f>
        <v/>
      </c>
      <c r="P1122">
        <f>IFERROR(VLOOKUP(C1122,Customers!$A:$C,3,FALSE()),"")</f>
        <v>28</v>
      </c>
      <c r="Q1122" t="str">
        <f t="shared" si="17"/>
        <v>Apr-24</v>
      </c>
      <c r="R1122">
        <f>IFERROR((VLOOKUP(D1122,Products!$A:$E,5,FALSE())-VLOOKUP(D1122,Products!$A:$E,4,FALSE()))/VLOOKUP(D1122,Products!$A:$E,5,FALSE()),"")</f>
        <v>0.29855072463768118</v>
      </c>
    </row>
    <row r="1123" spans="1:18" x14ac:dyDescent="0.3">
      <c r="A1123" s="22" t="s">
        <v>2716</v>
      </c>
      <c r="B1123" s="23">
        <v>45340</v>
      </c>
      <c r="C1123" s="22" t="s">
        <v>140</v>
      </c>
      <c r="D1123" s="22" t="s">
        <v>356</v>
      </c>
      <c r="E1123" s="22" t="s">
        <v>2717</v>
      </c>
      <c r="F1123" s="24">
        <v>10</v>
      </c>
      <c r="G1123" s="24">
        <v>2030</v>
      </c>
      <c r="H1123" s="24">
        <v>8</v>
      </c>
      <c r="I1123" s="24">
        <v>18676</v>
      </c>
      <c r="J1123" s="22" t="s">
        <v>104</v>
      </c>
      <c r="K1123" s="22" t="s">
        <v>134</v>
      </c>
      <c r="L1123" t="str">
        <f>VLOOKUP(D1123,Products!A:F,3,FALSE())</f>
        <v>Home</v>
      </c>
      <c r="M1123" t="str">
        <f>VLOOKUP(C1123,Customers!A:F,5,FALSE())</f>
        <v>Retail</v>
      </c>
      <c r="O1123" t="str">
        <f>IFERROR(VLOOKUP(E1123,Sales_Reps!$A:$C,3,FALSE()),"")</f>
        <v/>
      </c>
      <c r="P1123">
        <f>IFERROR(VLOOKUP(C1123,Customers!$A:$C,3,FALSE()),"")</f>
        <v>42</v>
      </c>
      <c r="Q1123" t="str">
        <f t="shared" si="17"/>
        <v>Feb-24</v>
      </c>
      <c r="R1123">
        <f>IFERROR((VLOOKUP(D1123,Products!$A:$E,5,FALSE())-VLOOKUP(D1123,Products!$A:$E,4,FALSE()))/VLOOKUP(D1123,Products!$A:$E,5,FALSE()),"")</f>
        <v>0.43694581280788175</v>
      </c>
    </row>
    <row r="1124" spans="1:18" x14ac:dyDescent="0.3">
      <c r="A1124" s="22" t="s">
        <v>2718</v>
      </c>
      <c r="B1124" s="23">
        <v>45378</v>
      </c>
      <c r="C1124" s="22" t="s">
        <v>1466</v>
      </c>
      <c r="D1124" s="22" t="s">
        <v>171</v>
      </c>
      <c r="E1124" s="22" t="s">
        <v>2719</v>
      </c>
      <c r="F1124" s="24">
        <v>1</v>
      </c>
      <c r="G1124" s="24">
        <v>2400</v>
      </c>
      <c r="H1124" s="24">
        <v>9.6999999999999993</v>
      </c>
      <c r="I1124" s="24">
        <v>2167.1999999999998</v>
      </c>
      <c r="J1124" s="22" t="s">
        <v>104</v>
      </c>
      <c r="K1124" s="22" t="s">
        <v>129</v>
      </c>
      <c r="L1124" t="str">
        <f>VLOOKUP(D1124,Products!A:F,3,FALSE())</f>
        <v>Sports</v>
      </c>
      <c r="M1124" t="str">
        <f>VLOOKUP(C1124,Customers!A:F,5,FALSE())</f>
        <v>SMB</v>
      </c>
      <c r="O1124" t="str">
        <f>IFERROR(VLOOKUP(E1124,Sales_Reps!$A:$C,3,FALSE()),"")</f>
        <v/>
      </c>
      <c r="P1124">
        <f>IFERROR(VLOOKUP(C1124,Customers!$A:$C,3,FALSE()),"")</f>
        <v>65</v>
      </c>
      <c r="Q1124" t="str">
        <f t="shared" si="17"/>
        <v>Mar-24</v>
      </c>
      <c r="R1124">
        <f>IFERROR((VLOOKUP(D1124,Products!$A:$E,5,FALSE())-VLOOKUP(D1124,Products!$A:$E,4,FALSE()))/VLOOKUP(D1124,Products!$A:$E,5,FALSE()),"")</f>
        <v>0.59416666666666662</v>
      </c>
    </row>
    <row r="1125" spans="1:18" x14ac:dyDescent="0.3">
      <c r="A1125" s="22" t="s">
        <v>2720</v>
      </c>
      <c r="B1125" s="23">
        <v>45369</v>
      </c>
      <c r="C1125" s="22" t="s">
        <v>906</v>
      </c>
      <c r="D1125" s="22" t="s">
        <v>356</v>
      </c>
      <c r="E1125" s="22" t="s">
        <v>2721</v>
      </c>
      <c r="F1125" s="24">
        <v>4</v>
      </c>
      <c r="G1125" s="24">
        <v>2030</v>
      </c>
      <c r="H1125" s="24">
        <v>24.8</v>
      </c>
      <c r="I1125" s="24">
        <v>6106.24</v>
      </c>
      <c r="J1125" s="22" t="s">
        <v>110</v>
      </c>
      <c r="K1125" s="22" t="s">
        <v>129</v>
      </c>
      <c r="L1125" t="str">
        <f>VLOOKUP(D1125,Products!A:F,3,FALSE())</f>
        <v>Home</v>
      </c>
      <c r="M1125" t="str">
        <f>VLOOKUP(C1125,Customers!A:F,5,FALSE())</f>
        <v>SMB</v>
      </c>
      <c r="O1125" t="str">
        <f>IFERROR(VLOOKUP(E1125,Sales_Reps!$A:$C,3,FALSE()),"")</f>
        <v/>
      </c>
      <c r="P1125">
        <f>IFERROR(VLOOKUP(C1125,Customers!$A:$C,3,FALSE()),"")</f>
        <v>27</v>
      </c>
      <c r="Q1125" t="str">
        <f t="shared" si="17"/>
        <v>Mar-24</v>
      </c>
      <c r="R1125">
        <f>IFERROR((VLOOKUP(D1125,Products!$A:$E,5,FALSE())-VLOOKUP(D1125,Products!$A:$E,4,FALSE()))/VLOOKUP(D1125,Products!$A:$E,5,FALSE()),"")</f>
        <v>0.43694581280788175</v>
      </c>
    </row>
    <row r="1126" spans="1:18" x14ac:dyDescent="0.3">
      <c r="A1126" s="22" t="s">
        <v>2722</v>
      </c>
      <c r="B1126" s="23">
        <v>45513</v>
      </c>
      <c r="C1126" s="22" t="s">
        <v>204</v>
      </c>
      <c r="D1126" s="22" t="s">
        <v>436</v>
      </c>
      <c r="E1126" s="22" t="s">
        <v>2723</v>
      </c>
      <c r="F1126" s="24">
        <v>5</v>
      </c>
      <c r="G1126" s="24">
        <v>4060</v>
      </c>
      <c r="H1126" s="24">
        <v>9.1</v>
      </c>
      <c r="I1126" s="24">
        <v>18452.7</v>
      </c>
      <c r="J1126" s="22" t="s">
        <v>110</v>
      </c>
      <c r="K1126" s="22" t="s">
        <v>111</v>
      </c>
      <c r="L1126" t="str">
        <f>VLOOKUP(D1126,Products!A:F,3,FALSE())</f>
        <v>Grocery</v>
      </c>
      <c r="M1126" t="str">
        <f>VLOOKUP(C1126,Customers!A:F,5,FALSE())</f>
        <v>Corporate</v>
      </c>
      <c r="O1126" t="str">
        <f>IFERROR(VLOOKUP(E1126,Sales_Reps!$A:$C,3,FALSE()),"")</f>
        <v/>
      </c>
      <c r="P1126">
        <f>IFERROR(VLOOKUP(C1126,Customers!$A:$C,3,FALSE()),"")</f>
        <v>55</v>
      </c>
      <c r="Q1126" t="str">
        <f t="shared" si="17"/>
        <v>Aug-24</v>
      </c>
      <c r="R1126">
        <f>IFERROR((VLOOKUP(D1126,Products!$A:$E,5,FALSE())-VLOOKUP(D1126,Products!$A:$E,4,FALSE()))/VLOOKUP(D1126,Products!$A:$E,5,FALSE()),"")</f>
        <v>0.28300492610837441</v>
      </c>
    </row>
    <row r="1127" spans="1:18" x14ac:dyDescent="0.3">
      <c r="A1127" s="22" t="s">
        <v>2724</v>
      </c>
      <c r="B1127" s="23">
        <v>45438</v>
      </c>
      <c r="C1127" s="22" t="s">
        <v>520</v>
      </c>
      <c r="D1127" s="22" t="s">
        <v>356</v>
      </c>
      <c r="E1127" s="22" t="s">
        <v>2725</v>
      </c>
      <c r="F1127" s="24">
        <v>9</v>
      </c>
      <c r="G1127" s="24">
        <v>2030</v>
      </c>
      <c r="H1127" s="24">
        <v>15.9</v>
      </c>
      <c r="I1127" s="24">
        <v>15365.07</v>
      </c>
      <c r="J1127" s="22" t="s">
        <v>110</v>
      </c>
      <c r="K1127" s="22" t="s">
        <v>105</v>
      </c>
      <c r="L1127" t="str">
        <f>VLOOKUP(D1127,Products!A:F,3,FALSE())</f>
        <v>Home</v>
      </c>
      <c r="M1127" t="str">
        <f>VLOOKUP(C1127,Customers!A:F,5,FALSE())</f>
        <v>SMB</v>
      </c>
      <c r="O1127" t="str">
        <f>IFERROR(VLOOKUP(E1127,Sales_Reps!$A:$C,3,FALSE()),"")</f>
        <v/>
      </c>
      <c r="P1127">
        <f>IFERROR(VLOOKUP(C1127,Customers!$A:$C,3,FALSE()),"")</f>
        <v>53</v>
      </c>
      <c r="Q1127" t="str">
        <f t="shared" si="17"/>
        <v>May-24</v>
      </c>
      <c r="R1127">
        <f>IFERROR((VLOOKUP(D1127,Products!$A:$E,5,FALSE())-VLOOKUP(D1127,Products!$A:$E,4,FALSE()))/VLOOKUP(D1127,Products!$A:$E,5,FALSE()),"")</f>
        <v>0.43694581280788175</v>
      </c>
    </row>
    <row r="1128" spans="1:18" x14ac:dyDescent="0.3">
      <c r="A1128" s="22" t="s">
        <v>2726</v>
      </c>
      <c r="B1128" s="23">
        <v>45529</v>
      </c>
      <c r="C1128" s="22" t="s">
        <v>1072</v>
      </c>
      <c r="D1128" s="22" t="s">
        <v>205</v>
      </c>
      <c r="E1128" s="22" t="s">
        <v>2727</v>
      </c>
      <c r="F1128" s="24">
        <v>1</v>
      </c>
      <c r="G1128" s="24">
        <v>3350</v>
      </c>
      <c r="H1128" s="24">
        <v>23.2</v>
      </c>
      <c r="I1128" s="24">
        <v>2572.8000000000002</v>
      </c>
      <c r="J1128" s="22" t="s">
        <v>164</v>
      </c>
      <c r="K1128" s="22" t="s">
        <v>105</v>
      </c>
      <c r="L1128" t="str">
        <f>VLOOKUP(D1128,Products!A:F,3,FALSE())</f>
        <v>Beauty</v>
      </c>
      <c r="M1128" t="str">
        <f>VLOOKUP(C1128,Customers!A:F,5,FALSE())</f>
        <v>Retail</v>
      </c>
      <c r="O1128" t="str">
        <f>IFERROR(VLOOKUP(E1128,Sales_Reps!$A:$C,3,FALSE()),"")</f>
        <v/>
      </c>
      <c r="P1128">
        <f>IFERROR(VLOOKUP(C1128,Customers!$A:$C,3,FALSE()),"")</f>
        <v>36</v>
      </c>
      <c r="Q1128" t="str">
        <f t="shared" si="17"/>
        <v>Aug-24</v>
      </c>
      <c r="R1128">
        <f>IFERROR((VLOOKUP(D1128,Products!$A:$E,5,FALSE())-VLOOKUP(D1128,Products!$A:$E,4,FALSE()))/VLOOKUP(D1128,Products!$A:$E,5,FALSE()),"")</f>
        <v>0.48417910447761192</v>
      </c>
    </row>
    <row r="1129" spans="1:18" x14ac:dyDescent="0.3">
      <c r="A1129" s="22" t="s">
        <v>2728</v>
      </c>
      <c r="B1129" s="23">
        <v>45634</v>
      </c>
      <c r="C1129" s="22" t="s">
        <v>594</v>
      </c>
      <c r="D1129" s="22" t="s">
        <v>234</v>
      </c>
      <c r="E1129" s="22" t="s">
        <v>2729</v>
      </c>
      <c r="F1129" s="24">
        <v>4</v>
      </c>
      <c r="G1129" s="24">
        <v>660</v>
      </c>
      <c r="H1129" s="24">
        <v>27.1</v>
      </c>
      <c r="I1129" s="24">
        <v>1924.56</v>
      </c>
      <c r="J1129" s="22" t="s">
        <v>104</v>
      </c>
      <c r="K1129" s="22" t="s">
        <v>151</v>
      </c>
      <c r="L1129" t="str">
        <f>VLOOKUP(D1129,Products!A:F,3,FALSE())</f>
        <v>Home</v>
      </c>
      <c r="M1129" t="str">
        <f>VLOOKUP(C1129,Customers!A:F,5,FALSE())</f>
        <v>Corporate</v>
      </c>
      <c r="O1129" t="str">
        <f>IFERROR(VLOOKUP(E1129,Sales_Reps!$A:$C,3,FALSE()),"")</f>
        <v/>
      </c>
      <c r="P1129">
        <f>IFERROR(VLOOKUP(C1129,Customers!$A:$C,3,FALSE()),"")</f>
        <v>43</v>
      </c>
      <c r="Q1129" t="str">
        <f t="shared" si="17"/>
        <v>Dec-24</v>
      </c>
      <c r="R1129">
        <f>IFERROR((VLOOKUP(D1129,Products!$A:$E,5,FALSE())-VLOOKUP(D1129,Products!$A:$E,4,FALSE()))/VLOOKUP(D1129,Products!$A:$E,5,FALSE()),"")</f>
        <v>0.50151515151515147</v>
      </c>
    </row>
    <row r="1130" spans="1:18" x14ac:dyDescent="0.3">
      <c r="A1130" s="22" t="s">
        <v>2730</v>
      </c>
      <c r="B1130" s="23">
        <v>45441</v>
      </c>
      <c r="C1130" s="22" t="s">
        <v>311</v>
      </c>
      <c r="D1130" s="22" t="s">
        <v>330</v>
      </c>
      <c r="E1130" s="22" t="s">
        <v>2731</v>
      </c>
      <c r="F1130" s="24">
        <v>3</v>
      </c>
      <c r="G1130" s="24">
        <v>3020</v>
      </c>
      <c r="H1130" s="24">
        <v>7.2</v>
      </c>
      <c r="I1130" s="24">
        <v>8407.68</v>
      </c>
      <c r="J1130" s="22" t="s">
        <v>104</v>
      </c>
      <c r="K1130" s="22" t="s">
        <v>116</v>
      </c>
      <c r="L1130" t="str">
        <f>VLOOKUP(D1130,Products!A:F,3,FALSE())</f>
        <v>Beauty</v>
      </c>
      <c r="M1130" t="str">
        <f>VLOOKUP(C1130,Customers!A:F,5,FALSE())</f>
        <v>Retail</v>
      </c>
      <c r="O1130" t="str">
        <f>IFERROR(VLOOKUP(E1130,Sales_Reps!$A:$C,3,FALSE()),"")</f>
        <v/>
      </c>
      <c r="P1130">
        <f>IFERROR(VLOOKUP(C1130,Customers!$A:$C,3,FALSE()),"")</f>
        <v>54</v>
      </c>
      <c r="Q1130" t="str">
        <f t="shared" si="17"/>
        <v>May-24</v>
      </c>
      <c r="R1130">
        <f>IFERROR((VLOOKUP(D1130,Products!$A:$E,5,FALSE())-VLOOKUP(D1130,Products!$A:$E,4,FALSE()))/VLOOKUP(D1130,Products!$A:$E,5,FALSE()),"")</f>
        <v>0.46158940397350995</v>
      </c>
    </row>
    <row r="1131" spans="1:18" x14ac:dyDescent="0.3">
      <c r="A1131" s="22" t="s">
        <v>2732</v>
      </c>
      <c r="B1131" s="23">
        <v>45409</v>
      </c>
      <c r="C1131" s="22" t="s">
        <v>775</v>
      </c>
      <c r="D1131" s="22" t="s">
        <v>334</v>
      </c>
      <c r="E1131" s="22" t="s">
        <v>2733</v>
      </c>
      <c r="F1131" s="24">
        <v>3</v>
      </c>
      <c r="G1131" s="24">
        <v>2660</v>
      </c>
      <c r="H1131" s="24">
        <v>0.2</v>
      </c>
      <c r="I1131" s="24">
        <v>7964.04</v>
      </c>
      <c r="J1131" s="22" t="s">
        <v>104</v>
      </c>
      <c r="K1131" s="22" t="s">
        <v>129</v>
      </c>
      <c r="L1131" t="str">
        <f>VLOOKUP(D1131,Products!A:F,3,FALSE())</f>
        <v>Electronics</v>
      </c>
      <c r="M1131" t="str">
        <f>VLOOKUP(C1131,Customers!A:F,5,FALSE())</f>
        <v>SMB</v>
      </c>
      <c r="O1131" t="str">
        <f>IFERROR(VLOOKUP(E1131,Sales_Reps!$A:$C,3,FALSE()),"")</f>
        <v/>
      </c>
      <c r="P1131">
        <f>IFERROR(VLOOKUP(C1131,Customers!$A:$C,3,FALSE()),"")</f>
        <v>61</v>
      </c>
      <c r="Q1131" t="str">
        <f t="shared" si="17"/>
        <v>Apr-24</v>
      </c>
      <c r="R1131">
        <f>IFERROR((VLOOKUP(D1131,Products!$A:$E,5,FALSE())-VLOOKUP(D1131,Products!$A:$E,4,FALSE()))/VLOOKUP(D1131,Products!$A:$E,5,FALSE()),"")</f>
        <v>0.52669172932330832</v>
      </c>
    </row>
    <row r="1132" spans="1:18" x14ac:dyDescent="0.3">
      <c r="A1132" s="22" t="s">
        <v>2734</v>
      </c>
      <c r="B1132" s="23">
        <v>45650</v>
      </c>
      <c r="C1132" s="22" t="s">
        <v>1461</v>
      </c>
      <c r="D1132" s="22" t="s">
        <v>209</v>
      </c>
      <c r="E1132" s="22" t="s">
        <v>2735</v>
      </c>
      <c r="F1132" s="24">
        <v>4</v>
      </c>
      <c r="G1132" s="24">
        <v>1010</v>
      </c>
      <c r="H1132" s="24">
        <v>3.1</v>
      </c>
      <c r="I1132" s="24">
        <v>3914.76</v>
      </c>
      <c r="J1132" s="22" t="s">
        <v>104</v>
      </c>
      <c r="K1132" s="22" t="s">
        <v>129</v>
      </c>
      <c r="L1132" t="str">
        <f>VLOOKUP(D1132,Products!A:F,3,FALSE())</f>
        <v>Sports</v>
      </c>
      <c r="M1132" t="str">
        <f>VLOOKUP(C1132,Customers!A:F,5,FALSE())</f>
        <v>Retail</v>
      </c>
      <c r="O1132" t="str">
        <f>IFERROR(VLOOKUP(E1132,Sales_Reps!$A:$C,3,FALSE()),"")</f>
        <v/>
      </c>
      <c r="P1132">
        <f>IFERROR(VLOOKUP(C1132,Customers!$A:$C,3,FALSE()),"")</f>
        <v>49</v>
      </c>
      <c r="Q1132" t="str">
        <f t="shared" si="17"/>
        <v>Dec-24</v>
      </c>
      <c r="R1132">
        <f>IFERROR((VLOOKUP(D1132,Products!$A:$E,5,FALSE())-VLOOKUP(D1132,Products!$A:$E,4,FALSE()))/VLOOKUP(D1132,Products!$A:$E,5,FALSE()),"")</f>
        <v>0.4891089108910891</v>
      </c>
    </row>
    <row r="1133" spans="1:18" x14ac:dyDescent="0.3">
      <c r="A1133" s="22" t="s">
        <v>2736</v>
      </c>
      <c r="B1133" s="23">
        <v>45380</v>
      </c>
      <c r="C1133" s="22" t="s">
        <v>1454</v>
      </c>
      <c r="D1133" s="22" t="s">
        <v>141</v>
      </c>
      <c r="E1133" s="22" t="s">
        <v>2737</v>
      </c>
      <c r="F1133" s="24">
        <v>5</v>
      </c>
      <c r="G1133" s="24">
        <v>5490</v>
      </c>
      <c r="H1133" s="24">
        <v>3.6</v>
      </c>
      <c r="I1133" s="24">
        <v>26461.8</v>
      </c>
      <c r="J1133" s="22" t="s">
        <v>104</v>
      </c>
      <c r="K1133" s="22" t="s">
        <v>151</v>
      </c>
      <c r="L1133" t="str">
        <f>VLOOKUP(D1133,Products!A:F,3,FALSE())</f>
        <v>Home</v>
      </c>
      <c r="M1133" t="str">
        <f>VLOOKUP(C1133,Customers!A:F,5,FALSE())</f>
        <v>Retail</v>
      </c>
      <c r="O1133" t="str">
        <f>IFERROR(VLOOKUP(E1133,Sales_Reps!$A:$C,3,FALSE()),"")</f>
        <v/>
      </c>
      <c r="P1133">
        <f>IFERROR(VLOOKUP(C1133,Customers!$A:$C,3,FALSE()),"")</f>
        <v>35</v>
      </c>
      <c r="Q1133" t="str">
        <f t="shared" si="17"/>
        <v>Mar-24</v>
      </c>
      <c r="R1133">
        <f>IFERROR((VLOOKUP(D1133,Products!$A:$E,5,FALSE())-VLOOKUP(D1133,Products!$A:$E,4,FALSE()))/VLOOKUP(D1133,Products!$A:$E,5,FALSE()),"")</f>
        <v>0.53570127504553733</v>
      </c>
    </row>
    <row r="1134" spans="1:18" x14ac:dyDescent="0.3">
      <c r="A1134" s="22" t="s">
        <v>2738</v>
      </c>
      <c r="B1134" s="23">
        <v>45322</v>
      </c>
      <c r="C1134" s="22" t="s">
        <v>181</v>
      </c>
      <c r="D1134" s="22" t="s">
        <v>171</v>
      </c>
      <c r="E1134" s="22" t="s">
        <v>2739</v>
      </c>
      <c r="F1134" s="24">
        <v>1</v>
      </c>
      <c r="G1134" s="24">
        <v>2400</v>
      </c>
      <c r="H1134" s="24">
        <v>24.3</v>
      </c>
      <c r="I1134" s="24">
        <v>1816.8</v>
      </c>
      <c r="J1134" s="22" t="s">
        <v>104</v>
      </c>
      <c r="K1134" s="22" t="s">
        <v>129</v>
      </c>
      <c r="L1134" t="str">
        <f>VLOOKUP(D1134,Products!A:F,3,FALSE())</f>
        <v>Sports</v>
      </c>
      <c r="M1134" t="str">
        <f>VLOOKUP(C1134,Customers!A:F,5,FALSE())</f>
        <v>Retail</v>
      </c>
      <c r="O1134" t="str">
        <f>IFERROR(VLOOKUP(E1134,Sales_Reps!$A:$C,3,FALSE()),"")</f>
        <v/>
      </c>
      <c r="P1134">
        <f>IFERROR(VLOOKUP(C1134,Customers!$A:$C,3,FALSE()),"")</f>
        <v>54</v>
      </c>
      <c r="Q1134" t="str">
        <f t="shared" si="17"/>
        <v>Jan-24</v>
      </c>
      <c r="R1134">
        <f>IFERROR((VLOOKUP(D1134,Products!$A:$E,5,FALSE())-VLOOKUP(D1134,Products!$A:$E,4,FALSE()))/VLOOKUP(D1134,Products!$A:$E,5,FALSE()),"")</f>
        <v>0.59416666666666662</v>
      </c>
    </row>
    <row r="1135" spans="1:18" x14ac:dyDescent="0.3">
      <c r="A1135" s="22" t="s">
        <v>2740</v>
      </c>
      <c r="B1135" s="23">
        <v>45532</v>
      </c>
      <c r="C1135" s="22" t="s">
        <v>448</v>
      </c>
      <c r="D1135" s="22" t="s">
        <v>234</v>
      </c>
      <c r="E1135" s="22" t="s">
        <v>2741</v>
      </c>
      <c r="F1135" s="24">
        <v>8</v>
      </c>
      <c r="G1135" s="24">
        <v>660</v>
      </c>
      <c r="H1135" s="24">
        <v>19.8</v>
      </c>
      <c r="I1135" s="24">
        <v>4234.5600000000004</v>
      </c>
      <c r="J1135" s="22" t="s">
        <v>104</v>
      </c>
      <c r="K1135" s="22" t="s">
        <v>116</v>
      </c>
      <c r="L1135" t="str">
        <f>VLOOKUP(D1135,Products!A:F,3,FALSE())</f>
        <v>Home</v>
      </c>
      <c r="M1135" t="str">
        <f>VLOOKUP(C1135,Customers!A:F,5,FALSE())</f>
        <v>SMB</v>
      </c>
      <c r="O1135" t="str">
        <f>IFERROR(VLOOKUP(E1135,Sales_Reps!$A:$C,3,FALSE()),"")</f>
        <v/>
      </c>
      <c r="P1135">
        <f>IFERROR(VLOOKUP(C1135,Customers!$A:$C,3,FALSE()),"")</f>
        <v>28</v>
      </c>
      <c r="Q1135" t="str">
        <f t="shared" si="17"/>
        <v>Aug-24</v>
      </c>
      <c r="R1135">
        <f>IFERROR((VLOOKUP(D1135,Products!$A:$E,5,FALSE())-VLOOKUP(D1135,Products!$A:$E,4,FALSE()))/VLOOKUP(D1135,Products!$A:$E,5,FALSE()),"")</f>
        <v>0.50151515151515147</v>
      </c>
    </row>
    <row r="1136" spans="1:18" x14ac:dyDescent="0.3">
      <c r="A1136" s="22" t="s">
        <v>2742</v>
      </c>
      <c r="B1136" s="23">
        <v>45504</v>
      </c>
      <c r="C1136" s="22" t="s">
        <v>2100</v>
      </c>
      <c r="D1136" s="22" t="s">
        <v>455</v>
      </c>
      <c r="E1136" s="22" t="s">
        <v>2743</v>
      </c>
      <c r="F1136" s="24">
        <v>9</v>
      </c>
      <c r="G1136" s="24">
        <v>5330</v>
      </c>
      <c r="H1136" s="24">
        <v>16.5</v>
      </c>
      <c r="I1136" s="24">
        <v>40054.949999999997</v>
      </c>
      <c r="J1136" s="22" t="s">
        <v>104</v>
      </c>
      <c r="K1136" s="22" t="s">
        <v>111</v>
      </c>
      <c r="L1136" t="str">
        <f>VLOOKUP(D1136,Products!A:F,3,FALSE())</f>
        <v>Electronics</v>
      </c>
      <c r="M1136" t="str">
        <f>VLOOKUP(C1136,Customers!A:F,5,FALSE())</f>
        <v>SMB</v>
      </c>
      <c r="O1136" t="str">
        <f>IFERROR(VLOOKUP(E1136,Sales_Reps!$A:$C,3,FALSE()),"")</f>
        <v/>
      </c>
      <c r="P1136">
        <f>IFERROR(VLOOKUP(C1136,Customers!$A:$C,3,FALSE()),"")</f>
        <v>43</v>
      </c>
      <c r="Q1136" t="str">
        <f t="shared" si="17"/>
        <v>Jul-24</v>
      </c>
      <c r="R1136">
        <f>IFERROR((VLOOKUP(D1136,Products!$A:$E,5,FALSE())-VLOOKUP(D1136,Products!$A:$E,4,FALSE()))/VLOOKUP(D1136,Products!$A:$E,5,FALSE()),"")</f>
        <v>0.54878048780487809</v>
      </c>
    </row>
    <row r="1137" spans="1:18" x14ac:dyDescent="0.3">
      <c r="A1137" s="22" t="s">
        <v>2093</v>
      </c>
      <c r="B1137" s="23">
        <v>45516</v>
      </c>
      <c r="C1137" s="22" t="s">
        <v>817</v>
      </c>
      <c r="D1137" s="22" t="s">
        <v>157</v>
      </c>
      <c r="E1137" s="22" t="s">
        <v>2744</v>
      </c>
      <c r="F1137" s="24">
        <v>5</v>
      </c>
      <c r="G1137" s="24">
        <v>2600</v>
      </c>
      <c r="H1137" s="24">
        <v>0.3</v>
      </c>
      <c r="I1137" s="24">
        <v>12961</v>
      </c>
      <c r="J1137" s="22" t="s">
        <v>104</v>
      </c>
      <c r="K1137" s="22" t="s">
        <v>111</v>
      </c>
      <c r="L1137" t="str">
        <f>VLOOKUP(D1137,Products!A:F,3,FALSE())</f>
        <v>Electronics</v>
      </c>
      <c r="M1137" t="str">
        <f>VLOOKUP(C1137,Customers!A:F,5,FALSE())</f>
        <v>Corporate</v>
      </c>
      <c r="O1137" t="str">
        <f>IFERROR(VLOOKUP(E1137,Sales_Reps!$A:$C,3,FALSE()),"")</f>
        <v/>
      </c>
      <c r="P1137">
        <f>IFERROR(VLOOKUP(C1137,Customers!$A:$C,3,FALSE()),"")</f>
        <v>30</v>
      </c>
      <c r="Q1137" t="str">
        <f t="shared" si="17"/>
        <v>Aug-24</v>
      </c>
      <c r="R1137">
        <f>IFERROR((VLOOKUP(D1137,Products!$A:$E,5,FALSE())-VLOOKUP(D1137,Products!$A:$E,4,FALSE()))/VLOOKUP(D1137,Products!$A:$E,5,FALSE()),"")</f>
        <v>0.5953846153846154</v>
      </c>
    </row>
    <row r="1138" spans="1:18" x14ac:dyDescent="0.3">
      <c r="A1138" s="22" t="s">
        <v>2745</v>
      </c>
      <c r="B1138" s="23">
        <v>45462</v>
      </c>
      <c r="C1138" s="22" t="s">
        <v>2746</v>
      </c>
      <c r="D1138" s="22" t="s">
        <v>577</v>
      </c>
      <c r="E1138" s="22" t="s">
        <v>2747</v>
      </c>
      <c r="F1138" s="24">
        <v>4</v>
      </c>
      <c r="G1138" s="24">
        <v>5080</v>
      </c>
      <c r="H1138" s="24">
        <v>13.8</v>
      </c>
      <c r="I1138" s="24">
        <v>17515.84</v>
      </c>
      <c r="J1138" s="22" t="s">
        <v>110</v>
      </c>
      <c r="K1138" s="22" t="s">
        <v>134</v>
      </c>
      <c r="L1138" t="str">
        <f>VLOOKUP(D1138,Products!A:F,3,FALSE())</f>
        <v>Home</v>
      </c>
      <c r="M1138" t="str">
        <f>VLOOKUP(C1138,Customers!A:F,5,FALSE())</f>
        <v>Retail</v>
      </c>
      <c r="O1138" t="str">
        <f>IFERROR(VLOOKUP(E1138,Sales_Reps!$A:$C,3,FALSE()),"")</f>
        <v/>
      </c>
      <c r="P1138">
        <f>IFERROR(VLOOKUP(C1138,Customers!$A:$C,3,FALSE()),"")</f>
        <v>53</v>
      </c>
      <c r="Q1138" t="str">
        <f t="shared" si="17"/>
        <v>Jun-24</v>
      </c>
      <c r="R1138">
        <f>IFERROR((VLOOKUP(D1138,Products!$A:$E,5,FALSE())-VLOOKUP(D1138,Products!$A:$E,4,FALSE()))/VLOOKUP(D1138,Products!$A:$E,5,FALSE()),"")</f>
        <v>0.51594488188976373</v>
      </c>
    </row>
    <row r="1139" spans="1:18" x14ac:dyDescent="0.3">
      <c r="A1139" s="22" t="s">
        <v>2748</v>
      </c>
      <c r="B1139" s="23">
        <v>45597</v>
      </c>
      <c r="C1139" s="22" t="s">
        <v>2015</v>
      </c>
      <c r="D1139" s="22" t="s">
        <v>459</v>
      </c>
      <c r="E1139" s="22" t="s">
        <v>2749</v>
      </c>
      <c r="F1139" s="24">
        <v>7</v>
      </c>
      <c r="G1139" s="24">
        <v>2380</v>
      </c>
      <c r="H1139" s="24">
        <v>15.5</v>
      </c>
      <c r="I1139" s="24">
        <v>14077.7</v>
      </c>
      <c r="J1139" s="22" t="s">
        <v>104</v>
      </c>
      <c r="K1139" s="22" t="s">
        <v>105</v>
      </c>
      <c r="L1139" t="str">
        <f>VLOOKUP(D1139,Products!A:F,3,FALSE())</f>
        <v>Grocery</v>
      </c>
      <c r="M1139" t="str">
        <f>VLOOKUP(C1139,Customers!A:F,5,FALSE())</f>
        <v>Retail</v>
      </c>
      <c r="O1139" t="str">
        <f>IFERROR(VLOOKUP(E1139,Sales_Reps!$A:$C,3,FALSE()),"")</f>
        <v/>
      </c>
      <c r="P1139">
        <f>IFERROR(VLOOKUP(C1139,Customers!$A:$C,3,FALSE()),"")</f>
        <v>44</v>
      </c>
      <c r="Q1139" t="str">
        <f t="shared" si="17"/>
        <v>Nov-24</v>
      </c>
      <c r="R1139">
        <f>IFERROR((VLOOKUP(D1139,Products!$A:$E,5,FALSE())-VLOOKUP(D1139,Products!$A:$E,4,FALSE()))/VLOOKUP(D1139,Products!$A:$E,5,FALSE()),"")</f>
        <v>0.50336134453781511</v>
      </c>
    </row>
    <row r="1140" spans="1:18" x14ac:dyDescent="0.3">
      <c r="A1140" s="22" t="s">
        <v>2750</v>
      </c>
      <c r="B1140" s="23">
        <v>45648</v>
      </c>
      <c r="C1140" s="22" t="s">
        <v>292</v>
      </c>
      <c r="D1140" s="22" t="s">
        <v>212</v>
      </c>
      <c r="E1140" s="22" t="s">
        <v>2751</v>
      </c>
      <c r="F1140" s="24">
        <v>3</v>
      </c>
      <c r="G1140" s="24">
        <v>4880</v>
      </c>
      <c r="H1140" s="24">
        <v>6.1</v>
      </c>
      <c r="I1140" s="24">
        <v>13746.96</v>
      </c>
      <c r="J1140" s="22" t="s">
        <v>104</v>
      </c>
      <c r="K1140" s="22" t="s">
        <v>134</v>
      </c>
      <c r="L1140" t="str">
        <f>VLOOKUP(D1140,Products!A:F,3,FALSE())</f>
        <v>Beauty</v>
      </c>
      <c r="M1140" t="str">
        <f>VLOOKUP(C1140,Customers!A:F,5,FALSE())</f>
        <v>Retail</v>
      </c>
      <c r="O1140" t="str">
        <f>IFERROR(VLOOKUP(E1140,Sales_Reps!$A:$C,3,FALSE()),"")</f>
        <v/>
      </c>
      <c r="P1140">
        <f>IFERROR(VLOOKUP(C1140,Customers!$A:$C,3,FALSE()),"")</f>
        <v>34</v>
      </c>
      <c r="Q1140" t="str">
        <f t="shared" si="17"/>
        <v>Dec-24</v>
      </c>
      <c r="R1140">
        <f>IFERROR((VLOOKUP(D1140,Products!$A:$E,5,FALSE())-VLOOKUP(D1140,Products!$A:$E,4,FALSE()))/VLOOKUP(D1140,Products!$A:$E,5,FALSE()),"")</f>
        <v>0.43278688524590164</v>
      </c>
    </row>
    <row r="1141" spans="1:18" x14ac:dyDescent="0.3">
      <c r="A1141" s="22" t="s">
        <v>2752</v>
      </c>
      <c r="B1141" s="23">
        <v>45355</v>
      </c>
      <c r="C1141" s="22" t="s">
        <v>1117</v>
      </c>
      <c r="D1141" s="22" t="s">
        <v>205</v>
      </c>
      <c r="E1141" s="22" t="s">
        <v>2753</v>
      </c>
      <c r="F1141" s="24">
        <v>2</v>
      </c>
      <c r="G1141" s="24">
        <v>3350</v>
      </c>
      <c r="H1141" s="24">
        <v>17.2</v>
      </c>
      <c r="I1141" s="24">
        <v>5547.6</v>
      </c>
      <c r="J1141" s="22" t="s">
        <v>104</v>
      </c>
      <c r="K1141" s="22" t="s">
        <v>111</v>
      </c>
      <c r="L1141" t="str">
        <f>VLOOKUP(D1141,Products!A:F,3,FALSE())</f>
        <v>Beauty</v>
      </c>
      <c r="M1141" t="str">
        <f>VLOOKUP(C1141,Customers!A:F,5,FALSE())</f>
        <v>SMB</v>
      </c>
      <c r="O1141" t="str">
        <f>IFERROR(VLOOKUP(E1141,Sales_Reps!$A:$C,3,FALSE()),"")</f>
        <v/>
      </c>
      <c r="P1141">
        <f>IFERROR(VLOOKUP(C1141,Customers!$A:$C,3,FALSE()),"")</f>
        <v>26</v>
      </c>
      <c r="Q1141" t="str">
        <f t="shared" si="17"/>
        <v>Mar-24</v>
      </c>
      <c r="R1141">
        <f>IFERROR((VLOOKUP(D1141,Products!$A:$E,5,FALSE())-VLOOKUP(D1141,Products!$A:$E,4,FALSE()))/VLOOKUP(D1141,Products!$A:$E,5,FALSE()),"")</f>
        <v>0.48417910447761192</v>
      </c>
    </row>
    <row r="1142" spans="1:18" x14ac:dyDescent="0.3">
      <c r="A1142" s="22" t="s">
        <v>2754</v>
      </c>
      <c r="B1142" s="23">
        <v>45331</v>
      </c>
      <c r="C1142" s="22" t="s">
        <v>2755</v>
      </c>
      <c r="D1142" s="22" t="s">
        <v>145</v>
      </c>
      <c r="E1142" s="22" t="s">
        <v>2756</v>
      </c>
      <c r="F1142" s="24">
        <v>5</v>
      </c>
      <c r="G1142" s="24">
        <v>970</v>
      </c>
      <c r="H1142" s="24">
        <v>23.6</v>
      </c>
      <c r="I1142" s="24">
        <v>3705.4</v>
      </c>
      <c r="J1142" s="22" t="s">
        <v>104</v>
      </c>
      <c r="K1142" s="22" t="s">
        <v>111</v>
      </c>
      <c r="L1142" t="str">
        <f>VLOOKUP(D1142,Products!A:F,3,FALSE())</f>
        <v>Grocery</v>
      </c>
      <c r="M1142" t="str">
        <f>VLOOKUP(C1142,Customers!A:F,5,FALSE())</f>
        <v>Retail</v>
      </c>
      <c r="O1142" t="str">
        <f>IFERROR(VLOOKUP(E1142,Sales_Reps!$A:$C,3,FALSE()),"")</f>
        <v/>
      </c>
      <c r="P1142">
        <f>IFERROR(VLOOKUP(C1142,Customers!$A:$C,3,FALSE()),"")</f>
        <v>35</v>
      </c>
      <c r="Q1142" t="str">
        <f t="shared" si="17"/>
        <v>Feb-24</v>
      </c>
      <c r="R1142">
        <f>IFERROR((VLOOKUP(D1142,Products!$A:$E,5,FALSE())-VLOOKUP(D1142,Products!$A:$E,4,FALSE()))/VLOOKUP(D1142,Products!$A:$E,5,FALSE()),"")</f>
        <v>0.5525773195876289</v>
      </c>
    </row>
    <row r="1143" spans="1:18" x14ac:dyDescent="0.3">
      <c r="A1143" s="22" t="s">
        <v>2757</v>
      </c>
      <c r="B1143" s="23">
        <v>45632</v>
      </c>
      <c r="C1143" s="22" t="s">
        <v>389</v>
      </c>
      <c r="D1143" s="22" t="s">
        <v>338</v>
      </c>
      <c r="E1143" s="22" t="s">
        <v>2758</v>
      </c>
      <c r="F1143" s="24">
        <v>5</v>
      </c>
      <c r="G1143" s="24">
        <v>300</v>
      </c>
      <c r="H1143" s="24">
        <v>3.8</v>
      </c>
      <c r="I1143" s="24">
        <v>1443</v>
      </c>
      <c r="J1143" s="22" t="s">
        <v>104</v>
      </c>
      <c r="K1143" s="22" t="s">
        <v>111</v>
      </c>
      <c r="L1143" t="str">
        <f>VLOOKUP(D1143,Products!A:F,3,FALSE())</f>
        <v>Electronics</v>
      </c>
      <c r="M1143" t="str">
        <f>VLOOKUP(C1143,Customers!A:F,5,FALSE())</f>
        <v>SMB</v>
      </c>
      <c r="O1143" t="str">
        <f>IFERROR(VLOOKUP(E1143,Sales_Reps!$A:$C,3,FALSE()),"")</f>
        <v/>
      </c>
      <c r="P1143">
        <f>IFERROR(VLOOKUP(C1143,Customers!$A:$C,3,FALSE()),"")</f>
        <v>57</v>
      </c>
      <c r="Q1143" t="str">
        <f t="shared" si="17"/>
        <v>Dec-24</v>
      </c>
      <c r="R1143">
        <f>IFERROR((VLOOKUP(D1143,Products!$A:$E,5,FALSE())-VLOOKUP(D1143,Products!$A:$E,4,FALSE()))/VLOOKUP(D1143,Products!$A:$E,5,FALSE()),"")</f>
        <v>0.57333333333333336</v>
      </c>
    </row>
    <row r="1144" spans="1:18" x14ac:dyDescent="0.3">
      <c r="A1144" s="22" t="s">
        <v>2759</v>
      </c>
      <c r="B1144" s="23">
        <v>45358</v>
      </c>
      <c r="C1144" s="22" t="s">
        <v>766</v>
      </c>
      <c r="D1144" s="22" t="s">
        <v>521</v>
      </c>
      <c r="E1144" s="22" t="s">
        <v>2760</v>
      </c>
      <c r="F1144" s="24">
        <v>9</v>
      </c>
      <c r="G1144" s="24">
        <v>3970</v>
      </c>
      <c r="H1144" s="24">
        <v>0.8</v>
      </c>
      <c r="I1144" s="24">
        <v>35444.160000000003</v>
      </c>
      <c r="J1144" s="22" t="s">
        <v>104</v>
      </c>
      <c r="K1144" s="22" t="s">
        <v>105</v>
      </c>
      <c r="L1144" t="str">
        <f>VLOOKUP(D1144,Products!A:F,3,FALSE())</f>
        <v>Electronics</v>
      </c>
      <c r="M1144" t="str">
        <f>VLOOKUP(C1144,Customers!A:F,5,FALSE())</f>
        <v>Retail</v>
      </c>
      <c r="O1144" t="str">
        <f>IFERROR(VLOOKUP(E1144,Sales_Reps!$A:$C,3,FALSE()),"")</f>
        <v/>
      </c>
      <c r="P1144">
        <f>IFERROR(VLOOKUP(C1144,Customers!$A:$C,3,FALSE()),"")</f>
        <v>62</v>
      </c>
      <c r="Q1144" t="str">
        <f t="shared" si="17"/>
        <v>Mar-24</v>
      </c>
      <c r="R1144">
        <f>IFERROR((VLOOKUP(D1144,Products!$A:$E,5,FALSE())-VLOOKUP(D1144,Products!$A:$E,4,FALSE()))/VLOOKUP(D1144,Products!$A:$E,5,FALSE()),"")</f>
        <v>0.27833753148614609</v>
      </c>
    </row>
    <row r="1145" spans="1:18" x14ac:dyDescent="0.3">
      <c r="A1145" s="22" t="s">
        <v>2761</v>
      </c>
      <c r="B1145" s="23">
        <v>45440</v>
      </c>
      <c r="C1145" s="22" t="s">
        <v>1766</v>
      </c>
      <c r="D1145" s="22" t="s">
        <v>197</v>
      </c>
      <c r="E1145" s="22" t="s">
        <v>2762</v>
      </c>
      <c r="F1145" s="24">
        <v>4</v>
      </c>
      <c r="G1145" s="24">
        <v>2720</v>
      </c>
      <c r="H1145" s="24">
        <v>12.7</v>
      </c>
      <c r="I1145" s="24">
        <v>9498.24</v>
      </c>
      <c r="J1145" s="22" t="s">
        <v>104</v>
      </c>
      <c r="K1145" s="22" t="s">
        <v>129</v>
      </c>
      <c r="L1145" t="str">
        <f>VLOOKUP(D1145,Products!A:F,3,FALSE())</f>
        <v>Apparel</v>
      </c>
      <c r="M1145" t="str">
        <f>VLOOKUP(C1145,Customers!A:F,5,FALSE())</f>
        <v>Corporate</v>
      </c>
      <c r="O1145" t="str">
        <f>IFERROR(VLOOKUP(E1145,Sales_Reps!$A:$C,3,FALSE()),"")</f>
        <v/>
      </c>
      <c r="P1145">
        <f>IFERROR(VLOOKUP(C1145,Customers!$A:$C,3,FALSE()),"")</f>
        <v>46</v>
      </c>
      <c r="Q1145" t="str">
        <f t="shared" si="17"/>
        <v>May-24</v>
      </c>
      <c r="R1145">
        <f>IFERROR((VLOOKUP(D1145,Products!$A:$E,5,FALSE())-VLOOKUP(D1145,Products!$A:$E,4,FALSE()))/VLOOKUP(D1145,Products!$A:$E,5,FALSE()),"")</f>
        <v>0.2786764705882353</v>
      </c>
    </row>
    <row r="1146" spans="1:18" x14ac:dyDescent="0.3">
      <c r="A1146" s="22" t="s">
        <v>2763</v>
      </c>
      <c r="B1146" s="23">
        <v>45412</v>
      </c>
      <c r="C1146" s="22" t="s">
        <v>329</v>
      </c>
      <c r="D1146" s="22" t="s">
        <v>352</v>
      </c>
      <c r="E1146" s="22" t="s">
        <v>2764</v>
      </c>
      <c r="F1146" s="24">
        <v>3</v>
      </c>
      <c r="G1146" s="24">
        <v>620</v>
      </c>
      <c r="H1146" s="24">
        <v>5.5</v>
      </c>
      <c r="I1146" s="24">
        <v>1757.7</v>
      </c>
      <c r="J1146" s="22" t="s">
        <v>104</v>
      </c>
      <c r="K1146" s="22" t="s">
        <v>105</v>
      </c>
      <c r="L1146" t="str">
        <f>VLOOKUP(D1146,Products!A:F,3,FALSE())</f>
        <v>Apparel</v>
      </c>
      <c r="M1146" t="str">
        <f>VLOOKUP(C1146,Customers!A:F,5,FALSE())</f>
        <v>Retail</v>
      </c>
      <c r="O1146" t="str">
        <f>IFERROR(VLOOKUP(E1146,Sales_Reps!$A:$C,3,FALSE()),"")</f>
        <v/>
      </c>
      <c r="P1146">
        <f>IFERROR(VLOOKUP(C1146,Customers!$A:$C,3,FALSE()),"")</f>
        <v>44</v>
      </c>
      <c r="Q1146" t="str">
        <f t="shared" si="17"/>
        <v>Apr-24</v>
      </c>
      <c r="R1146">
        <f>IFERROR((VLOOKUP(D1146,Products!$A:$E,5,FALSE())-VLOOKUP(D1146,Products!$A:$E,4,FALSE()))/VLOOKUP(D1146,Products!$A:$E,5,FALSE()),"")</f>
        <v>0.36129032258064514</v>
      </c>
    </row>
    <row r="1147" spans="1:18" x14ac:dyDescent="0.3">
      <c r="A1147" s="22" t="s">
        <v>2765</v>
      </c>
      <c r="B1147" s="23">
        <v>45479</v>
      </c>
      <c r="C1147" s="22" t="s">
        <v>204</v>
      </c>
      <c r="D1147" s="22" t="s">
        <v>308</v>
      </c>
      <c r="E1147" s="22" t="s">
        <v>2766</v>
      </c>
      <c r="F1147" s="24">
        <v>2</v>
      </c>
      <c r="G1147" s="24">
        <v>1540</v>
      </c>
      <c r="H1147" s="24">
        <v>2.2000000000000002</v>
      </c>
      <c r="I1147" s="24">
        <v>3012.24</v>
      </c>
      <c r="J1147" s="22" t="s">
        <v>110</v>
      </c>
      <c r="K1147" s="22" t="s">
        <v>111</v>
      </c>
      <c r="L1147" t="str">
        <f>VLOOKUP(D1147,Products!A:F,3,FALSE())</f>
        <v>Beauty</v>
      </c>
      <c r="M1147" t="str">
        <f>VLOOKUP(C1147,Customers!A:F,5,FALSE())</f>
        <v>Corporate</v>
      </c>
      <c r="O1147" t="str">
        <f>IFERROR(VLOOKUP(E1147,Sales_Reps!$A:$C,3,FALSE()),"")</f>
        <v/>
      </c>
      <c r="P1147">
        <f>IFERROR(VLOOKUP(C1147,Customers!$A:$C,3,FALSE()),"")</f>
        <v>55</v>
      </c>
      <c r="Q1147" t="str">
        <f t="shared" si="17"/>
        <v>Jul-24</v>
      </c>
      <c r="R1147">
        <f>IFERROR((VLOOKUP(D1147,Products!$A:$E,5,FALSE())-VLOOKUP(D1147,Products!$A:$E,4,FALSE()))/VLOOKUP(D1147,Products!$A:$E,5,FALSE()),"")</f>
        <v>0.57987012987012987</v>
      </c>
    </row>
    <row r="1148" spans="1:18" x14ac:dyDescent="0.3">
      <c r="A1148" s="22" t="s">
        <v>2767</v>
      </c>
      <c r="B1148" s="23">
        <v>45534</v>
      </c>
      <c r="C1148" s="22" t="s">
        <v>380</v>
      </c>
      <c r="D1148" s="22" t="s">
        <v>488</v>
      </c>
      <c r="E1148" s="22" t="s">
        <v>2768</v>
      </c>
      <c r="F1148" s="24">
        <v>1</v>
      </c>
      <c r="G1148" s="24">
        <v>2290</v>
      </c>
      <c r="H1148" s="24">
        <v>24.4</v>
      </c>
      <c r="I1148" s="24">
        <v>1731.24</v>
      </c>
      <c r="J1148" s="22" t="s">
        <v>159</v>
      </c>
      <c r="K1148" s="22" t="s">
        <v>151</v>
      </c>
      <c r="L1148" t="str">
        <f>VLOOKUP(D1148,Products!A:F,3,FALSE())</f>
        <v>Beauty</v>
      </c>
      <c r="M1148" t="str">
        <f>VLOOKUP(C1148,Customers!A:F,5,FALSE())</f>
        <v>Retail</v>
      </c>
      <c r="O1148" t="str">
        <f>IFERROR(VLOOKUP(E1148,Sales_Reps!$A:$C,3,FALSE()),"")</f>
        <v/>
      </c>
      <c r="P1148">
        <f>IFERROR(VLOOKUP(C1148,Customers!$A:$C,3,FALSE()),"")</f>
        <v>46</v>
      </c>
      <c r="Q1148" t="str">
        <f t="shared" si="17"/>
        <v>Aug-24</v>
      </c>
      <c r="R1148">
        <f>IFERROR((VLOOKUP(D1148,Products!$A:$E,5,FALSE())-VLOOKUP(D1148,Products!$A:$E,4,FALSE()))/VLOOKUP(D1148,Products!$A:$E,5,FALSE()),"")</f>
        <v>0.46768558951965067</v>
      </c>
    </row>
    <row r="1149" spans="1:18" x14ac:dyDescent="0.3">
      <c r="A1149" s="22" t="s">
        <v>2769</v>
      </c>
      <c r="B1149" s="23">
        <v>45313</v>
      </c>
      <c r="C1149" s="22" t="s">
        <v>1049</v>
      </c>
      <c r="D1149" s="22" t="s">
        <v>197</v>
      </c>
      <c r="E1149" s="22" t="s">
        <v>2770</v>
      </c>
      <c r="F1149" s="24">
        <v>8</v>
      </c>
      <c r="G1149" s="24">
        <v>2720</v>
      </c>
      <c r="H1149" s="24">
        <v>1.7</v>
      </c>
      <c r="I1149" s="24">
        <v>21390.080000000002</v>
      </c>
      <c r="J1149" s="22" t="s">
        <v>104</v>
      </c>
      <c r="K1149" s="22" t="s">
        <v>116</v>
      </c>
      <c r="L1149" t="str">
        <f>VLOOKUP(D1149,Products!A:F,3,FALSE())</f>
        <v>Apparel</v>
      </c>
      <c r="M1149" t="str">
        <f>VLOOKUP(C1149,Customers!A:F,5,FALSE())</f>
        <v>SMB</v>
      </c>
      <c r="O1149" t="str">
        <f>IFERROR(VLOOKUP(E1149,Sales_Reps!$A:$C,3,FALSE()),"")</f>
        <v/>
      </c>
      <c r="P1149">
        <f>IFERROR(VLOOKUP(C1149,Customers!$A:$C,3,FALSE()),"")</f>
        <v>26</v>
      </c>
      <c r="Q1149" t="str">
        <f t="shared" si="17"/>
        <v>Jan-24</v>
      </c>
      <c r="R1149">
        <f>IFERROR((VLOOKUP(D1149,Products!$A:$E,5,FALSE())-VLOOKUP(D1149,Products!$A:$E,4,FALSE()))/VLOOKUP(D1149,Products!$A:$E,5,FALSE()),"")</f>
        <v>0.2786764705882353</v>
      </c>
    </row>
    <row r="1150" spans="1:18" x14ac:dyDescent="0.3">
      <c r="A1150" s="22" t="s">
        <v>2771</v>
      </c>
      <c r="B1150" s="23">
        <v>45390</v>
      </c>
      <c r="C1150" s="22" t="s">
        <v>2569</v>
      </c>
      <c r="D1150" s="22" t="s">
        <v>436</v>
      </c>
      <c r="E1150" s="22" t="s">
        <v>2772</v>
      </c>
      <c r="F1150" s="24">
        <v>4</v>
      </c>
      <c r="G1150" s="24">
        <v>4060</v>
      </c>
      <c r="H1150" s="24">
        <v>19.600000000000001</v>
      </c>
      <c r="I1150" s="24">
        <v>13056.96</v>
      </c>
      <c r="J1150" s="22" t="s">
        <v>159</v>
      </c>
      <c r="K1150" s="22" t="s">
        <v>151</v>
      </c>
      <c r="L1150" t="str">
        <f>VLOOKUP(D1150,Products!A:F,3,FALSE())</f>
        <v>Grocery</v>
      </c>
      <c r="M1150" t="str">
        <f>VLOOKUP(C1150,Customers!A:F,5,FALSE())</f>
        <v>Corporate</v>
      </c>
      <c r="O1150" t="str">
        <f>IFERROR(VLOOKUP(E1150,Sales_Reps!$A:$C,3,FALSE()),"")</f>
        <v/>
      </c>
      <c r="P1150">
        <f>IFERROR(VLOOKUP(C1150,Customers!$A:$C,3,FALSE()),"")</f>
        <v>25</v>
      </c>
      <c r="Q1150" t="str">
        <f t="shared" si="17"/>
        <v>Apr-24</v>
      </c>
      <c r="R1150">
        <f>IFERROR((VLOOKUP(D1150,Products!$A:$E,5,FALSE())-VLOOKUP(D1150,Products!$A:$E,4,FALSE()))/VLOOKUP(D1150,Products!$A:$E,5,FALSE()),"")</f>
        <v>0.28300492610837441</v>
      </c>
    </row>
    <row r="1151" spans="1:18" x14ac:dyDescent="0.3">
      <c r="A1151" s="22" t="s">
        <v>2773</v>
      </c>
      <c r="B1151" s="23">
        <v>45370</v>
      </c>
      <c r="C1151" s="22" t="s">
        <v>425</v>
      </c>
      <c r="D1151" s="22" t="s">
        <v>216</v>
      </c>
      <c r="E1151" s="22" t="s">
        <v>2774</v>
      </c>
      <c r="F1151" s="24">
        <v>8</v>
      </c>
      <c r="G1151" s="24">
        <v>3570</v>
      </c>
      <c r="H1151" s="24">
        <v>10.8</v>
      </c>
      <c r="I1151" s="24">
        <v>25475.52</v>
      </c>
      <c r="J1151" s="22" t="s">
        <v>104</v>
      </c>
      <c r="K1151" s="22" t="s">
        <v>111</v>
      </c>
      <c r="L1151" t="str">
        <f>VLOOKUP(D1151,Products!A:F,3,FALSE())</f>
        <v>Electronics</v>
      </c>
      <c r="M1151" t="str">
        <f>VLOOKUP(C1151,Customers!A:F,5,FALSE())</f>
        <v>Retail</v>
      </c>
      <c r="O1151" t="str">
        <f>IFERROR(VLOOKUP(E1151,Sales_Reps!$A:$C,3,FALSE()),"")</f>
        <v/>
      </c>
      <c r="P1151">
        <f>IFERROR(VLOOKUP(C1151,Customers!$A:$C,3,FALSE()),"")</f>
        <v>26</v>
      </c>
      <c r="Q1151" t="str">
        <f t="shared" si="17"/>
        <v>Mar-24</v>
      </c>
      <c r="R1151">
        <f>IFERROR((VLOOKUP(D1151,Products!$A:$E,5,FALSE())-VLOOKUP(D1151,Products!$A:$E,4,FALSE()))/VLOOKUP(D1151,Products!$A:$E,5,FALSE()),"")</f>
        <v>0.53361344537815125</v>
      </c>
    </row>
    <row r="1152" spans="1:18" x14ac:dyDescent="0.3">
      <c r="A1152" s="22" t="s">
        <v>2775</v>
      </c>
      <c r="B1152" s="23">
        <v>45324</v>
      </c>
      <c r="C1152" s="22" t="s">
        <v>554</v>
      </c>
      <c r="D1152" s="22" t="s">
        <v>182</v>
      </c>
      <c r="E1152" s="22" t="s">
        <v>2776</v>
      </c>
      <c r="F1152" s="24">
        <v>10</v>
      </c>
      <c r="G1152" s="24">
        <v>3450</v>
      </c>
      <c r="H1152" s="24">
        <v>13.5</v>
      </c>
      <c r="I1152" s="24">
        <v>29842.5</v>
      </c>
      <c r="J1152" s="22" t="s">
        <v>110</v>
      </c>
      <c r="K1152" s="22" t="s">
        <v>134</v>
      </c>
      <c r="L1152" t="str">
        <f>VLOOKUP(D1152,Products!A:F,3,FALSE())</f>
        <v>Sports</v>
      </c>
      <c r="M1152" t="str">
        <f>VLOOKUP(C1152,Customers!A:F,5,FALSE())</f>
        <v>Retail</v>
      </c>
      <c r="O1152" t="str">
        <f>IFERROR(VLOOKUP(E1152,Sales_Reps!$A:$C,3,FALSE()),"")</f>
        <v/>
      </c>
      <c r="P1152">
        <f>IFERROR(VLOOKUP(C1152,Customers!$A:$C,3,FALSE()),"")</f>
        <v>55</v>
      </c>
      <c r="Q1152" t="str">
        <f t="shared" si="17"/>
        <v>Feb-24</v>
      </c>
      <c r="R1152">
        <f>IFERROR((VLOOKUP(D1152,Products!$A:$E,5,FALSE())-VLOOKUP(D1152,Products!$A:$E,4,FALSE()))/VLOOKUP(D1152,Products!$A:$E,5,FALSE()),"")</f>
        <v>0.28492753623188405</v>
      </c>
    </row>
    <row r="1153" spans="1:18" x14ac:dyDescent="0.3">
      <c r="A1153" s="22" t="s">
        <v>2777</v>
      </c>
      <c r="B1153" s="23">
        <v>45469</v>
      </c>
      <c r="C1153" s="22" t="s">
        <v>540</v>
      </c>
      <c r="D1153" s="22" t="s">
        <v>153</v>
      </c>
      <c r="E1153" s="22" t="s">
        <v>2778</v>
      </c>
      <c r="F1153" s="24">
        <v>10</v>
      </c>
      <c r="G1153" s="24">
        <v>2640</v>
      </c>
      <c r="H1153" s="24">
        <v>29.8</v>
      </c>
      <c r="I1153" s="24">
        <v>18532.8</v>
      </c>
      <c r="J1153" s="22" t="s">
        <v>104</v>
      </c>
      <c r="K1153" s="22" t="s">
        <v>116</v>
      </c>
      <c r="L1153" t="str">
        <f>VLOOKUP(D1153,Products!A:F,3,FALSE())</f>
        <v>Electronics</v>
      </c>
      <c r="M1153" t="str">
        <f>VLOOKUP(C1153,Customers!A:F,5,FALSE())</f>
        <v>Retail</v>
      </c>
      <c r="O1153" t="str">
        <f>IFERROR(VLOOKUP(E1153,Sales_Reps!$A:$C,3,FALSE()),"")</f>
        <v/>
      </c>
      <c r="P1153">
        <f>IFERROR(VLOOKUP(C1153,Customers!$A:$C,3,FALSE()),"")</f>
        <v>44</v>
      </c>
      <c r="Q1153" t="str">
        <f t="shared" si="17"/>
        <v>Jun-24</v>
      </c>
      <c r="R1153">
        <f>IFERROR((VLOOKUP(D1153,Products!$A:$E,5,FALSE())-VLOOKUP(D1153,Products!$A:$E,4,FALSE()))/VLOOKUP(D1153,Products!$A:$E,5,FALSE()),"")</f>
        <v>0.56477272727272732</v>
      </c>
    </row>
    <row r="1154" spans="1:18" x14ac:dyDescent="0.3">
      <c r="A1154" s="22" t="s">
        <v>2779</v>
      </c>
      <c r="B1154" s="23">
        <v>45619</v>
      </c>
      <c r="C1154" s="22" t="s">
        <v>301</v>
      </c>
      <c r="D1154" s="22" t="s">
        <v>127</v>
      </c>
      <c r="E1154" s="22" t="s">
        <v>2780</v>
      </c>
      <c r="F1154" s="24">
        <v>3</v>
      </c>
      <c r="G1154" s="24">
        <v>370</v>
      </c>
      <c r="H1154" s="24">
        <v>25.5</v>
      </c>
      <c r="I1154" s="24">
        <v>826.95</v>
      </c>
      <c r="J1154" s="22" t="s">
        <v>104</v>
      </c>
      <c r="K1154" s="22" t="s">
        <v>111</v>
      </c>
      <c r="L1154" t="str">
        <f>VLOOKUP(D1154,Products!A:F,3,FALSE())</f>
        <v>Home</v>
      </c>
      <c r="M1154" t="str">
        <f>VLOOKUP(C1154,Customers!A:F,5,FALSE())</f>
        <v>Retail</v>
      </c>
      <c r="O1154" t="str">
        <f>IFERROR(VLOOKUP(E1154,Sales_Reps!$A:$C,3,FALSE()),"")</f>
        <v/>
      </c>
      <c r="P1154">
        <f>IFERROR(VLOOKUP(C1154,Customers!$A:$C,3,FALSE()),"")</f>
        <v>24</v>
      </c>
      <c r="Q1154" t="str">
        <f t="shared" ref="Q1154:Q1217" si="18">TEXT(B1154,"mmm-yy")</f>
        <v>Nov-24</v>
      </c>
      <c r="R1154">
        <f>IFERROR((VLOOKUP(D1154,Products!$A:$E,5,FALSE())-VLOOKUP(D1154,Products!$A:$E,4,FALSE()))/VLOOKUP(D1154,Products!$A:$E,5,FALSE()),"")</f>
        <v>0.22162162162162163</v>
      </c>
    </row>
    <row r="1155" spans="1:18" x14ac:dyDescent="0.3">
      <c r="A1155" s="22" t="s">
        <v>2781</v>
      </c>
      <c r="B1155" s="23">
        <v>45627</v>
      </c>
      <c r="C1155" s="22" t="s">
        <v>677</v>
      </c>
      <c r="D1155" s="22" t="s">
        <v>319</v>
      </c>
      <c r="E1155" s="22" t="s">
        <v>2782</v>
      </c>
      <c r="F1155" s="24">
        <v>3</v>
      </c>
      <c r="G1155" s="24">
        <v>1220</v>
      </c>
      <c r="H1155" s="24">
        <v>7.7</v>
      </c>
      <c r="I1155" s="24">
        <v>3378.18</v>
      </c>
      <c r="J1155" s="22" t="s">
        <v>110</v>
      </c>
      <c r="K1155" s="22" t="s">
        <v>134</v>
      </c>
      <c r="L1155" t="str">
        <f>VLOOKUP(D1155,Products!A:F,3,FALSE())</f>
        <v>Electronics</v>
      </c>
      <c r="M1155" t="str">
        <f>VLOOKUP(C1155,Customers!A:F,5,FALSE())</f>
        <v>Corporate</v>
      </c>
      <c r="O1155" t="str">
        <f>IFERROR(VLOOKUP(E1155,Sales_Reps!$A:$C,3,FALSE()),"")</f>
        <v/>
      </c>
      <c r="P1155">
        <f>IFERROR(VLOOKUP(C1155,Customers!$A:$C,3,FALSE()),"")</f>
        <v>36</v>
      </c>
      <c r="Q1155" t="str">
        <f t="shared" si="18"/>
        <v>Dec-24</v>
      </c>
      <c r="R1155">
        <f>IFERROR((VLOOKUP(D1155,Products!$A:$E,5,FALSE())-VLOOKUP(D1155,Products!$A:$E,4,FALSE()))/VLOOKUP(D1155,Products!$A:$E,5,FALSE()),"")</f>
        <v>0.57622950819672136</v>
      </c>
    </row>
    <row r="1156" spans="1:18" x14ac:dyDescent="0.3">
      <c r="A1156" s="22" t="s">
        <v>2783</v>
      </c>
      <c r="B1156" s="23">
        <v>45499</v>
      </c>
      <c r="C1156" s="22" t="s">
        <v>599</v>
      </c>
      <c r="D1156" s="22" t="s">
        <v>153</v>
      </c>
      <c r="E1156" s="22" t="s">
        <v>2784</v>
      </c>
      <c r="F1156" s="24">
        <v>1</v>
      </c>
      <c r="G1156" s="24">
        <v>2640</v>
      </c>
      <c r="H1156" s="24">
        <v>23.6</v>
      </c>
      <c r="I1156" s="24">
        <v>2016.96</v>
      </c>
      <c r="J1156" s="22" t="s">
        <v>104</v>
      </c>
      <c r="K1156" s="22" t="s">
        <v>105</v>
      </c>
      <c r="L1156" t="str">
        <f>VLOOKUP(D1156,Products!A:F,3,FALSE())</f>
        <v>Electronics</v>
      </c>
      <c r="M1156" t="str">
        <f>VLOOKUP(C1156,Customers!A:F,5,FALSE())</f>
        <v>Retail</v>
      </c>
      <c r="O1156" t="str">
        <f>IFERROR(VLOOKUP(E1156,Sales_Reps!$A:$C,3,FALSE()),"")</f>
        <v/>
      </c>
      <c r="P1156">
        <f>IFERROR(VLOOKUP(C1156,Customers!$A:$C,3,FALSE()),"")</f>
        <v>29</v>
      </c>
      <c r="Q1156" t="str">
        <f t="shared" si="18"/>
        <v>Jul-24</v>
      </c>
      <c r="R1156">
        <f>IFERROR((VLOOKUP(D1156,Products!$A:$E,5,FALSE())-VLOOKUP(D1156,Products!$A:$E,4,FALSE()))/VLOOKUP(D1156,Products!$A:$E,5,FALSE()),"")</f>
        <v>0.56477272727272732</v>
      </c>
    </row>
    <row r="1157" spans="1:18" x14ac:dyDescent="0.3">
      <c r="A1157" s="22" t="s">
        <v>2785</v>
      </c>
      <c r="B1157" s="23">
        <v>45563</v>
      </c>
      <c r="C1157" s="22" t="s">
        <v>126</v>
      </c>
      <c r="D1157" s="22" t="s">
        <v>220</v>
      </c>
      <c r="E1157" s="22" t="s">
        <v>2786</v>
      </c>
      <c r="F1157" s="24">
        <v>9</v>
      </c>
      <c r="G1157" s="24">
        <v>5100</v>
      </c>
      <c r="H1157" s="24">
        <v>9.5</v>
      </c>
      <c r="I1157" s="24">
        <v>41539.5</v>
      </c>
      <c r="J1157" s="22" t="s">
        <v>104</v>
      </c>
      <c r="K1157" s="22" t="s">
        <v>129</v>
      </c>
      <c r="L1157" t="str">
        <f>VLOOKUP(D1157,Products!A:F,3,FALSE())</f>
        <v>Beauty</v>
      </c>
      <c r="M1157" t="str">
        <f>VLOOKUP(C1157,Customers!A:F,5,FALSE())</f>
        <v>Retail</v>
      </c>
      <c r="O1157" t="str">
        <f>IFERROR(VLOOKUP(E1157,Sales_Reps!$A:$C,3,FALSE()),"")</f>
        <v/>
      </c>
      <c r="P1157">
        <f>IFERROR(VLOOKUP(C1157,Customers!$A:$C,3,FALSE()),"")</f>
        <v>36</v>
      </c>
      <c r="Q1157" t="str">
        <f t="shared" si="18"/>
        <v>Sep-24</v>
      </c>
      <c r="R1157">
        <f>IFERROR((VLOOKUP(D1157,Products!$A:$E,5,FALSE())-VLOOKUP(D1157,Products!$A:$E,4,FALSE()))/VLOOKUP(D1157,Products!$A:$E,5,FALSE()),"")</f>
        <v>0.56137254901960787</v>
      </c>
    </row>
    <row r="1158" spans="1:18" x14ac:dyDescent="0.3">
      <c r="A1158" s="22" t="s">
        <v>2787</v>
      </c>
      <c r="B1158" s="23">
        <v>45435</v>
      </c>
      <c r="C1158" s="22" t="s">
        <v>1117</v>
      </c>
      <c r="D1158" s="22" t="s">
        <v>283</v>
      </c>
      <c r="E1158" s="22" t="s">
        <v>2788</v>
      </c>
      <c r="F1158" s="24">
        <v>7</v>
      </c>
      <c r="G1158" s="24">
        <v>6080</v>
      </c>
      <c r="H1158" s="24">
        <v>17.5</v>
      </c>
      <c r="I1158" s="24">
        <v>35112</v>
      </c>
      <c r="J1158" s="22" t="s">
        <v>104</v>
      </c>
      <c r="K1158" s="22" t="s">
        <v>111</v>
      </c>
      <c r="L1158" t="str">
        <f>VLOOKUP(D1158,Products!A:F,3,FALSE())</f>
        <v>Beauty</v>
      </c>
      <c r="M1158" t="str">
        <f>VLOOKUP(C1158,Customers!A:F,5,FALSE())</f>
        <v>SMB</v>
      </c>
      <c r="O1158" t="str">
        <f>IFERROR(VLOOKUP(E1158,Sales_Reps!$A:$C,3,FALSE()),"")</f>
        <v/>
      </c>
      <c r="P1158">
        <f>IFERROR(VLOOKUP(C1158,Customers!$A:$C,3,FALSE()),"")</f>
        <v>26</v>
      </c>
      <c r="Q1158" t="str">
        <f t="shared" si="18"/>
        <v>May-24</v>
      </c>
      <c r="R1158">
        <f>IFERROR((VLOOKUP(D1158,Products!$A:$E,5,FALSE())-VLOOKUP(D1158,Products!$A:$E,4,FALSE()))/VLOOKUP(D1158,Products!$A:$E,5,FALSE()),"")</f>
        <v>0.56957236842105263</v>
      </c>
    </row>
    <row r="1159" spans="1:18" x14ac:dyDescent="0.3">
      <c r="A1159" s="22" t="s">
        <v>2789</v>
      </c>
      <c r="B1159" s="23">
        <v>45602</v>
      </c>
      <c r="C1159" s="22" t="s">
        <v>648</v>
      </c>
      <c r="D1159" s="22" t="s">
        <v>338</v>
      </c>
      <c r="E1159" s="22" t="s">
        <v>2790</v>
      </c>
      <c r="F1159" s="24">
        <v>1</v>
      </c>
      <c r="G1159" s="24">
        <v>300</v>
      </c>
      <c r="H1159" s="24">
        <v>26.9</v>
      </c>
      <c r="I1159" s="24">
        <v>219.3</v>
      </c>
      <c r="J1159" s="22" t="s">
        <v>104</v>
      </c>
      <c r="K1159" s="22" t="s">
        <v>105</v>
      </c>
      <c r="L1159" t="str">
        <f>VLOOKUP(D1159,Products!A:F,3,FALSE())</f>
        <v>Electronics</v>
      </c>
      <c r="M1159" t="str">
        <f>VLOOKUP(C1159,Customers!A:F,5,FALSE())</f>
        <v>Corporate</v>
      </c>
      <c r="O1159" t="str">
        <f>IFERROR(VLOOKUP(E1159,Sales_Reps!$A:$C,3,FALSE()),"")</f>
        <v/>
      </c>
      <c r="P1159">
        <f>IFERROR(VLOOKUP(C1159,Customers!$A:$C,3,FALSE()),"")</f>
        <v>29</v>
      </c>
      <c r="Q1159" t="str">
        <f t="shared" si="18"/>
        <v>Nov-24</v>
      </c>
      <c r="R1159">
        <f>IFERROR((VLOOKUP(D1159,Products!$A:$E,5,FALSE())-VLOOKUP(D1159,Products!$A:$E,4,FALSE()))/VLOOKUP(D1159,Products!$A:$E,5,FALSE()),"")</f>
        <v>0.57333333333333336</v>
      </c>
    </row>
    <row r="1160" spans="1:18" x14ac:dyDescent="0.3">
      <c r="A1160" s="22" t="s">
        <v>2791</v>
      </c>
      <c r="B1160" s="23">
        <v>45650</v>
      </c>
      <c r="C1160" s="22" t="s">
        <v>491</v>
      </c>
      <c r="D1160" s="22" t="s">
        <v>330</v>
      </c>
      <c r="E1160" s="22" t="s">
        <v>2792</v>
      </c>
      <c r="F1160" s="24">
        <v>6</v>
      </c>
      <c r="G1160" s="24">
        <v>3020</v>
      </c>
      <c r="H1160" s="24">
        <v>28.5</v>
      </c>
      <c r="I1160" s="24">
        <v>12955.8</v>
      </c>
      <c r="J1160" s="22" t="s">
        <v>104</v>
      </c>
      <c r="K1160" s="22" t="s">
        <v>151</v>
      </c>
      <c r="L1160" t="str">
        <f>VLOOKUP(D1160,Products!A:F,3,FALSE())</f>
        <v>Beauty</v>
      </c>
      <c r="M1160" t="str">
        <f>VLOOKUP(C1160,Customers!A:F,5,FALSE())</f>
        <v>Retail</v>
      </c>
      <c r="O1160" t="str">
        <f>IFERROR(VLOOKUP(E1160,Sales_Reps!$A:$C,3,FALSE()),"")</f>
        <v/>
      </c>
      <c r="P1160">
        <f>IFERROR(VLOOKUP(C1160,Customers!$A:$C,3,FALSE()),"")</f>
        <v>44</v>
      </c>
      <c r="Q1160" t="str">
        <f t="shared" si="18"/>
        <v>Dec-24</v>
      </c>
      <c r="R1160">
        <f>IFERROR((VLOOKUP(D1160,Products!$A:$E,5,FALSE())-VLOOKUP(D1160,Products!$A:$E,4,FALSE()))/VLOOKUP(D1160,Products!$A:$E,5,FALSE()),"")</f>
        <v>0.46158940397350995</v>
      </c>
    </row>
    <row r="1161" spans="1:18" x14ac:dyDescent="0.3">
      <c r="A1161" s="22" t="s">
        <v>2793</v>
      </c>
      <c r="B1161" s="23">
        <v>45294</v>
      </c>
      <c r="C1161" s="22" t="s">
        <v>255</v>
      </c>
      <c r="D1161" s="22" t="s">
        <v>338</v>
      </c>
      <c r="E1161" s="22" t="s">
        <v>2794</v>
      </c>
      <c r="F1161" s="24">
        <v>8</v>
      </c>
      <c r="G1161" s="24">
        <v>300</v>
      </c>
      <c r="H1161" s="24">
        <v>1.2</v>
      </c>
      <c r="I1161" s="24">
        <v>2371.1999999999998</v>
      </c>
      <c r="J1161" s="22" t="s">
        <v>104</v>
      </c>
      <c r="K1161" s="22" t="s">
        <v>116</v>
      </c>
      <c r="L1161" t="str">
        <f>VLOOKUP(D1161,Products!A:F,3,FALSE())</f>
        <v>Electronics</v>
      </c>
      <c r="M1161" t="str">
        <f>VLOOKUP(C1161,Customers!A:F,5,FALSE())</f>
        <v>SMB</v>
      </c>
      <c r="O1161" t="str">
        <f>IFERROR(VLOOKUP(E1161,Sales_Reps!$A:$C,3,FALSE()),"")</f>
        <v/>
      </c>
      <c r="P1161">
        <f>IFERROR(VLOOKUP(C1161,Customers!$A:$C,3,FALSE()),"")</f>
        <v>50</v>
      </c>
      <c r="Q1161" t="str">
        <f t="shared" si="18"/>
        <v>Jan-24</v>
      </c>
      <c r="R1161">
        <f>IFERROR((VLOOKUP(D1161,Products!$A:$E,5,FALSE())-VLOOKUP(D1161,Products!$A:$E,4,FALSE()))/VLOOKUP(D1161,Products!$A:$E,5,FALSE()),"")</f>
        <v>0.57333333333333336</v>
      </c>
    </row>
    <row r="1162" spans="1:18" x14ac:dyDescent="0.3">
      <c r="A1162" s="22" t="s">
        <v>2795</v>
      </c>
      <c r="B1162" s="23">
        <v>45523</v>
      </c>
      <c r="C1162" s="22" t="s">
        <v>1246</v>
      </c>
      <c r="D1162" s="22" t="s">
        <v>205</v>
      </c>
      <c r="E1162" s="22" t="s">
        <v>2796</v>
      </c>
      <c r="F1162" s="24">
        <v>9</v>
      </c>
      <c r="G1162" s="24">
        <v>3350</v>
      </c>
      <c r="H1162" s="24">
        <v>0.6</v>
      </c>
      <c r="I1162" s="24">
        <v>29969.1</v>
      </c>
      <c r="J1162" s="22" t="s">
        <v>164</v>
      </c>
      <c r="K1162" s="22" t="s">
        <v>134</v>
      </c>
      <c r="L1162" t="str">
        <f>VLOOKUP(D1162,Products!A:F,3,FALSE())</f>
        <v>Beauty</v>
      </c>
      <c r="M1162" t="str">
        <f>VLOOKUP(C1162,Customers!A:F,5,FALSE())</f>
        <v>Retail</v>
      </c>
      <c r="O1162" t="str">
        <f>IFERROR(VLOOKUP(E1162,Sales_Reps!$A:$C,3,FALSE()),"")</f>
        <v/>
      </c>
      <c r="P1162">
        <f>IFERROR(VLOOKUP(C1162,Customers!$A:$C,3,FALSE()),"")</f>
        <v>37</v>
      </c>
      <c r="Q1162" t="str">
        <f t="shared" si="18"/>
        <v>Aug-24</v>
      </c>
      <c r="R1162">
        <f>IFERROR((VLOOKUP(D1162,Products!$A:$E,5,FALSE())-VLOOKUP(D1162,Products!$A:$E,4,FALSE()))/VLOOKUP(D1162,Products!$A:$E,5,FALSE()),"")</f>
        <v>0.48417910447761192</v>
      </c>
    </row>
    <row r="1163" spans="1:18" x14ac:dyDescent="0.3">
      <c r="A1163" s="22" t="s">
        <v>2797</v>
      </c>
      <c r="B1163" s="23">
        <v>45479</v>
      </c>
      <c r="C1163" s="22" t="s">
        <v>1544</v>
      </c>
      <c r="D1163" s="22" t="s">
        <v>315</v>
      </c>
      <c r="E1163" s="22" t="s">
        <v>2798</v>
      </c>
      <c r="F1163" s="24">
        <v>4</v>
      </c>
      <c r="G1163" s="24">
        <v>4070</v>
      </c>
      <c r="H1163" s="24">
        <v>10.1</v>
      </c>
      <c r="I1163" s="24">
        <v>14635.72</v>
      </c>
      <c r="J1163" s="22" t="s">
        <v>104</v>
      </c>
      <c r="K1163" s="22" t="s">
        <v>116</v>
      </c>
      <c r="L1163" t="str">
        <f>VLOOKUP(D1163,Products!A:F,3,FALSE())</f>
        <v>Grocery</v>
      </c>
      <c r="M1163" t="str">
        <f>VLOOKUP(C1163,Customers!A:F,5,FALSE())</f>
        <v>SMB</v>
      </c>
      <c r="O1163" t="str">
        <f>IFERROR(VLOOKUP(E1163,Sales_Reps!$A:$C,3,FALSE()),"")</f>
        <v/>
      </c>
      <c r="P1163">
        <f>IFERROR(VLOOKUP(C1163,Customers!$A:$C,3,FALSE()),"")</f>
        <v>45</v>
      </c>
      <c r="Q1163" t="str">
        <f t="shared" si="18"/>
        <v>Jul-24</v>
      </c>
      <c r="R1163">
        <f>IFERROR((VLOOKUP(D1163,Products!$A:$E,5,FALSE())-VLOOKUP(D1163,Products!$A:$E,4,FALSE()))/VLOOKUP(D1163,Products!$A:$E,5,FALSE()),"")</f>
        <v>0.50196560196560192</v>
      </c>
    </row>
    <row r="1164" spans="1:18" x14ac:dyDescent="0.3">
      <c r="A1164" s="22" t="s">
        <v>2799</v>
      </c>
      <c r="B1164" s="23">
        <v>45614</v>
      </c>
      <c r="C1164" s="22" t="s">
        <v>2125</v>
      </c>
      <c r="D1164" s="22" t="s">
        <v>605</v>
      </c>
      <c r="E1164" s="22" t="s">
        <v>2800</v>
      </c>
      <c r="F1164" s="24">
        <v>9</v>
      </c>
      <c r="G1164" s="24">
        <v>3780</v>
      </c>
      <c r="H1164" s="24">
        <v>27.8</v>
      </c>
      <c r="I1164" s="24">
        <v>24562.44</v>
      </c>
      <c r="J1164" s="22" t="s">
        <v>159</v>
      </c>
      <c r="K1164" s="22" t="s">
        <v>111</v>
      </c>
      <c r="L1164" t="str">
        <f>VLOOKUP(D1164,Products!A:F,3,FALSE())</f>
        <v>Sports</v>
      </c>
      <c r="M1164" t="str">
        <f>VLOOKUP(C1164,Customers!A:F,5,FALSE())</f>
        <v>SMB</v>
      </c>
      <c r="O1164" t="str">
        <f>IFERROR(VLOOKUP(E1164,Sales_Reps!$A:$C,3,FALSE()),"")</f>
        <v/>
      </c>
      <c r="P1164">
        <f>IFERROR(VLOOKUP(C1164,Customers!$A:$C,3,FALSE()),"")</f>
        <v>51</v>
      </c>
      <c r="Q1164" t="str">
        <f t="shared" si="18"/>
        <v>Nov-24</v>
      </c>
      <c r="R1164">
        <f>IFERROR((VLOOKUP(D1164,Products!$A:$E,5,FALSE())-VLOOKUP(D1164,Products!$A:$E,4,FALSE()))/VLOOKUP(D1164,Products!$A:$E,5,FALSE()),"")</f>
        <v>0.50793650793650791</v>
      </c>
    </row>
    <row r="1165" spans="1:18" x14ac:dyDescent="0.3">
      <c r="A1165" s="22" t="s">
        <v>2801</v>
      </c>
      <c r="B1165" s="23">
        <v>45407</v>
      </c>
      <c r="C1165" s="22" t="s">
        <v>223</v>
      </c>
      <c r="D1165" s="22" t="s">
        <v>186</v>
      </c>
      <c r="E1165" s="22" t="s">
        <v>2802</v>
      </c>
      <c r="F1165" s="24">
        <v>6</v>
      </c>
      <c r="G1165" s="24">
        <v>1080</v>
      </c>
      <c r="H1165" s="24">
        <v>17.5</v>
      </c>
      <c r="I1165" s="24">
        <v>5346</v>
      </c>
      <c r="J1165" s="22" t="s">
        <v>104</v>
      </c>
      <c r="K1165" s="22" t="s">
        <v>105</v>
      </c>
      <c r="L1165" t="str">
        <f>VLOOKUP(D1165,Products!A:F,3,FALSE())</f>
        <v>Home</v>
      </c>
      <c r="M1165" t="str">
        <f>VLOOKUP(C1165,Customers!A:F,5,FALSE())</f>
        <v>SMB</v>
      </c>
      <c r="O1165" t="str">
        <f>IFERROR(VLOOKUP(E1165,Sales_Reps!$A:$C,3,FALSE()),"")</f>
        <v/>
      </c>
      <c r="P1165">
        <f>IFERROR(VLOOKUP(C1165,Customers!$A:$C,3,FALSE()),"")</f>
        <v>44</v>
      </c>
      <c r="Q1165" t="str">
        <f t="shared" si="18"/>
        <v>Apr-24</v>
      </c>
      <c r="R1165">
        <f>IFERROR((VLOOKUP(D1165,Products!$A:$E,5,FALSE())-VLOOKUP(D1165,Products!$A:$E,4,FALSE()))/VLOOKUP(D1165,Products!$A:$E,5,FALSE()),"")</f>
        <v>0.51944444444444449</v>
      </c>
    </row>
    <row r="1166" spans="1:18" x14ac:dyDescent="0.3">
      <c r="A1166" s="22" t="s">
        <v>2803</v>
      </c>
      <c r="B1166" s="23">
        <v>45603</v>
      </c>
      <c r="C1166" s="22" t="s">
        <v>554</v>
      </c>
      <c r="D1166" s="22" t="s">
        <v>157</v>
      </c>
      <c r="E1166" s="22" t="s">
        <v>2804</v>
      </c>
      <c r="F1166" s="24">
        <v>3</v>
      </c>
      <c r="G1166" s="24">
        <v>2600</v>
      </c>
      <c r="H1166" s="24">
        <v>1.9</v>
      </c>
      <c r="I1166" s="24">
        <v>7651.8</v>
      </c>
      <c r="J1166" s="22" t="s">
        <v>104</v>
      </c>
      <c r="K1166" s="22" t="s">
        <v>134</v>
      </c>
      <c r="L1166" t="str">
        <f>VLOOKUP(D1166,Products!A:F,3,FALSE())</f>
        <v>Electronics</v>
      </c>
      <c r="M1166" t="str">
        <f>VLOOKUP(C1166,Customers!A:F,5,FALSE())</f>
        <v>Retail</v>
      </c>
      <c r="O1166" t="str">
        <f>IFERROR(VLOOKUP(E1166,Sales_Reps!$A:$C,3,FALSE()),"")</f>
        <v/>
      </c>
      <c r="P1166">
        <f>IFERROR(VLOOKUP(C1166,Customers!$A:$C,3,FALSE()),"")</f>
        <v>55</v>
      </c>
      <c r="Q1166" t="str">
        <f t="shared" si="18"/>
        <v>Nov-24</v>
      </c>
      <c r="R1166">
        <f>IFERROR((VLOOKUP(D1166,Products!$A:$E,5,FALSE())-VLOOKUP(D1166,Products!$A:$E,4,FALSE()))/VLOOKUP(D1166,Products!$A:$E,5,FALSE()),"")</f>
        <v>0.5953846153846154</v>
      </c>
    </row>
    <row r="1167" spans="1:18" x14ac:dyDescent="0.3">
      <c r="A1167" s="22" t="s">
        <v>2805</v>
      </c>
      <c r="B1167" s="23">
        <v>45375</v>
      </c>
      <c r="C1167" s="22" t="s">
        <v>1175</v>
      </c>
      <c r="D1167" s="22" t="s">
        <v>197</v>
      </c>
      <c r="E1167" s="22" t="s">
        <v>2806</v>
      </c>
      <c r="F1167" s="24">
        <v>5</v>
      </c>
      <c r="G1167" s="24">
        <v>2720</v>
      </c>
      <c r="H1167" s="24">
        <v>1.8</v>
      </c>
      <c r="I1167" s="24">
        <v>13355.2</v>
      </c>
      <c r="J1167" s="22" t="s">
        <v>159</v>
      </c>
      <c r="K1167" s="22" t="s">
        <v>116</v>
      </c>
      <c r="L1167" t="str">
        <f>VLOOKUP(D1167,Products!A:F,3,FALSE())</f>
        <v>Apparel</v>
      </c>
      <c r="M1167" t="str">
        <f>VLOOKUP(C1167,Customers!A:F,5,FALSE())</f>
        <v>Retail</v>
      </c>
      <c r="O1167" t="str">
        <f>IFERROR(VLOOKUP(E1167,Sales_Reps!$A:$C,3,FALSE()),"")</f>
        <v/>
      </c>
      <c r="P1167">
        <f>IFERROR(VLOOKUP(C1167,Customers!$A:$C,3,FALSE()),"")</f>
        <v>63</v>
      </c>
      <c r="Q1167" t="str">
        <f t="shared" si="18"/>
        <v>Mar-24</v>
      </c>
      <c r="R1167">
        <f>IFERROR((VLOOKUP(D1167,Products!$A:$E,5,FALSE())-VLOOKUP(D1167,Products!$A:$E,4,FALSE()))/VLOOKUP(D1167,Products!$A:$E,5,FALSE()),"")</f>
        <v>0.2786764705882353</v>
      </c>
    </row>
    <row r="1168" spans="1:18" x14ac:dyDescent="0.3">
      <c r="A1168" s="22" t="s">
        <v>2807</v>
      </c>
      <c r="B1168" s="23">
        <v>45485</v>
      </c>
      <c r="C1168" s="22" t="s">
        <v>476</v>
      </c>
      <c r="D1168" s="22" t="s">
        <v>119</v>
      </c>
      <c r="E1168" s="22" t="s">
        <v>2808</v>
      </c>
      <c r="F1168" s="24">
        <v>8</v>
      </c>
      <c r="G1168" s="24">
        <v>3660</v>
      </c>
      <c r="H1168" s="24">
        <v>29.5</v>
      </c>
      <c r="I1168" s="24">
        <v>20642.400000000001</v>
      </c>
      <c r="J1168" s="22" t="s">
        <v>104</v>
      </c>
      <c r="K1168" s="22" t="s">
        <v>111</v>
      </c>
      <c r="L1168" t="str">
        <f>VLOOKUP(D1168,Products!A:F,3,FALSE())</f>
        <v>Grocery</v>
      </c>
      <c r="M1168" t="str">
        <f>VLOOKUP(C1168,Customers!A:F,5,FALSE())</f>
        <v>SMB</v>
      </c>
      <c r="O1168" t="str">
        <f>IFERROR(VLOOKUP(E1168,Sales_Reps!$A:$C,3,FALSE()),"")</f>
        <v/>
      </c>
      <c r="P1168">
        <f>IFERROR(VLOOKUP(C1168,Customers!$A:$C,3,FALSE()),"")</f>
        <v>53</v>
      </c>
      <c r="Q1168" t="str">
        <f t="shared" si="18"/>
        <v>Jul-24</v>
      </c>
      <c r="R1168">
        <f>IFERROR((VLOOKUP(D1168,Products!$A:$E,5,FALSE())-VLOOKUP(D1168,Products!$A:$E,4,FALSE()))/VLOOKUP(D1168,Products!$A:$E,5,FALSE()),"")</f>
        <v>0.39508196721311473</v>
      </c>
    </row>
    <row r="1169" spans="1:18" x14ac:dyDescent="0.3">
      <c r="A1169" s="22" t="s">
        <v>2809</v>
      </c>
      <c r="B1169" s="23">
        <v>45567</v>
      </c>
      <c r="C1169" s="22" t="s">
        <v>487</v>
      </c>
      <c r="D1169" s="22" t="s">
        <v>201</v>
      </c>
      <c r="E1169" s="22" t="s">
        <v>2810</v>
      </c>
      <c r="F1169" s="24">
        <v>9</v>
      </c>
      <c r="G1169" s="24">
        <v>1650</v>
      </c>
      <c r="H1169" s="24">
        <v>19.8</v>
      </c>
      <c r="I1169" s="24">
        <v>11909.7</v>
      </c>
      <c r="J1169" s="22" t="s">
        <v>164</v>
      </c>
      <c r="K1169" s="22" t="s">
        <v>134</v>
      </c>
      <c r="L1169" t="str">
        <f>VLOOKUP(D1169,Products!A:F,3,FALSE())</f>
        <v>Beauty</v>
      </c>
      <c r="M1169" t="str">
        <f>VLOOKUP(C1169,Customers!A:F,5,FALSE())</f>
        <v>Retail</v>
      </c>
      <c r="O1169" t="str">
        <f>IFERROR(VLOOKUP(E1169,Sales_Reps!$A:$C,3,FALSE()),"")</f>
        <v/>
      </c>
      <c r="P1169">
        <f>IFERROR(VLOOKUP(C1169,Customers!$A:$C,3,FALSE()),"")</f>
        <v>23</v>
      </c>
      <c r="Q1169" t="str">
        <f t="shared" si="18"/>
        <v>Oct-24</v>
      </c>
      <c r="R1169">
        <f>IFERROR((VLOOKUP(D1169,Products!$A:$E,5,FALSE())-VLOOKUP(D1169,Products!$A:$E,4,FALSE()))/VLOOKUP(D1169,Products!$A:$E,5,FALSE()),"")</f>
        <v>0.2593939393939394</v>
      </c>
    </row>
    <row r="1170" spans="1:18" x14ac:dyDescent="0.3">
      <c r="A1170" s="22" t="s">
        <v>2811</v>
      </c>
      <c r="B1170" s="23">
        <v>45502</v>
      </c>
      <c r="C1170" s="22" t="s">
        <v>411</v>
      </c>
      <c r="D1170" s="22" t="s">
        <v>224</v>
      </c>
      <c r="E1170" s="22" t="s">
        <v>2812</v>
      </c>
      <c r="F1170" s="24">
        <v>3</v>
      </c>
      <c r="G1170" s="24">
        <v>2860</v>
      </c>
      <c r="H1170" s="24">
        <v>22.7</v>
      </c>
      <c r="I1170" s="24">
        <v>6632.34</v>
      </c>
      <c r="J1170" s="22" t="s">
        <v>104</v>
      </c>
      <c r="K1170" s="22" t="s">
        <v>151</v>
      </c>
      <c r="L1170" t="str">
        <f>VLOOKUP(D1170,Products!A:F,3,FALSE())</f>
        <v>Sports</v>
      </c>
      <c r="M1170" t="str">
        <f>VLOOKUP(C1170,Customers!A:F,5,FALSE())</f>
        <v>SMB</v>
      </c>
      <c r="O1170" t="str">
        <f>IFERROR(VLOOKUP(E1170,Sales_Reps!$A:$C,3,FALSE()),"")</f>
        <v/>
      </c>
      <c r="P1170">
        <f>IFERROR(VLOOKUP(C1170,Customers!$A:$C,3,FALSE()),"")</f>
        <v>65</v>
      </c>
      <c r="Q1170" t="str">
        <f t="shared" si="18"/>
        <v>Jul-24</v>
      </c>
      <c r="R1170">
        <f>IFERROR((VLOOKUP(D1170,Products!$A:$E,5,FALSE())-VLOOKUP(D1170,Products!$A:$E,4,FALSE()))/VLOOKUP(D1170,Products!$A:$E,5,FALSE()),"")</f>
        <v>0.29090909090909089</v>
      </c>
    </row>
    <row r="1171" spans="1:18" x14ac:dyDescent="0.3">
      <c r="A1171" s="22" t="s">
        <v>2813</v>
      </c>
      <c r="B1171" s="23">
        <v>45429</v>
      </c>
      <c r="C1171" s="22" t="s">
        <v>1627</v>
      </c>
      <c r="D1171" s="22" t="s">
        <v>182</v>
      </c>
      <c r="E1171" s="22" t="s">
        <v>2814</v>
      </c>
      <c r="F1171" s="24">
        <v>4</v>
      </c>
      <c r="G1171" s="24">
        <v>3450</v>
      </c>
      <c r="H1171" s="24">
        <v>9.1999999999999993</v>
      </c>
      <c r="I1171" s="24">
        <v>12530.4</v>
      </c>
      <c r="J1171" s="22" t="s">
        <v>104</v>
      </c>
      <c r="K1171" s="22" t="s">
        <v>151</v>
      </c>
      <c r="L1171" t="str">
        <f>VLOOKUP(D1171,Products!A:F,3,FALSE())</f>
        <v>Sports</v>
      </c>
      <c r="M1171" t="str">
        <f>VLOOKUP(C1171,Customers!A:F,5,FALSE())</f>
        <v>Retail</v>
      </c>
      <c r="O1171" t="str">
        <f>IFERROR(VLOOKUP(E1171,Sales_Reps!$A:$C,3,FALSE()),"")</f>
        <v/>
      </c>
      <c r="P1171">
        <f>IFERROR(VLOOKUP(C1171,Customers!$A:$C,3,FALSE()),"")</f>
        <v>41</v>
      </c>
      <c r="Q1171" t="str">
        <f t="shared" si="18"/>
        <v>May-24</v>
      </c>
      <c r="R1171">
        <f>IFERROR((VLOOKUP(D1171,Products!$A:$E,5,FALSE())-VLOOKUP(D1171,Products!$A:$E,4,FALSE()))/VLOOKUP(D1171,Products!$A:$E,5,FALSE()),"")</f>
        <v>0.28492753623188405</v>
      </c>
    </row>
    <row r="1172" spans="1:18" x14ac:dyDescent="0.3">
      <c r="A1172" s="22" t="s">
        <v>2815</v>
      </c>
      <c r="B1172" s="23">
        <v>45405</v>
      </c>
      <c r="C1172" s="22" t="s">
        <v>329</v>
      </c>
      <c r="D1172" s="22" t="s">
        <v>356</v>
      </c>
      <c r="E1172" s="22" t="s">
        <v>2816</v>
      </c>
      <c r="F1172" s="24">
        <v>4</v>
      </c>
      <c r="G1172" s="24">
        <v>2030</v>
      </c>
      <c r="H1172" s="24">
        <v>17.100000000000001</v>
      </c>
      <c r="I1172" s="24">
        <v>6731.48</v>
      </c>
      <c r="J1172" s="22" t="s">
        <v>104</v>
      </c>
      <c r="K1172" s="22" t="s">
        <v>105</v>
      </c>
      <c r="L1172" t="str">
        <f>VLOOKUP(D1172,Products!A:F,3,FALSE())</f>
        <v>Home</v>
      </c>
      <c r="M1172" t="str">
        <f>VLOOKUP(C1172,Customers!A:F,5,FALSE())</f>
        <v>Retail</v>
      </c>
      <c r="O1172" t="str">
        <f>IFERROR(VLOOKUP(E1172,Sales_Reps!$A:$C,3,FALSE()),"")</f>
        <v/>
      </c>
      <c r="P1172">
        <f>IFERROR(VLOOKUP(C1172,Customers!$A:$C,3,FALSE()),"")</f>
        <v>44</v>
      </c>
      <c r="Q1172" t="str">
        <f t="shared" si="18"/>
        <v>Apr-24</v>
      </c>
      <c r="R1172">
        <f>IFERROR((VLOOKUP(D1172,Products!$A:$E,5,FALSE())-VLOOKUP(D1172,Products!$A:$E,4,FALSE()))/VLOOKUP(D1172,Products!$A:$E,5,FALSE()),"")</f>
        <v>0.43694581280788175</v>
      </c>
    </row>
    <row r="1173" spans="1:18" x14ac:dyDescent="0.3">
      <c r="A1173" s="22" t="s">
        <v>2817</v>
      </c>
      <c r="B1173" s="23">
        <v>45401</v>
      </c>
      <c r="C1173" s="22" t="s">
        <v>529</v>
      </c>
      <c r="D1173" s="22" t="s">
        <v>289</v>
      </c>
      <c r="E1173" s="22" t="s">
        <v>2818</v>
      </c>
      <c r="F1173" s="24">
        <v>4</v>
      </c>
      <c r="G1173" s="24">
        <v>2270</v>
      </c>
      <c r="H1173" s="24">
        <v>27.3</v>
      </c>
      <c r="I1173" s="24">
        <v>6601.16</v>
      </c>
      <c r="J1173" s="22" t="s">
        <v>104</v>
      </c>
      <c r="K1173" s="22" t="s">
        <v>105</v>
      </c>
      <c r="L1173" t="str">
        <f>VLOOKUP(D1173,Products!A:F,3,FALSE())</f>
        <v>Grocery</v>
      </c>
      <c r="M1173" t="str">
        <f>VLOOKUP(C1173,Customers!A:F,5,FALSE())</f>
        <v>Retail</v>
      </c>
      <c r="O1173" t="str">
        <f>IFERROR(VLOOKUP(E1173,Sales_Reps!$A:$C,3,FALSE()),"")</f>
        <v/>
      </c>
      <c r="P1173">
        <f>IFERROR(VLOOKUP(C1173,Customers!$A:$C,3,FALSE()),"")</f>
        <v>22</v>
      </c>
      <c r="Q1173" t="str">
        <f t="shared" si="18"/>
        <v>Apr-24</v>
      </c>
      <c r="R1173">
        <f>IFERROR((VLOOKUP(D1173,Products!$A:$E,5,FALSE())-VLOOKUP(D1173,Products!$A:$E,4,FALSE()))/VLOOKUP(D1173,Products!$A:$E,5,FALSE()),"")</f>
        <v>0.37797356828193834</v>
      </c>
    </row>
    <row r="1174" spans="1:18" x14ac:dyDescent="0.3">
      <c r="A1174" s="22" t="s">
        <v>2819</v>
      </c>
      <c r="B1174" s="23">
        <v>45373</v>
      </c>
      <c r="C1174" s="22" t="s">
        <v>611</v>
      </c>
      <c r="D1174" s="22" t="s">
        <v>577</v>
      </c>
      <c r="E1174" s="22" t="s">
        <v>2820</v>
      </c>
      <c r="F1174" s="24">
        <v>9</v>
      </c>
      <c r="G1174" s="24">
        <v>5080</v>
      </c>
      <c r="H1174" s="24">
        <v>10.9</v>
      </c>
      <c r="I1174" s="24">
        <v>40736.519999999997</v>
      </c>
      <c r="J1174" s="22" t="s">
        <v>104</v>
      </c>
      <c r="K1174" s="22" t="s">
        <v>129</v>
      </c>
      <c r="L1174" t="str">
        <f>VLOOKUP(D1174,Products!A:F,3,FALSE())</f>
        <v>Home</v>
      </c>
      <c r="M1174" t="str">
        <f>VLOOKUP(C1174,Customers!A:F,5,FALSE())</f>
        <v>Retail</v>
      </c>
      <c r="O1174" t="str">
        <f>IFERROR(VLOOKUP(E1174,Sales_Reps!$A:$C,3,FALSE()),"")</f>
        <v/>
      </c>
      <c r="P1174">
        <f>IFERROR(VLOOKUP(C1174,Customers!$A:$C,3,FALSE()),"")</f>
        <v>61</v>
      </c>
      <c r="Q1174" t="str">
        <f t="shared" si="18"/>
        <v>Mar-24</v>
      </c>
      <c r="R1174">
        <f>IFERROR((VLOOKUP(D1174,Products!$A:$E,5,FALSE())-VLOOKUP(D1174,Products!$A:$E,4,FALSE()))/VLOOKUP(D1174,Products!$A:$E,5,FALSE()),"")</f>
        <v>0.51594488188976373</v>
      </c>
    </row>
    <row r="1175" spans="1:18" x14ac:dyDescent="0.3">
      <c r="A1175" s="22" t="s">
        <v>2821</v>
      </c>
      <c r="B1175" s="23">
        <v>45602</v>
      </c>
      <c r="C1175" s="22" t="s">
        <v>1154</v>
      </c>
      <c r="D1175" s="22" t="s">
        <v>315</v>
      </c>
      <c r="E1175" s="22" t="s">
        <v>2822</v>
      </c>
      <c r="F1175" s="24">
        <v>8</v>
      </c>
      <c r="G1175" s="24">
        <v>4070</v>
      </c>
      <c r="H1175" s="24">
        <v>17.7</v>
      </c>
      <c r="I1175" s="24">
        <v>26796.880000000001</v>
      </c>
      <c r="J1175" s="22" t="s">
        <v>104</v>
      </c>
      <c r="K1175" s="22" t="s">
        <v>105</v>
      </c>
      <c r="L1175" t="str">
        <f>VLOOKUP(D1175,Products!A:F,3,FALSE())</f>
        <v>Grocery</v>
      </c>
      <c r="M1175" t="str">
        <f>VLOOKUP(C1175,Customers!A:F,5,FALSE())</f>
        <v>Retail</v>
      </c>
      <c r="O1175" t="str">
        <f>IFERROR(VLOOKUP(E1175,Sales_Reps!$A:$C,3,FALSE()),"")</f>
        <v/>
      </c>
      <c r="P1175">
        <f>IFERROR(VLOOKUP(C1175,Customers!$A:$C,3,FALSE()),"")</f>
        <v>31</v>
      </c>
      <c r="Q1175" t="str">
        <f t="shared" si="18"/>
        <v>Nov-24</v>
      </c>
      <c r="R1175">
        <f>IFERROR((VLOOKUP(D1175,Products!$A:$E,5,FALSE())-VLOOKUP(D1175,Products!$A:$E,4,FALSE()))/VLOOKUP(D1175,Products!$A:$E,5,FALSE()),"")</f>
        <v>0.50196560196560192</v>
      </c>
    </row>
    <row r="1176" spans="1:18" x14ac:dyDescent="0.3">
      <c r="A1176" s="22" t="s">
        <v>2823</v>
      </c>
      <c r="B1176" s="23">
        <v>45372</v>
      </c>
      <c r="C1176" s="22" t="s">
        <v>543</v>
      </c>
      <c r="D1176" s="22" t="s">
        <v>308</v>
      </c>
      <c r="E1176" s="22" t="s">
        <v>2824</v>
      </c>
      <c r="F1176" s="24">
        <v>1</v>
      </c>
      <c r="G1176" s="24">
        <v>1540</v>
      </c>
      <c r="H1176" s="24">
        <v>0.9</v>
      </c>
      <c r="I1176" s="24">
        <v>1526.14</v>
      </c>
      <c r="J1176" s="22" t="s">
        <v>104</v>
      </c>
      <c r="K1176" s="22" t="s">
        <v>111</v>
      </c>
      <c r="L1176" t="str">
        <f>VLOOKUP(D1176,Products!A:F,3,FALSE())</f>
        <v>Beauty</v>
      </c>
      <c r="M1176" t="str">
        <f>VLOOKUP(C1176,Customers!A:F,5,FALSE())</f>
        <v>SMB</v>
      </c>
      <c r="O1176" t="str">
        <f>IFERROR(VLOOKUP(E1176,Sales_Reps!$A:$C,3,FALSE()),"")</f>
        <v/>
      </c>
      <c r="P1176">
        <f>IFERROR(VLOOKUP(C1176,Customers!$A:$C,3,FALSE()),"")</f>
        <v>64</v>
      </c>
      <c r="Q1176" t="str">
        <f t="shared" si="18"/>
        <v>Mar-24</v>
      </c>
      <c r="R1176">
        <f>IFERROR((VLOOKUP(D1176,Products!$A:$E,5,FALSE())-VLOOKUP(D1176,Products!$A:$E,4,FALSE()))/VLOOKUP(D1176,Products!$A:$E,5,FALSE()),"")</f>
        <v>0.57987012987012987</v>
      </c>
    </row>
    <row r="1177" spans="1:18" x14ac:dyDescent="0.3">
      <c r="A1177" s="22" t="s">
        <v>2825</v>
      </c>
      <c r="B1177" s="23">
        <v>45416</v>
      </c>
      <c r="C1177" s="22" t="s">
        <v>2826</v>
      </c>
      <c r="D1177" s="22" t="s">
        <v>220</v>
      </c>
      <c r="E1177" s="22" t="s">
        <v>2827</v>
      </c>
      <c r="F1177" s="24">
        <v>10</v>
      </c>
      <c r="G1177" s="24">
        <v>5100</v>
      </c>
      <c r="H1177" s="24">
        <v>3</v>
      </c>
      <c r="I1177" s="24">
        <v>49470</v>
      </c>
      <c r="J1177" s="22" t="s">
        <v>104</v>
      </c>
      <c r="K1177" s="22" t="s">
        <v>134</v>
      </c>
      <c r="L1177" t="str">
        <f>VLOOKUP(D1177,Products!A:F,3,FALSE())</f>
        <v>Beauty</v>
      </c>
      <c r="M1177" t="str">
        <f>VLOOKUP(C1177,Customers!A:F,5,FALSE())</f>
        <v>Retail</v>
      </c>
      <c r="O1177" t="str">
        <f>IFERROR(VLOOKUP(E1177,Sales_Reps!$A:$C,3,FALSE()),"")</f>
        <v/>
      </c>
      <c r="P1177">
        <f>IFERROR(VLOOKUP(C1177,Customers!$A:$C,3,FALSE()),"")</f>
        <v>48</v>
      </c>
      <c r="Q1177" t="str">
        <f t="shared" si="18"/>
        <v>May-24</v>
      </c>
      <c r="R1177">
        <f>IFERROR((VLOOKUP(D1177,Products!$A:$E,5,FALSE())-VLOOKUP(D1177,Products!$A:$E,4,FALSE()))/VLOOKUP(D1177,Products!$A:$E,5,FALSE()),"")</f>
        <v>0.56137254901960787</v>
      </c>
    </row>
    <row r="1178" spans="1:18" x14ac:dyDescent="0.3">
      <c r="A1178" s="22" t="s">
        <v>2828</v>
      </c>
      <c r="B1178" s="23">
        <v>45656</v>
      </c>
      <c r="C1178" s="22" t="s">
        <v>802</v>
      </c>
      <c r="D1178" s="22" t="s">
        <v>102</v>
      </c>
      <c r="E1178" s="22" t="s">
        <v>2829</v>
      </c>
      <c r="F1178" s="24">
        <v>6</v>
      </c>
      <c r="G1178" s="24">
        <v>3620</v>
      </c>
      <c r="H1178" s="24">
        <v>20.2</v>
      </c>
      <c r="I1178" s="24">
        <v>17332.560000000001</v>
      </c>
      <c r="J1178" s="22" t="s">
        <v>104</v>
      </c>
      <c r="K1178" s="22" t="s">
        <v>105</v>
      </c>
      <c r="L1178" t="str">
        <f>VLOOKUP(D1178,Products!A:F,3,FALSE())</f>
        <v>Apparel</v>
      </c>
      <c r="M1178" t="str">
        <f>VLOOKUP(C1178,Customers!A:F,5,FALSE())</f>
        <v>Corporate</v>
      </c>
      <c r="O1178" t="str">
        <f>IFERROR(VLOOKUP(E1178,Sales_Reps!$A:$C,3,FALSE()),"")</f>
        <v/>
      </c>
      <c r="P1178">
        <f>IFERROR(VLOOKUP(C1178,Customers!$A:$C,3,FALSE()),"")</f>
        <v>40</v>
      </c>
      <c r="Q1178" t="str">
        <f t="shared" si="18"/>
        <v>Dec-24</v>
      </c>
      <c r="R1178">
        <f>IFERROR((VLOOKUP(D1178,Products!$A:$E,5,FALSE())-VLOOKUP(D1178,Products!$A:$E,4,FALSE()))/VLOOKUP(D1178,Products!$A:$E,5,FALSE()),"")</f>
        <v>0.3069060773480663</v>
      </c>
    </row>
    <row r="1179" spans="1:18" x14ac:dyDescent="0.3">
      <c r="A1179" s="22" t="s">
        <v>2830</v>
      </c>
      <c r="B1179" s="23">
        <v>45324</v>
      </c>
      <c r="C1179" s="22" t="s">
        <v>144</v>
      </c>
      <c r="D1179" s="22" t="s">
        <v>212</v>
      </c>
      <c r="E1179" s="22" t="s">
        <v>2831</v>
      </c>
      <c r="F1179" s="24">
        <v>7</v>
      </c>
      <c r="G1179" s="24">
        <v>4880</v>
      </c>
      <c r="H1179" s="24">
        <v>5</v>
      </c>
      <c r="I1179" s="24">
        <v>32452</v>
      </c>
      <c r="J1179" s="22" t="s">
        <v>104</v>
      </c>
      <c r="K1179" s="22" t="s">
        <v>105</v>
      </c>
      <c r="L1179" t="str">
        <f>VLOOKUP(D1179,Products!A:F,3,FALSE())</f>
        <v>Beauty</v>
      </c>
      <c r="M1179" t="str">
        <f>VLOOKUP(C1179,Customers!A:F,5,FALSE())</f>
        <v>Retail</v>
      </c>
      <c r="O1179" t="str">
        <f>IFERROR(VLOOKUP(E1179,Sales_Reps!$A:$C,3,FALSE()),"")</f>
        <v/>
      </c>
      <c r="P1179">
        <f>IFERROR(VLOOKUP(C1179,Customers!$A:$C,3,FALSE()),"")</f>
        <v>56</v>
      </c>
      <c r="Q1179" t="str">
        <f t="shared" si="18"/>
        <v>Feb-24</v>
      </c>
      <c r="R1179">
        <f>IFERROR((VLOOKUP(D1179,Products!$A:$E,5,FALSE())-VLOOKUP(D1179,Products!$A:$E,4,FALSE()))/VLOOKUP(D1179,Products!$A:$E,5,FALSE()),"")</f>
        <v>0.43278688524590164</v>
      </c>
    </row>
    <row r="1180" spans="1:18" x14ac:dyDescent="0.3">
      <c r="A1180" s="22" t="s">
        <v>2832</v>
      </c>
      <c r="B1180" s="23">
        <v>45472</v>
      </c>
      <c r="C1180" s="22" t="s">
        <v>223</v>
      </c>
      <c r="D1180" s="22" t="s">
        <v>153</v>
      </c>
      <c r="E1180" s="22" t="s">
        <v>2833</v>
      </c>
      <c r="F1180" s="24">
        <v>1</v>
      </c>
      <c r="G1180" s="24">
        <v>2640</v>
      </c>
      <c r="H1180" s="24">
        <v>4.0999999999999996</v>
      </c>
      <c r="I1180" s="24">
        <v>2531.7600000000002</v>
      </c>
      <c r="J1180" s="22" t="s">
        <v>104</v>
      </c>
      <c r="K1180" s="22" t="s">
        <v>105</v>
      </c>
      <c r="L1180" t="str">
        <f>VLOOKUP(D1180,Products!A:F,3,FALSE())</f>
        <v>Electronics</v>
      </c>
      <c r="M1180" t="str">
        <f>VLOOKUP(C1180,Customers!A:F,5,FALSE())</f>
        <v>SMB</v>
      </c>
      <c r="O1180" t="str">
        <f>IFERROR(VLOOKUP(E1180,Sales_Reps!$A:$C,3,FALSE()),"")</f>
        <v/>
      </c>
      <c r="P1180">
        <f>IFERROR(VLOOKUP(C1180,Customers!$A:$C,3,FALSE()),"")</f>
        <v>44</v>
      </c>
      <c r="Q1180" t="str">
        <f t="shared" si="18"/>
        <v>Jun-24</v>
      </c>
      <c r="R1180">
        <f>IFERROR((VLOOKUP(D1180,Products!$A:$E,5,FALSE())-VLOOKUP(D1180,Products!$A:$E,4,FALSE()))/VLOOKUP(D1180,Products!$A:$E,5,FALSE()),"")</f>
        <v>0.56477272727272732</v>
      </c>
    </row>
    <row r="1181" spans="1:18" x14ac:dyDescent="0.3">
      <c r="A1181" s="22" t="s">
        <v>2834</v>
      </c>
      <c r="B1181" s="23">
        <v>45508</v>
      </c>
      <c r="C1181" s="22" t="s">
        <v>314</v>
      </c>
      <c r="D1181" s="22" t="s">
        <v>315</v>
      </c>
      <c r="E1181" s="22" t="s">
        <v>2835</v>
      </c>
      <c r="F1181" s="24">
        <v>9</v>
      </c>
      <c r="G1181" s="24">
        <v>4070</v>
      </c>
      <c r="H1181" s="24">
        <v>4.4000000000000004</v>
      </c>
      <c r="I1181" s="24">
        <v>35018.28</v>
      </c>
      <c r="J1181" s="22" t="s">
        <v>104</v>
      </c>
      <c r="K1181" s="22" t="s">
        <v>151</v>
      </c>
      <c r="L1181" t="str">
        <f>VLOOKUP(D1181,Products!A:F,3,FALSE())</f>
        <v>Grocery</v>
      </c>
      <c r="M1181" t="str">
        <f>VLOOKUP(C1181,Customers!A:F,5,FALSE())</f>
        <v>Retail</v>
      </c>
      <c r="O1181" t="str">
        <f>IFERROR(VLOOKUP(E1181,Sales_Reps!$A:$C,3,FALSE()),"")</f>
        <v/>
      </c>
      <c r="P1181">
        <f>IFERROR(VLOOKUP(C1181,Customers!$A:$C,3,FALSE()),"")</f>
        <v>53</v>
      </c>
      <c r="Q1181" t="str">
        <f t="shared" si="18"/>
        <v>Aug-24</v>
      </c>
      <c r="R1181">
        <f>IFERROR((VLOOKUP(D1181,Products!$A:$E,5,FALSE())-VLOOKUP(D1181,Products!$A:$E,4,FALSE()))/VLOOKUP(D1181,Products!$A:$E,5,FALSE()),"")</f>
        <v>0.50196560196560192</v>
      </c>
    </row>
    <row r="1182" spans="1:18" x14ac:dyDescent="0.3">
      <c r="A1182" s="22" t="s">
        <v>2836</v>
      </c>
      <c r="B1182" s="23">
        <v>45617</v>
      </c>
      <c r="C1182" s="22" t="s">
        <v>403</v>
      </c>
      <c r="D1182" s="22" t="s">
        <v>216</v>
      </c>
      <c r="E1182" s="22" t="s">
        <v>2837</v>
      </c>
      <c r="F1182" s="24">
        <v>9</v>
      </c>
      <c r="G1182" s="24">
        <v>3570</v>
      </c>
      <c r="H1182" s="24">
        <v>24.8</v>
      </c>
      <c r="I1182" s="24">
        <v>24161.759999999998</v>
      </c>
      <c r="J1182" s="22" t="s">
        <v>104</v>
      </c>
      <c r="K1182" s="22" t="s">
        <v>111</v>
      </c>
      <c r="L1182" t="str">
        <f>VLOOKUP(D1182,Products!A:F,3,FALSE())</f>
        <v>Electronics</v>
      </c>
      <c r="M1182" t="str">
        <f>VLOOKUP(C1182,Customers!A:F,5,FALSE())</f>
        <v>Retail</v>
      </c>
      <c r="O1182" t="str">
        <f>IFERROR(VLOOKUP(E1182,Sales_Reps!$A:$C,3,FALSE()),"")</f>
        <v/>
      </c>
      <c r="P1182">
        <f>IFERROR(VLOOKUP(C1182,Customers!$A:$C,3,FALSE()),"")</f>
        <v>28</v>
      </c>
      <c r="Q1182" t="str">
        <f t="shared" si="18"/>
        <v>Nov-24</v>
      </c>
      <c r="R1182">
        <f>IFERROR((VLOOKUP(D1182,Products!$A:$E,5,FALSE())-VLOOKUP(D1182,Products!$A:$E,4,FALSE()))/VLOOKUP(D1182,Products!$A:$E,5,FALSE()),"")</f>
        <v>0.53361344537815125</v>
      </c>
    </row>
    <row r="1183" spans="1:18" x14ac:dyDescent="0.3">
      <c r="A1183" s="22" t="s">
        <v>2838</v>
      </c>
      <c r="B1183" s="23">
        <v>45470</v>
      </c>
      <c r="C1183" s="22" t="s">
        <v>326</v>
      </c>
      <c r="D1183" s="22" t="s">
        <v>205</v>
      </c>
      <c r="E1183" s="22" t="s">
        <v>2839</v>
      </c>
      <c r="F1183" s="24">
        <v>10</v>
      </c>
      <c r="G1183" s="24">
        <v>3350</v>
      </c>
      <c r="H1183" s="24">
        <v>25.1</v>
      </c>
      <c r="I1183" s="24">
        <v>25091.5</v>
      </c>
      <c r="J1183" s="22" t="s">
        <v>159</v>
      </c>
      <c r="K1183" s="22" t="s">
        <v>111</v>
      </c>
      <c r="L1183" t="str">
        <f>VLOOKUP(D1183,Products!A:F,3,FALSE())</f>
        <v>Beauty</v>
      </c>
      <c r="M1183" t="str">
        <f>VLOOKUP(C1183,Customers!A:F,5,FALSE())</f>
        <v>SMB</v>
      </c>
      <c r="O1183" t="str">
        <f>IFERROR(VLOOKUP(E1183,Sales_Reps!$A:$C,3,FALSE()),"")</f>
        <v/>
      </c>
      <c r="P1183">
        <f>IFERROR(VLOOKUP(C1183,Customers!$A:$C,3,FALSE()),"")</f>
        <v>55</v>
      </c>
      <c r="Q1183" t="str">
        <f t="shared" si="18"/>
        <v>Jun-24</v>
      </c>
      <c r="R1183">
        <f>IFERROR((VLOOKUP(D1183,Products!$A:$E,5,FALSE())-VLOOKUP(D1183,Products!$A:$E,4,FALSE()))/VLOOKUP(D1183,Products!$A:$E,5,FALSE()),"")</f>
        <v>0.48417910447761192</v>
      </c>
    </row>
    <row r="1184" spans="1:18" x14ac:dyDescent="0.3">
      <c r="A1184" s="22" t="s">
        <v>2840</v>
      </c>
      <c r="B1184" s="23">
        <v>45307</v>
      </c>
      <c r="C1184" s="22" t="s">
        <v>1035</v>
      </c>
      <c r="D1184" s="22" t="s">
        <v>605</v>
      </c>
      <c r="E1184" s="22" t="s">
        <v>2841</v>
      </c>
      <c r="F1184" s="24">
        <v>3</v>
      </c>
      <c r="G1184" s="24">
        <v>3780</v>
      </c>
      <c r="H1184" s="24">
        <v>3.8</v>
      </c>
      <c r="I1184" s="24">
        <v>10909.08</v>
      </c>
      <c r="J1184" s="22" t="s">
        <v>104</v>
      </c>
      <c r="K1184" s="22" t="s">
        <v>111</v>
      </c>
      <c r="L1184" t="str">
        <f>VLOOKUP(D1184,Products!A:F,3,FALSE())</f>
        <v>Sports</v>
      </c>
      <c r="M1184" t="str">
        <f>VLOOKUP(C1184,Customers!A:F,5,FALSE())</f>
        <v>Retail</v>
      </c>
      <c r="O1184" t="str">
        <f>IFERROR(VLOOKUP(E1184,Sales_Reps!$A:$C,3,FALSE()),"")</f>
        <v/>
      </c>
      <c r="P1184">
        <f>IFERROR(VLOOKUP(C1184,Customers!$A:$C,3,FALSE()),"")</f>
        <v>24</v>
      </c>
      <c r="Q1184" t="str">
        <f t="shared" si="18"/>
        <v>Jan-24</v>
      </c>
      <c r="R1184">
        <f>IFERROR((VLOOKUP(D1184,Products!$A:$E,5,FALSE())-VLOOKUP(D1184,Products!$A:$E,4,FALSE()))/VLOOKUP(D1184,Products!$A:$E,5,FALSE()),"")</f>
        <v>0.50793650793650791</v>
      </c>
    </row>
    <row r="1185" spans="1:18" x14ac:dyDescent="0.3">
      <c r="A1185" s="22" t="s">
        <v>2842</v>
      </c>
      <c r="B1185" s="23">
        <v>45651</v>
      </c>
      <c r="C1185" s="22" t="s">
        <v>1012</v>
      </c>
      <c r="D1185" s="22" t="s">
        <v>216</v>
      </c>
      <c r="E1185" s="22" t="s">
        <v>2843</v>
      </c>
      <c r="F1185" s="24">
        <v>4</v>
      </c>
      <c r="G1185" s="24">
        <v>3570</v>
      </c>
      <c r="H1185" s="24">
        <v>0.9</v>
      </c>
      <c r="I1185" s="24">
        <v>14151.48</v>
      </c>
      <c r="J1185" s="22" t="s">
        <v>110</v>
      </c>
      <c r="K1185" s="22" t="s">
        <v>105</v>
      </c>
      <c r="L1185" t="str">
        <f>VLOOKUP(D1185,Products!A:F,3,FALSE())</f>
        <v>Electronics</v>
      </c>
      <c r="M1185" t="str">
        <f>VLOOKUP(C1185,Customers!A:F,5,FALSE())</f>
        <v>Corporate</v>
      </c>
      <c r="O1185" t="str">
        <f>IFERROR(VLOOKUP(E1185,Sales_Reps!$A:$C,3,FALSE()),"")</f>
        <v/>
      </c>
      <c r="P1185">
        <f>IFERROR(VLOOKUP(C1185,Customers!$A:$C,3,FALSE()),"")</f>
        <v>52</v>
      </c>
      <c r="Q1185" t="str">
        <f t="shared" si="18"/>
        <v>Dec-24</v>
      </c>
      <c r="R1185">
        <f>IFERROR((VLOOKUP(D1185,Products!$A:$E,5,FALSE())-VLOOKUP(D1185,Products!$A:$E,4,FALSE()))/VLOOKUP(D1185,Products!$A:$E,5,FALSE()),"")</f>
        <v>0.53361344537815125</v>
      </c>
    </row>
    <row r="1186" spans="1:18" x14ac:dyDescent="0.3">
      <c r="A1186" s="22" t="s">
        <v>1850</v>
      </c>
      <c r="B1186" s="23">
        <v>45436</v>
      </c>
      <c r="C1186" s="22" t="s">
        <v>540</v>
      </c>
      <c r="D1186" s="22" t="s">
        <v>224</v>
      </c>
      <c r="E1186" s="22" t="s">
        <v>2844</v>
      </c>
      <c r="F1186" s="24">
        <v>5</v>
      </c>
      <c r="G1186" s="24">
        <v>2860</v>
      </c>
      <c r="H1186" s="24">
        <v>20.100000000000001</v>
      </c>
      <c r="I1186" s="24">
        <v>11425.7</v>
      </c>
      <c r="J1186" s="22" t="s">
        <v>104</v>
      </c>
      <c r="K1186" s="22" t="s">
        <v>116</v>
      </c>
      <c r="L1186" t="str">
        <f>VLOOKUP(D1186,Products!A:F,3,FALSE())</f>
        <v>Sports</v>
      </c>
      <c r="M1186" t="str">
        <f>VLOOKUP(C1186,Customers!A:F,5,FALSE())</f>
        <v>Retail</v>
      </c>
      <c r="O1186" t="str">
        <f>IFERROR(VLOOKUP(E1186,Sales_Reps!$A:$C,3,FALSE()),"")</f>
        <v/>
      </c>
      <c r="P1186">
        <f>IFERROR(VLOOKUP(C1186,Customers!$A:$C,3,FALSE()),"")</f>
        <v>44</v>
      </c>
      <c r="Q1186" t="str">
        <f t="shared" si="18"/>
        <v>May-24</v>
      </c>
      <c r="R1186">
        <f>IFERROR((VLOOKUP(D1186,Products!$A:$E,5,FALSE())-VLOOKUP(D1186,Products!$A:$E,4,FALSE()))/VLOOKUP(D1186,Products!$A:$E,5,FALSE()),"")</f>
        <v>0.29090909090909089</v>
      </c>
    </row>
    <row r="1187" spans="1:18" x14ac:dyDescent="0.3">
      <c r="A1187" s="22" t="s">
        <v>2845</v>
      </c>
      <c r="B1187" s="23">
        <v>45518</v>
      </c>
      <c r="C1187" s="22" t="s">
        <v>979</v>
      </c>
      <c r="D1187" s="22" t="s">
        <v>352</v>
      </c>
      <c r="E1187" s="22" t="s">
        <v>2846</v>
      </c>
      <c r="F1187" s="24">
        <v>1</v>
      </c>
      <c r="G1187" s="24">
        <v>620</v>
      </c>
      <c r="H1187" s="24">
        <v>1.1000000000000001</v>
      </c>
      <c r="I1187" s="24">
        <v>613.17999999999995</v>
      </c>
      <c r="J1187" s="22" t="s">
        <v>159</v>
      </c>
      <c r="K1187" s="22" t="s">
        <v>116</v>
      </c>
      <c r="L1187" t="str">
        <f>VLOOKUP(D1187,Products!A:F,3,FALSE())</f>
        <v>Apparel</v>
      </c>
      <c r="M1187" t="str">
        <f>VLOOKUP(C1187,Customers!A:F,5,FALSE())</f>
        <v>Retail</v>
      </c>
      <c r="O1187" t="str">
        <f>IFERROR(VLOOKUP(E1187,Sales_Reps!$A:$C,3,FALSE()),"")</f>
        <v/>
      </c>
      <c r="P1187">
        <f>IFERROR(VLOOKUP(C1187,Customers!$A:$C,3,FALSE()),"")</f>
        <v>41</v>
      </c>
      <c r="Q1187" t="str">
        <f t="shared" si="18"/>
        <v>Aug-24</v>
      </c>
      <c r="R1187">
        <f>IFERROR((VLOOKUP(D1187,Products!$A:$E,5,FALSE())-VLOOKUP(D1187,Products!$A:$E,4,FALSE()))/VLOOKUP(D1187,Products!$A:$E,5,FALSE()),"")</f>
        <v>0.36129032258064514</v>
      </c>
    </row>
    <row r="1188" spans="1:18" x14ac:dyDescent="0.3">
      <c r="A1188" s="22" t="s">
        <v>2847</v>
      </c>
      <c r="B1188" s="23">
        <v>45432</v>
      </c>
      <c r="C1188" s="22" t="s">
        <v>223</v>
      </c>
      <c r="D1188" s="22" t="s">
        <v>216</v>
      </c>
      <c r="E1188" s="22" t="s">
        <v>2848</v>
      </c>
      <c r="F1188" s="24">
        <v>1</v>
      </c>
      <c r="G1188" s="24">
        <v>3570</v>
      </c>
      <c r="H1188" s="24">
        <v>11.1</v>
      </c>
      <c r="I1188" s="24">
        <v>3173.73</v>
      </c>
      <c r="J1188" s="22" t="s">
        <v>159</v>
      </c>
      <c r="K1188" s="22" t="s">
        <v>105</v>
      </c>
      <c r="L1188" t="str">
        <f>VLOOKUP(D1188,Products!A:F,3,FALSE())</f>
        <v>Electronics</v>
      </c>
      <c r="M1188" t="str">
        <f>VLOOKUP(C1188,Customers!A:F,5,FALSE())</f>
        <v>SMB</v>
      </c>
      <c r="O1188" t="str">
        <f>IFERROR(VLOOKUP(E1188,Sales_Reps!$A:$C,3,FALSE()),"")</f>
        <v/>
      </c>
      <c r="P1188">
        <f>IFERROR(VLOOKUP(C1188,Customers!$A:$C,3,FALSE()),"")</f>
        <v>44</v>
      </c>
      <c r="Q1188" t="str">
        <f t="shared" si="18"/>
        <v>May-24</v>
      </c>
      <c r="R1188">
        <f>IFERROR((VLOOKUP(D1188,Products!$A:$E,5,FALSE())-VLOOKUP(D1188,Products!$A:$E,4,FALSE()))/VLOOKUP(D1188,Products!$A:$E,5,FALSE()),"")</f>
        <v>0.53361344537815125</v>
      </c>
    </row>
    <row r="1189" spans="1:18" x14ac:dyDescent="0.3">
      <c r="A1189" s="22" t="s">
        <v>2849</v>
      </c>
      <c r="B1189" s="23">
        <v>45551</v>
      </c>
      <c r="C1189" s="22" t="s">
        <v>940</v>
      </c>
      <c r="D1189" s="22" t="s">
        <v>455</v>
      </c>
      <c r="E1189" s="22" t="s">
        <v>2850</v>
      </c>
      <c r="F1189" s="24">
        <v>1</v>
      </c>
      <c r="G1189" s="24">
        <v>5330</v>
      </c>
      <c r="H1189" s="24">
        <v>3.5</v>
      </c>
      <c r="I1189" s="24">
        <v>5143.45</v>
      </c>
      <c r="J1189" s="22" t="s">
        <v>104</v>
      </c>
      <c r="K1189" s="22" t="s">
        <v>111</v>
      </c>
      <c r="L1189" t="str">
        <f>VLOOKUP(D1189,Products!A:F,3,FALSE())</f>
        <v>Electronics</v>
      </c>
      <c r="M1189" t="str">
        <f>VLOOKUP(C1189,Customers!A:F,5,FALSE())</f>
        <v>Corporate</v>
      </c>
      <c r="O1189" t="str">
        <f>IFERROR(VLOOKUP(E1189,Sales_Reps!$A:$C,3,FALSE()),"")</f>
        <v/>
      </c>
      <c r="P1189">
        <f>IFERROR(VLOOKUP(C1189,Customers!$A:$C,3,FALSE()),"")</f>
        <v>41</v>
      </c>
      <c r="Q1189" t="str">
        <f t="shared" si="18"/>
        <v>Sep-24</v>
      </c>
      <c r="R1189">
        <f>IFERROR((VLOOKUP(D1189,Products!$A:$E,5,FALSE())-VLOOKUP(D1189,Products!$A:$E,4,FALSE()))/VLOOKUP(D1189,Products!$A:$E,5,FALSE()),"")</f>
        <v>0.54878048780487809</v>
      </c>
    </row>
    <row r="1190" spans="1:18" x14ac:dyDescent="0.3">
      <c r="A1190" s="22" t="s">
        <v>2851</v>
      </c>
      <c r="B1190" s="23">
        <v>45348</v>
      </c>
      <c r="C1190" s="22" t="s">
        <v>435</v>
      </c>
      <c r="D1190" s="22" t="s">
        <v>449</v>
      </c>
      <c r="E1190" s="22" t="s">
        <v>2852</v>
      </c>
      <c r="F1190" s="24">
        <v>7</v>
      </c>
      <c r="G1190" s="24">
        <v>5410</v>
      </c>
      <c r="H1190" s="24">
        <v>26.2</v>
      </c>
      <c r="I1190" s="24">
        <v>27948.06</v>
      </c>
      <c r="J1190" s="22" t="s">
        <v>104</v>
      </c>
      <c r="K1190" s="22" t="s">
        <v>129</v>
      </c>
      <c r="L1190" t="str">
        <f>VLOOKUP(D1190,Products!A:F,3,FALSE())</f>
        <v>Sports</v>
      </c>
      <c r="M1190" t="str">
        <f>VLOOKUP(C1190,Customers!A:F,5,FALSE())</f>
        <v>SMB</v>
      </c>
      <c r="O1190" t="str">
        <f>IFERROR(VLOOKUP(E1190,Sales_Reps!$A:$C,3,FALSE()),"")</f>
        <v/>
      </c>
      <c r="P1190">
        <f>IFERROR(VLOOKUP(C1190,Customers!$A:$C,3,FALSE()),"")</f>
        <v>22</v>
      </c>
      <c r="Q1190" t="str">
        <f t="shared" si="18"/>
        <v>Feb-24</v>
      </c>
      <c r="R1190">
        <f>IFERROR((VLOOKUP(D1190,Products!$A:$E,5,FALSE())-VLOOKUP(D1190,Products!$A:$E,4,FALSE()))/VLOOKUP(D1190,Products!$A:$E,5,FALSE()),"")</f>
        <v>0.58133086876155271</v>
      </c>
    </row>
    <row r="1191" spans="1:18" x14ac:dyDescent="0.3">
      <c r="A1191" s="22" t="s">
        <v>2853</v>
      </c>
      <c r="B1191" s="23">
        <v>45374</v>
      </c>
      <c r="C1191" s="22" t="s">
        <v>1979</v>
      </c>
      <c r="D1191" s="22" t="s">
        <v>577</v>
      </c>
      <c r="E1191" s="22" t="s">
        <v>2854</v>
      </c>
      <c r="F1191" s="24">
        <v>10</v>
      </c>
      <c r="G1191" s="24">
        <v>5080</v>
      </c>
      <c r="H1191" s="24">
        <v>3.7</v>
      </c>
      <c r="I1191" s="24">
        <v>48920.4</v>
      </c>
      <c r="J1191" s="22" t="s">
        <v>110</v>
      </c>
      <c r="K1191" s="22" t="s">
        <v>105</v>
      </c>
      <c r="L1191" t="str">
        <f>VLOOKUP(D1191,Products!A:F,3,FALSE())</f>
        <v>Home</v>
      </c>
      <c r="M1191" t="str">
        <f>VLOOKUP(C1191,Customers!A:F,5,FALSE())</f>
        <v>Retail</v>
      </c>
      <c r="O1191" t="str">
        <f>IFERROR(VLOOKUP(E1191,Sales_Reps!$A:$C,3,FALSE()),"")</f>
        <v/>
      </c>
      <c r="P1191">
        <f>IFERROR(VLOOKUP(C1191,Customers!$A:$C,3,FALSE()),"")</f>
        <v>42</v>
      </c>
      <c r="Q1191" t="str">
        <f t="shared" si="18"/>
        <v>Mar-24</v>
      </c>
      <c r="R1191">
        <f>IFERROR((VLOOKUP(D1191,Products!$A:$E,5,FALSE())-VLOOKUP(D1191,Products!$A:$E,4,FALSE()))/VLOOKUP(D1191,Products!$A:$E,5,FALSE()),"")</f>
        <v>0.51594488188976373</v>
      </c>
    </row>
    <row r="1192" spans="1:18" x14ac:dyDescent="0.3">
      <c r="A1192" s="22" t="s">
        <v>2855</v>
      </c>
      <c r="B1192" s="23">
        <v>45370</v>
      </c>
      <c r="C1192" s="22" t="s">
        <v>1030</v>
      </c>
      <c r="D1192" s="22" t="s">
        <v>216</v>
      </c>
      <c r="E1192" s="22" t="s">
        <v>2856</v>
      </c>
      <c r="F1192" s="24">
        <v>9</v>
      </c>
      <c r="G1192" s="24">
        <v>3570</v>
      </c>
      <c r="H1192" s="24">
        <v>5.6</v>
      </c>
      <c r="I1192" s="24">
        <v>30330.720000000001</v>
      </c>
      <c r="J1192" s="22" t="s">
        <v>104</v>
      </c>
      <c r="K1192" s="22" t="s">
        <v>116</v>
      </c>
      <c r="L1192" t="str">
        <f>VLOOKUP(D1192,Products!A:F,3,FALSE())</f>
        <v>Electronics</v>
      </c>
      <c r="M1192" t="str">
        <f>VLOOKUP(C1192,Customers!A:F,5,FALSE())</f>
        <v>Retail</v>
      </c>
      <c r="O1192" t="str">
        <f>IFERROR(VLOOKUP(E1192,Sales_Reps!$A:$C,3,FALSE()),"")</f>
        <v/>
      </c>
      <c r="P1192">
        <f>IFERROR(VLOOKUP(C1192,Customers!$A:$C,3,FALSE()),"")</f>
        <v>24</v>
      </c>
      <c r="Q1192" t="str">
        <f t="shared" si="18"/>
        <v>Mar-24</v>
      </c>
      <c r="R1192">
        <f>IFERROR((VLOOKUP(D1192,Products!$A:$E,5,FALSE())-VLOOKUP(D1192,Products!$A:$E,4,FALSE()))/VLOOKUP(D1192,Products!$A:$E,5,FALSE()),"")</f>
        <v>0.53361344537815125</v>
      </c>
    </row>
    <row r="1193" spans="1:18" x14ac:dyDescent="0.3">
      <c r="A1193" s="22" t="s">
        <v>2857</v>
      </c>
      <c r="B1193" s="23">
        <v>45656</v>
      </c>
      <c r="C1193" s="22" t="s">
        <v>841</v>
      </c>
      <c r="D1193" s="22" t="s">
        <v>145</v>
      </c>
      <c r="E1193" s="22" t="s">
        <v>2858</v>
      </c>
      <c r="F1193" s="24">
        <v>9</v>
      </c>
      <c r="G1193" s="24">
        <v>970</v>
      </c>
      <c r="H1193" s="24">
        <v>19.5</v>
      </c>
      <c r="I1193" s="24">
        <v>7027.65</v>
      </c>
      <c r="J1193" s="22" t="s">
        <v>104</v>
      </c>
      <c r="K1193" s="22" t="s">
        <v>134</v>
      </c>
      <c r="L1193" t="str">
        <f>VLOOKUP(D1193,Products!A:F,3,FALSE())</f>
        <v>Grocery</v>
      </c>
      <c r="M1193" t="str">
        <f>VLOOKUP(C1193,Customers!A:F,5,FALSE())</f>
        <v>Retail</v>
      </c>
      <c r="O1193" t="str">
        <f>IFERROR(VLOOKUP(E1193,Sales_Reps!$A:$C,3,FALSE()),"")</f>
        <v/>
      </c>
      <c r="P1193">
        <f>IFERROR(VLOOKUP(C1193,Customers!$A:$C,3,FALSE()),"")</f>
        <v>34</v>
      </c>
      <c r="Q1193" t="str">
        <f t="shared" si="18"/>
        <v>Dec-24</v>
      </c>
      <c r="R1193">
        <f>IFERROR((VLOOKUP(D1193,Products!$A:$E,5,FALSE())-VLOOKUP(D1193,Products!$A:$E,4,FALSE()))/VLOOKUP(D1193,Products!$A:$E,5,FALSE()),"")</f>
        <v>0.5525773195876289</v>
      </c>
    </row>
    <row r="1194" spans="1:18" x14ac:dyDescent="0.3">
      <c r="A1194" s="22" t="s">
        <v>2859</v>
      </c>
      <c r="B1194" s="23">
        <v>45357</v>
      </c>
      <c r="C1194" s="22" t="s">
        <v>540</v>
      </c>
      <c r="D1194" s="22" t="s">
        <v>338</v>
      </c>
      <c r="E1194" s="22" t="s">
        <v>2860</v>
      </c>
      <c r="F1194" s="24">
        <v>10</v>
      </c>
      <c r="G1194" s="24">
        <v>300</v>
      </c>
      <c r="H1194" s="24">
        <v>23</v>
      </c>
      <c r="I1194" s="24">
        <v>2310</v>
      </c>
      <c r="J1194" s="22" t="s">
        <v>159</v>
      </c>
      <c r="K1194" s="22" t="s">
        <v>116</v>
      </c>
      <c r="L1194" t="str">
        <f>VLOOKUP(D1194,Products!A:F,3,FALSE())</f>
        <v>Electronics</v>
      </c>
      <c r="M1194" t="str">
        <f>VLOOKUP(C1194,Customers!A:F,5,FALSE())</f>
        <v>Retail</v>
      </c>
      <c r="O1194" t="str">
        <f>IFERROR(VLOOKUP(E1194,Sales_Reps!$A:$C,3,FALSE()),"")</f>
        <v/>
      </c>
      <c r="P1194">
        <f>IFERROR(VLOOKUP(C1194,Customers!$A:$C,3,FALSE()),"")</f>
        <v>44</v>
      </c>
      <c r="Q1194" t="str">
        <f t="shared" si="18"/>
        <v>Mar-24</v>
      </c>
      <c r="R1194">
        <f>IFERROR((VLOOKUP(D1194,Products!$A:$E,5,FALSE())-VLOOKUP(D1194,Products!$A:$E,4,FALSE()))/VLOOKUP(D1194,Products!$A:$E,5,FALSE()),"")</f>
        <v>0.57333333333333336</v>
      </c>
    </row>
    <row r="1195" spans="1:18" x14ac:dyDescent="0.3">
      <c r="A1195" s="22" t="s">
        <v>2861</v>
      </c>
      <c r="B1195" s="23">
        <v>45479</v>
      </c>
      <c r="C1195" s="22" t="s">
        <v>548</v>
      </c>
      <c r="D1195" s="22" t="s">
        <v>283</v>
      </c>
      <c r="E1195" s="22" t="s">
        <v>2862</v>
      </c>
      <c r="F1195" s="24">
        <v>10</v>
      </c>
      <c r="G1195" s="24">
        <v>6080</v>
      </c>
      <c r="H1195" s="24">
        <v>3.9</v>
      </c>
      <c r="I1195" s="24">
        <v>58428.800000000003</v>
      </c>
      <c r="J1195" s="22" t="s">
        <v>104</v>
      </c>
      <c r="K1195" s="22" t="s">
        <v>111</v>
      </c>
      <c r="L1195" t="str">
        <f>VLOOKUP(D1195,Products!A:F,3,FALSE())</f>
        <v>Beauty</v>
      </c>
      <c r="M1195" t="str">
        <f>VLOOKUP(C1195,Customers!A:F,5,FALSE())</f>
        <v>SMB</v>
      </c>
      <c r="O1195" t="str">
        <f>IFERROR(VLOOKUP(E1195,Sales_Reps!$A:$C,3,FALSE()),"")</f>
        <v/>
      </c>
      <c r="P1195">
        <f>IFERROR(VLOOKUP(C1195,Customers!$A:$C,3,FALSE()),"")</f>
        <v>64</v>
      </c>
      <c r="Q1195" t="str">
        <f t="shared" si="18"/>
        <v>Jul-24</v>
      </c>
      <c r="R1195">
        <f>IFERROR((VLOOKUP(D1195,Products!$A:$E,5,FALSE())-VLOOKUP(D1195,Products!$A:$E,4,FALSE()))/VLOOKUP(D1195,Products!$A:$E,5,FALSE()),"")</f>
        <v>0.56957236842105263</v>
      </c>
    </row>
    <row r="1196" spans="1:18" x14ac:dyDescent="0.3">
      <c r="A1196" s="22" t="s">
        <v>1374</v>
      </c>
      <c r="B1196" s="23">
        <v>45539</v>
      </c>
      <c r="C1196" s="22" t="s">
        <v>161</v>
      </c>
      <c r="D1196" s="22" t="s">
        <v>220</v>
      </c>
      <c r="E1196" s="22" t="s">
        <v>2863</v>
      </c>
      <c r="F1196" s="24">
        <v>2</v>
      </c>
      <c r="G1196" s="24">
        <v>5100</v>
      </c>
      <c r="H1196" s="24">
        <v>11</v>
      </c>
      <c r="I1196" s="24">
        <v>9078</v>
      </c>
      <c r="J1196" s="22" t="s">
        <v>104</v>
      </c>
      <c r="K1196" s="22" t="s">
        <v>105</v>
      </c>
      <c r="L1196" t="str">
        <f>VLOOKUP(D1196,Products!A:F,3,FALSE())</f>
        <v>Beauty</v>
      </c>
      <c r="M1196" t="str">
        <f>VLOOKUP(C1196,Customers!A:F,5,FALSE())</f>
        <v>SMB</v>
      </c>
      <c r="O1196" t="str">
        <f>IFERROR(VLOOKUP(E1196,Sales_Reps!$A:$C,3,FALSE()),"")</f>
        <v/>
      </c>
      <c r="P1196">
        <f>IFERROR(VLOOKUP(C1196,Customers!$A:$C,3,FALSE()),"")</f>
        <v>39</v>
      </c>
      <c r="Q1196" t="str">
        <f t="shared" si="18"/>
        <v>Sep-24</v>
      </c>
      <c r="R1196">
        <f>IFERROR((VLOOKUP(D1196,Products!$A:$E,5,FALSE())-VLOOKUP(D1196,Products!$A:$E,4,FALSE()))/VLOOKUP(D1196,Products!$A:$E,5,FALSE()),"")</f>
        <v>0.56137254901960787</v>
      </c>
    </row>
    <row r="1197" spans="1:18" x14ac:dyDescent="0.3">
      <c r="A1197" s="22" t="s">
        <v>2864</v>
      </c>
      <c r="B1197" s="23">
        <v>45394</v>
      </c>
      <c r="C1197" s="22" t="s">
        <v>465</v>
      </c>
      <c r="D1197" s="22" t="s">
        <v>591</v>
      </c>
      <c r="E1197" s="22" t="s">
        <v>2865</v>
      </c>
      <c r="F1197" s="24">
        <v>9</v>
      </c>
      <c r="G1197" s="24">
        <v>3450</v>
      </c>
      <c r="H1197" s="24">
        <v>23.7</v>
      </c>
      <c r="I1197" s="24">
        <v>23691.15</v>
      </c>
      <c r="J1197" s="22" t="s">
        <v>104</v>
      </c>
      <c r="K1197" s="22" t="s">
        <v>129</v>
      </c>
      <c r="L1197" t="str">
        <f>VLOOKUP(D1197,Products!A:F,3,FALSE())</f>
        <v>Apparel</v>
      </c>
      <c r="M1197" t="str">
        <f>VLOOKUP(C1197,Customers!A:F,5,FALSE())</f>
        <v>Retail</v>
      </c>
      <c r="O1197" t="str">
        <f>IFERROR(VLOOKUP(E1197,Sales_Reps!$A:$C,3,FALSE()),"")</f>
        <v/>
      </c>
      <c r="P1197">
        <f>IFERROR(VLOOKUP(C1197,Customers!$A:$C,3,FALSE()),"")</f>
        <v>42</v>
      </c>
      <c r="Q1197" t="str">
        <f t="shared" si="18"/>
        <v>Apr-24</v>
      </c>
      <c r="R1197">
        <f>IFERROR((VLOOKUP(D1197,Products!$A:$E,5,FALSE())-VLOOKUP(D1197,Products!$A:$E,4,FALSE()))/VLOOKUP(D1197,Products!$A:$E,5,FALSE()),"")</f>
        <v>0.49333333333333335</v>
      </c>
    </row>
    <row r="1198" spans="1:18" x14ac:dyDescent="0.3">
      <c r="A1198" s="22" t="s">
        <v>2866</v>
      </c>
      <c r="B1198" s="23">
        <v>45335</v>
      </c>
      <c r="C1198" s="22" t="s">
        <v>1109</v>
      </c>
      <c r="D1198" s="22" t="s">
        <v>190</v>
      </c>
      <c r="E1198" s="22" t="s">
        <v>2867</v>
      </c>
      <c r="F1198" s="24">
        <v>5</v>
      </c>
      <c r="G1198" s="24">
        <v>2480</v>
      </c>
      <c r="H1198" s="24">
        <v>20.399999999999999</v>
      </c>
      <c r="I1198" s="24">
        <v>9870.4</v>
      </c>
      <c r="J1198" s="22" t="s">
        <v>104</v>
      </c>
      <c r="K1198" s="22" t="s">
        <v>134</v>
      </c>
      <c r="L1198" t="str">
        <f>VLOOKUP(D1198,Products!A:F,3,FALSE())</f>
        <v>Apparel</v>
      </c>
      <c r="M1198" t="str">
        <f>VLOOKUP(C1198,Customers!A:F,5,FALSE())</f>
        <v>Retail</v>
      </c>
      <c r="O1198" t="str">
        <f>IFERROR(VLOOKUP(E1198,Sales_Reps!$A:$C,3,FALSE()),"")</f>
        <v/>
      </c>
      <c r="P1198">
        <f>IFERROR(VLOOKUP(C1198,Customers!$A:$C,3,FALSE()),"")</f>
        <v>29</v>
      </c>
      <c r="Q1198" t="str">
        <f t="shared" si="18"/>
        <v>Feb-24</v>
      </c>
      <c r="R1198">
        <f>IFERROR((VLOOKUP(D1198,Products!$A:$E,5,FALSE())-VLOOKUP(D1198,Products!$A:$E,4,FALSE()))/VLOOKUP(D1198,Products!$A:$E,5,FALSE()),"")</f>
        <v>0.52701612903225803</v>
      </c>
    </row>
    <row r="1199" spans="1:18" x14ac:dyDescent="0.3">
      <c r="A1199" s="22" t="s">
        <v>2868</v>
      </c>
      <c r="B1199" s="23">
        <v>45334</v>
      </c>
      <c r="C1199" s="22" t="s">
        <v>318</v>
      </c>
      <c r="D1199" s="22" t="s">
        <v>167</v>
      </c>
      <c r="E1199" s="22" t="s">
        <v>2869</v>
      </c>
      <c r="F1199" s="24">
        <v>4</v>
      </c>
      <c r="G1199" s="24">
        <v>190</v>
      </c>
      <c r="H1199" s="24">
        <v>2.6</v>
      </c>
      <c r="I1199" s="24">
        <v>740.24</v>
      </c>
      <c r="J1199" s="22" t="s">
        <v>104</v>
      </c>
      <c r="K1199" s="22" t="s">
        <v>116</v>
      </c>
      <c r="L1199" t="str">
        <f>VLOOKUP(D1199,Products!A:F,3,FALSE())</f>
        <v>Sports</v>
      </c>
      <c r="M1199" t="str">
        <f>VLOOKUP(C1199,Customers!A:F,5,FALSE())</f>
        <v>Corporate</v>
      </c>
      <c r="O1199" t="str">
        <f>IFERROR(VLOOKUP(E1199,Sales_Reps!$A:$C,3,FALSE()),"")</f>
        <v/>
      </c>
      <c r="P1199">
        <f>IFERROR(VLOOKUP(C1199,Customers!$A:$C,3,FALSE()),"")</f>
        <v>55</v>
      </c>
      <c r="Q1199" t="str">
        <f t="shared" si="18"/>
        <v>Feb-24</v>
      </c>
      <c r="R1199">
        <f>IFERROR((VLOOKUP(D1199,Products!$A:$E,5,FALSE())-VLOOKUP(D1199,Products!$A:$E,4,FALSE()))/VLOOKUP(D1199,Products!$A:$E,5,FALSE()),"")</f>
        <v>0.22631578947368422</v>
      </c>
    </row>
    <row r="1200" spans="1:18" x14ac:dyDescent="0.3">
      <c r="A1200" s="22" t="s">
        <v>2870</v>
      </c>
      <c r="B1200" s="23">
        <v>45300</v>
      </c>
      <c r="C1200" s="22" t="s">
        <v>1549</v>
      </c>
      <c r="D1200" s="22" t="s">
        <v>289</v>
      </c>
      <c r="E1200" s="22" t="s">
        <v>2871</v>
      </c>
      <c r="F1200" s="24">
        <v>4</v>
      </c>
      <c r="G1200" s="24">
        <v>2270</v>
      </c>
      <c r="H1200" s="24">
        <v>8.1</v>
      </c>
      <c r="I1200" s="24">
        <v>8344.52</v>
      </c>
      <c r="J1200" s="22" t="s">
        <v>110</v>
      </c>
      <c r="K1200" s="22" t="s">
        <v>134</v>
      </c>
      <c r="L1200" t="str">
        <f>VLOOKUP(D1200,Products!A:F,3,FALSE())</f>
        <v>Grocery</v>
      </c>
      <c r="M1200" t="str">
        <f>VLOOKUP(C1200,Customers!A:F,5,FALSE())</f>
        <v>SMB</v>
      </c>
      <c r="O1200" t="str">
        <f>IFERROR(VLOOKUP(E1200,Sales_Reps!$A:$C,3,FALSE()),"")</f>
        <v/>
      </c>
      <c r="P1200">
        <f>IFERROR(VLOOKUP(C1200,Customers!$A:$C,3,FALSE()),"")</f>
        <v>44</v>
      </c>
      <c r="Q1200" t="str">
        <f t="shared" si="18"/>
        <v>Jan-24</v>
      </c>
      <c r="R1200">
        <f>IFERROR((VLOOKUP(D1200,Products!$A:$E,5,FALSE())-VLOOKUP(D1200,Products!$A:$E,4,FALSE()))/VLOOKUP(D1200,Products!$A:$E,5,FALSE()),"")</f>
        <v>0.37797356828193834</v>
      </c>
    </row>
    <row r="1201" spans="1:18" x14ac:dyDescent="0.3">
      <c r="A1201" s="22" t="s">
        <v>2872</v>
      </c>
      <c r="B1201" s="23">
        <v>45400</v>
      </c>
      <c r="C1201" s="22" t="s">
        <v>687</v>
      </c>
      <c r="D1201" s="22" t="s">
        <v>442</v>
      </c>
      <c r="E1201" s="22" t="s">
        <v>2873</v>
      </c>
      <c r="F1201" s="24">
        <v>7</v>
      </c>
      <c r="G1201" s="24">
        <v>2510</v>
      </c>
      <c r="H1201" s="24">
        <v>25.5</v>
      </c>
      <c r="I1201" s="24">
        <v>13089.65</v>
      </c>
      <c r="J1201" s="22" t="s">
        <v>104</v>
      </c>
      <c r="K1201" s="22" t="s">
        <v>134</v>
      </c>
      <c r="L1201" t="str">
        <f>VLOOKUP(D1201,Products!A:F,3,FALSE())</f>
        <v>Apparel</v>
      </c>
      <c r="M1201" t="str">
        <f>VLOOKUP(C1201,Customers!A:F,5,FALSE())</f>
        <v>SMB</v>
      </c>
      <c r="O1201" t="str">
        <f>IFERROR(VLOOKUP(E1201,Sales_Reps!$A:$C,3,FALSE()),"")</f>
        <v/>
      </c>
      <c r="P1201">
        <f>IFERROR(VLOOKUP(C1201,Customers!$A:$C,3,FALSE()),"")</f>
        <v>26</v>
      </c>
      <c r="Q1201" t="str">
        <f t="shared" si="18"/>
        <v>Apr-24</v>
      </c>
      <c r="R1201">
        <f>IFERROR((VLOOKUP(D1201,Products!$A:$E,5,FALSE())-VLOOKUP(D1201,Products!$A:$E,4,FALSE()))/VLOOKUP(D1201,Products!$A:$E,5,FALSE()),"")</f>
        <v>0.57171314741035861</v>
      </c>
    </row>
    <row r="1202" spans="1:18" x14ac:dyDescent="0.3">
      <c r="A1202" s="22" t="s">
        <v>2874</v>
      </c>
      <c r="B1202" s="23">
        <v>45423</v>
      </c>
      <c r="C1202" s="22" t="s">
        <v>144</v>
      </c>
      <c r="D1202" s="22" t="s">
        <v>605</v>
      </c>
      <c r="E1202" s="22" t="s">
        <v>2875</v>
      </c>
      <c r="F1202" s="24">
        <v>3</v>
      </c>
      <c r="G1202" s="24">
        <v>3780</v>
      </c>
      <c r="H1202" s="24">
        <v>16.8</v>
      </c>
      <c r="I1202" s="24">
        <v>9434.8799999999992</v>
      </c>
      <c r="J1202" s="22" t="s">
        <v>104</v>
      </c>
      <c r="K1202" s="22" t="s">
        <v>105</v>
      </c>
      <c r="L1202" t="str">
        <f>VLOOKUP(D1202,Products!A:F,3,FALSE())</f>
        <v>Sports</v>
      </c>
      <c r="M1202" t="str">
        <f>VLOOKUP(C1202,Customers!A:F,5,FALSE())</f>
        <v>Retail</v>
      </c>
      <c r="O1202" t="str">
        <f>IFERROR(VLOOKUP(E1202,Sales_Reps!$A:$C,3,FALSE()),"")</f>
        <v/>
      </c>
      <c r="P1202">
        <f>IFERROR(VLOOKUP(C1202,Customers!$A:$C,3,FALSE()),"")</f>
        <v>56</v>
      </c>
      <c r="Q1202" t="str">
        <f t="shared" si="18"/>
        <v>May-24</v>
      </c>
      <c r="R1202">
        <f>IFERROR((VLOOKUP(D1202,Products!$A:$E,5,FALSE())-VLOOKUP(D1202,Products!$A:$E,4,FALSE()))/VLOOKUP(D1202,Products!$A:$E,5,FALSE()),"")</f>
        <v>0.50793650793650791</v>
      </c>
    </row>
    <row r="1203" spans="1:18" x14ac:dyDescent="0.3">
      <c r="A1203" s="22" t="s">
        <v>2876</v>
      </c>
      <c r="B1203" s="23">
        <v>45518</v>
      </c>
      <c r="C1203" s="22" t="s">
        <v>769</v>
      </c>
      <c r="D1203" s="22" t="s">
        <v>216</v>
      </c>
      <c r="E1203" s="22" t="s">
        <v>2877</v>
      </c>
      <c r="F1203" s="24">
        <v>7</v>
      </c>
      <c r="G1203" s="24">
        <v>3570</v>
      </c>
      <c r="H1203" s="24">
        <v>23.7</v>
      </c>
      <c r="I1203" s="24">
        <v>19067.37</v>
      </c>
      <c r="J1203" s="22" t="s">
        <v>104</v>
      </c>
      <c r="K1203" s="22" t="s">
        <v>151</v>
      </c>
      <c r="L1203" t="str">
        <f>VLOOKUP(D1203,Products!A:F,3,FALSE())</f>
        <v>Electronics</v>
      </c>
      <c r="M1203" t="str">
        <f>VLOOKUP(C1203,Customers!A:F,5,FALSE())</f>
        <v>SMB</v>
      </c>
      <c r="O1203" t="str">
        <f>IFERROR(VLOOKUP(E1203,Sales_Reps!$A:$C,3,FALSE()),"")</f>
        <v/>
      </c>
      <c r="P1203">
        <f>IFERROR(VLOOKUP(C1203,Customers!$A:$C,3,FALSE()),"")</f>
        <v>43</v>
      </c>
      <c r="Q1203" t="str">
        <f t="shared" si="18"/>
        <v>Aug-24</v>
      </c>
      <c r="R1203">
        <f>IFERROR((VLOOKUP(D1203,Products!$A:$E,5,FALSE())-VLOOKUP(D1203,Products!$A:$E,4,FALSE()))/VLOOKUP(D1203,Products!$A:$E,5,FALSE()),"")</f>
        <v>0.53361344537815125</v>
      </c>
    </row>
    <row r="1204" spans="1:18" x14ac:dyDescent="0.3">
      <c r="A1204" s="22" t="s">
        <v>2878</v>
      </c>
      <c r="B1204" s="23">
        <v>45559</v>
      </c>
      <c r="C1204" s="22" t="s">
        <v>551</v>
      </c>
      <c r="D1204" s="22" t="s">
        <v>234</v>
      </c>
      <c r="E1204" s="22" t="s">
        <v>2879</v>
      </c>
      <c r="F1204" s="24">
        <v>4</v>
      </c>
      <c r="G1204" s="24">
        <v>660</v>
      </c>
      <c r="H1204" s="24">
        <v>3.6</v>
      </c>
      <c r="I1204" s="24">
        <v>2544.96</v>
      </c>
      <c r="J1204" s="22" t="s">
        <v>104</v>
      </c>
      <c r="K1204" s="22" t="s">
        <v>105</v>
      </c>
      <c r="L1204" t="str">
        <f>VLOOKUP(D1204,Products!A:F,3,FALSE())</f>
        <v>Home</v>
      </c>
      <c r="M1204" t="str">
        <f>VLOOKUP(C1204,Customers!A:F,5,FALSE())</f>
        <v>Corporate</v>
      </c>
      <c r="O1204" t="str">
        <f>IFERROR(VLOOKUP(E1204,Sales_Reps!$A:$C,3,FALSE()),"")</f>
        <v/>
      </c>
      <c r="P1204">
        <f>IFERROR(VLOOKUP(C1204,Customers!$A:$C,3,FALSE()),"")</f>
        <v>48</v>
      </c>
      <c r="Q1204" t="str">
        <f t="shared" si="18"/>
        <v>Sep-24</v>
      </c>
      <c r="R1204">
        <f>IFERROR((VLOOKUP(D1204,Products!$A:$E,5,FALSE())-VLOOKUP(D1204,Products!$A:$E,4,FALSE()))/VLOOKUP(D1204,Products!$A:$E,5,FALSE()),"")</f>
        <v>0.50151515151515147</v>
      </c>
    </row>
    <row r="1205" spans="1:18" x14ac:dyDescent="0.3">
      <c r="A1205" s="22" t="s">
        <v>2880</v>
      </c>
      <c r="B1205" s="23">
        <v>45501</v>
      </c>
      <c r="C1205" s="22" t="s">
        <v>1634</v>
      </c>
      <c r="D1205" s="22" t="s">
        <v>145</v>
      </c>
      <c r="E1205" s="22" t="s">
        <v>2881</v>
      </c>
      <c r="F1205" s="24">
        <v>7</v>
      </c>
      <c r="G1205" s="24">
        <v>970</v>
      </c>
      <c r="H1205" s="24">
        <v>23.7</v>
      </c>
      <c r="I1205" s="24">
        <v>5180.7700000000004</v>
      </c>
      <c r="J1205" s="22" t="s">
        <v>104</v>
      </c>
      <c r="K1205" s="22" t="s">
        <v>129</v>
      </c>
      <c r="L1205" t="str">
        <f>VLOOKUP(D1205,Products!A:F,3,FALSE())</f>
        <v>Grocery</v>
      </c>
      <c r="M1205" t="str">
        <f>VLOOKUP(C1205,Customers!A:F,5,FALSE())</f>
        <v>Retail</v>
      </c>
      <c r="O1205" t="str">
        <f>IFERROR(VLOOKUP(E1205,Sales_Reps!$A:$C,3,FALSE()),"")</f>
        <v/>
      </c>
      <c r="P1205">
        <f>IFERROR(VLOOKUP(C1205,Customers!$A:$C,3,FALSE()),"")</f>
        <v>54</v>
      </c>
      <c r="Q1205" t="str">
        <f t="shared" si="18"/>
        <v>Jul-24</v>
      </c>
      <c r="R1205">
        <f>IFERROR((VLOOKUP(D1205,Products!$A:$E,5,FALSE())-VLOOKUP(D1205,Products!$A:$E,4,FALSE()))/VLOOKUP(D1205,Products!$A:$E,5,FALSE()),"")</f>
        <v>0.5525773195876289</v>
      </c>
    </row>
    <row r="1206" spans="1:18" x14ac:dyDescent="0.3">
      <c r="A1206" s="22" t="s">
        <v>2882</v>
      </c>
      <c r="B1206" s="23">
        <v>45338</v>
      </c>
      <c r="C1206" s="22" t="s">
        <v>1303</v>
      </c>
      <c r="D1206" s="22" t="s">
        <v>149</v>
      </c>
      <c r="E1206" s="22" t="s">
        <v>2883</v>
      </c>
      <c r="F1206" s="24">
        <v>8</v>
      </c>
      <c r="G1206" s="24">
        <v>2270</v>
      </c>
      <c r="H1206" s="24">
        <v>6.8</v>
      </c>
      <c r="I1206" s="24">
        <v>16925.12</v>
      </c>
      <c r="J1206" s="22" t="s">
        <v>104</v>
      </c>
      <c r="K1206" s="22" t="s">
        <v>116</v>
      </c>
      <c r="L1206" t="str">
        <f>VLOOKUP(D1206,Products!A:F,3,FALSE())</f>
        <v>Grocery</v>
      </c>
      <c r="M1206" t="str">
        <f>VLOOKUP(C1206,Customers!A:F,5,FALSE())</f>
        <v>SMB</v>
      </c>
      <c r="O1206" t="str">
        <f>IFERROR(VLOOKUP(E1206,Sales_Reps!$A:$C,3,FALSE()),"")</f>
        <v/>
      </c>
      <c r="P1206">
        <f>IFERROR(VLOOKUP(C1206,Customers!$A:$C,3,FALSE()),"")</f>
        <v>38</v>
      </c>
      <c r="Q1206" t="str">
        <f t="shared" si="18"/>
        <v>Feb-24</v>
      </c>
      <c r="R1206">
        <f>IFERROR((VLOOKUP(D1206,Products!$A:$E,5,FALSE())-VLOOKUP(D1206,Products!$A:$E,4,FALSE()))/VLOOKUP(D1206,Products!$A:$E,5,FALSE()),"")</f>
        <v>0.47004405286343615</v>
      </c>
    </row>
    <row r="1207" spans="1:18" x14ac:dyDescent="0.3">
      <c r="A1207" s="22" t="s">
        <v>2884</v>
      </c>
      <c r="B1207" s="23">
        <v>45585</v>
      </c>
      <c r="C1207" s="22" t="s">
        <v>861</v>
      </c>
      <c r="D1207" s="22" t="s">
        <v>171</v>
      </c>
      <c r="E1207" s="22" t="s">
        <v>2885</v>
      </c>
      <c r="F1207" s="24">
        <v>1</v>
      </c>
      <c r="G1207" s="24">
        <v>2400</v>
      </c>
      <c r="H1207" s="24">
        <v>26.5</v>
      </c>
      <c r="I1207" s="24">
        <v>1764</v>
      </c>
      <c r="J1207" s="22" t="s">
        <v>104</v>
      </c>
      <c r="K1207" s="22" t="s">
        <v>129</v>
      </c>
      <c r="L1207" t="str">
        <f>VLOOKUP(D1207,Products!A:F,3,FALSE())</f>
        <v>Sports</v>
      </c>
      <c r="M1207" t="str">
        <f>VLOOKUP(C1207,Customers!A:F,5,FALSE())</f>
        <v>SMB</v>
      </c>
      <c r="O1207" t="str">
        <f>IFERROR(VLOOKUP(E1207,Sales_Reps!$A:$C,3,FALSE()),"")</f>
        <v/>
      </c>
      <c r="P1207">
        <f>IFERROR(VLOOKUP(C1207,Customers!$A:$C,3,FALSE()),"")</f>
        <v>65</v>
      </c>
      <c r="Q1207" t="str">
        <f t="shared" si="18"/>
        <v>Oct-24</v>
      </c>
      <c r="R1207">
        <f>IFERROR((VLOOKUP(D1207,Products!$A:$E,5,FALSE())-VLOOKUP(D1207,Products!$A:$E,4,FALSE()))/VLOOKUP(D1207,Products!$A:$E,5,FALSE()),"")</f>
        <v>0.59416666666666662</v>
      </c>
    </row>
    <row r="1208" spans="1:18" x14ac:dyDescent="0.3">
      <c r="A1208" s="22" t="s">
        <v>2886</v>
      </c>
      <c r="B1208" s="23">
        <v>45525</v>
      </c>
      <c r="C1208" s="22" t="s">
        <v>906</v>
      </c>
      <c r="D1208" s="22" t="s">
        <v>577</v>
      </c>
      <c r="E1208" s="22" t="s">
        <v>2887</v>
      </c>
      <c r="F1208" s="24">
        <v>5</v>
      </c>
      <c r="G1208" s="24">
        <v>5080</v>
      </c>
      <c r="H1208" s="24">
        <v>29.6</v>
      </c>
      <c r="I1208" s="24">
        <v>17881.599999999999</v>
      </c>
      <c r="J1208" s="22" t="s">
        <v>104</v>
      </c>
      <c r="K1208" s="22" t="s">
        <v>129</v>
      </c>
      <c r="L1208" t="str">
        <f>VLOOKUP(D1208,Products!A:F,3,FALSE())</f>
        <v>Home</v>
      </c>
      <c r="M1208" t="str">
        <f>VLOOKUP(C1208,Customers!A:F,5,FALSE())</f>
        <v>SMB</v>
      </c>
      <c r="O1208" t="str">
        <f>IFERROR(VLOOKUP(E1208,Sales_Reps!$A:$C,3,FALSE()),"")</f>
        <v/>
      </c>
      <c r="P1208">
        <f>IFERROR(VLOOKUP(C1208,Customers!$A:$C,3,FALSE()),"")</f>
        <v>27</v>
      </c>
      <c r="Q1208" t="str">
        <f t="shared" si="18"/>
        <v>Aug-24</v>
      </c>
      <c r="R1208">
        <f>IFERROR((VLOOKUP(D1208,Products!$A:$E,5,FALSE())-VLOOKUP(D1208,Products!$A:$E,4,FALSE()))/VLOOKUP(D1208,Products!$A:$E,5,FALSE()),"")</f>
        <v>0.51594488188976373</v>
      </c>
    </row>
    <row r="1209" spans="1:18" x14ac:dyDescent="0.3">
      <c r="A1209" s="22" t="s">
        <v>2888</v>
      </c>
      <c r="B1209" s="23">
        <v>45351</v>
      </c>
      <c r="C1209" s="22" t="s">
        <v>377</v>
      </c>
      <c r="D1209" s="22" t="s">
        <v>205</v>
      </c>
      <c r="E1209" s="22" t="s">
        <v>2889</v>
      </c>
      <c r="F1209" s="24">
        <v>9</v>
      </c>
      <c r="G1209" s="24">
        <v>3350</v>
      </c>
      <c r="H1209" s="24">
        <v>6.2</v>
      </c>
      <c r="I1209" s="24">
        <v>28280.7</v>
      </c>
      <c r="J1209" s="22" t="s">
        <v>104</v>
      </c>
      <c r="K1209" s="22" t="s">
        <v>134</v>
      </c>
      <c r="L1209" t="str">
        <f>VLOOKUP(D1209,Products!A:F,3,FALSE())</f>
        <v>Beauty</v>
      </c>
      <c r="M1209" t="str">
        <f>VLOOKUP(C1209,Customers!A:F,5,FALSE())</f>
        <v>Retail</v>
      </c>
      <c r="O1209" t="str">
        <f>IFERROR(VLOOKUP(E1209,Sales_Reps!$A:$C,3,FALSE()),"")</f>
        <v/>
      </c>
      <c r="P1209">
        <f>IFERROR(VLOOKUP(C1209,Customers!$A:$C,3,FALSE()),"")</f>
        <v>42</v>
      </c>
      <c r="Q1209" t="str">
        <f t="shared" si="18"/>
        <v>Feb-24</v>
      </c>
      <c r="R1209">
        <f>IFERROR((VLOOKUP(D1209,Products!$A:$E,5,FALSE())-VLOOKUP(D1209,Products!$A:$E,4,FALSE()))/VLOOKUP(D1209,Products!$A:$E,5,FALSE()),"")</f>
        <v>0.48417910447761192</v>
      </c>
    </row>
    <row r="1210" spans="1:18" x14ac:dyDescent="0.3">
      <c r="A1210" s="22" t="s">
        <v>2890</v>
      </c>
      <c r="B1210" s="23">
        <v>45560</v>
      </c>
      <c r="C1210" s="22" t="s">
        <v>1172</v>
      </c>
      <c r="D1210" s="22" t="s">
        <v>308</v>
      </c>
      <c r="E1210" s="22" t="s">
        <v>2891</v>
      </c>
      <c r="F1210" s="24">
        <v>4</v>
      </c>
      <c r="G1210" s="24">
        <v>1540</v>
      </c>
      <c r="H1210" s="24">
        <v>22.2</v>
      </c>
      <c r="I1210" s="24">
        <v>4792.4799999999996</v>
      </c>
      <c r="J1210" s="22" t="s">
        <v>104</v>
      </c>
      <c r="K1210" s="22" t="s">
        <v>111</v>
      </c>
      <c r="L1210" t="str">
        <f>VLOOKUP(D1210,Products!A:F,3,FALSE())</f>
        <v>Beauty</v>
      </c>
      <c r="M1210" t="str">
        <f>VLOOKUP(C1210,Customers!A:F,5,FALSE())</f>
        <v>Retail</v>
      </c>
      <c r="O1210" t="str">
        <f>IFERROR(VLOOKUP(E1210,Sales_Reps!$A:$C,3,FALSE()),"")</f>
        <v/>
      </c>
      <c r="P1210">
        <f>IFERROR(VLOOKUP(C1210,Customers!$A:$C,3,FALSE()),"")</f>
        <v>22</v>
      </c>
      <c r="Q1210" t="str">
        <f t="shared" si="18"/>
        <v>Sep-24</v>
      </c>
      <c r="R1210">
        <f>IFERROR((VLOOKUP(D1210,Products!$A:$E,5,FALSE())-VLOOKUP(D1210,Products!$A:$E,4,FALSE()))/VLOOKUP(D1210,Products!$A:$E,5,FALSE()),"")</f>
        <v>0.57987012987012987</v>
      </c>
    </row>
    <row r="1211" spans="1:18" x14ac:dyDescent="0.3">
      <c r="A1211" s="22" t="s">
        <v>2892</v>
      </c>
      <c r="B1211" s="23">
        <v>45431</v>
      </c>
      <c r="C1211" s="22" t="s">
        <v>763</v>
      </c>
      <c r="D1211" s="22" t="s">
        <v>577</v>
      </c>
      <c r="E1211" s="22" t="s">
        <v>2893</v>
      </c>
      <c r="F1211" s="24">
        <v>10</v>
      </c>
      <c r="G1211" s="24">
        <v>5080</v>
      </c>
      <c r="H1211" s="24">
        <v>11.8</v>
      </c>
      <c r="I1211" s="24">
        <v>44805.599999999999</v>
      </c>
      <c r="J1211" s="22" t="s">
        <v>104</v>
      </c>
      <c r="K1211" s="22" t="s">
        <v>129</v>
      </c>
      <c r="L1211" t="str">
        <f>VLOOKUP(D1211,Products!A:F,3,FALSE())</f>
        <v>Home</v>
      </c>
      <c r="M1211" t="str">
        <f>VLOOKUP(C1211,Customers!A:F,5,FALSE())</f>
        <v>Retail</v>
      </c>
      <c r="O1211" t="str">
        <f>IFERROR(VLOOKUP(E1211,Sales_Reps!$A:$C,3,FALSE()),"")</f>
        <v/>
      </c>
      <c r="P1211">
        <f>IFERROR(VLOOKUP(C1211,Customers!$A:$C,3,FALSE()),"")</f>
        <v>65</v>
      </c>
      <c r="Q1211" t="str">
        <f t="shared" si="18"/>
        <v>May-24</v>
      </c>
      <c r="R1211">
        <f>IFERROR((VLOOKUP(D1211,Products!$A:$E,5,FALSE())-VLOOKUP(D1211,Products!$A:$E,4,FALSE()))/VLOOKUP(D1211,Products!$A:$E,5,FALSE()),"")</f>
        <v>0.51594488188976373</v>
      </c>
    </row>
    <row r="1212" spans="1:18" x14ac:dyDescent="0.3">
      <c r="A1212" s="22" t="s">
        <v>2894</v>
      </c>
      <c r="B1212" s="23">
        <v>45296</v>
      </c>
      <c r="C1212" s="22" t="s">
        <v>1461</v>
      </c>
      <c r="D1212" s="22" t="s">
        <v>935</v>
      </c>
      <c r="E1212" s="22" t="s">
        <v>2895</v>
      </c>
      <c r="F1212" s="24">
        <v>9</v>
      </c>
      <c r="G1212" s="24">
        <v>3560</v>
      </c>
      <c r="H1212" s="24">
        <v>15.9</v>
      </c>
      <c r="I1212" s="24">
        <v>26945.64</v>
      </c>
      <c r="J1212" s="22" t="s">
        <v>104</v>
      </c>
      <c r="K1212" s="22" t="s">
        <v>129</v>
      </c>
      <c r="L1212" t="str">
        <f>VLOOKUP(D1212,Products!A:F,3,FALSE())</f>
        <v>Apparel</v>
      </c>
      <c r="M1212" t="str">
        <f>VLOOKUP(C1212,Customers!A:F,5,FALSE())</f>
        <v>Retail</v>
      </c>
      <c r="O1212" t="str">
        <f>IFERROR(VLOOKUP(E1212,Sales_Reps!$A:$C,3,FALSE()),"")</f>
        <v/>
      </c>
      <c r="P1212">
        <f>IFERROR(VLOOKUP(C1212,Customers!$A:$C,3,FALSE()),"")</f>
        <v>49</v>
      </c>
      <c r="Q1212" t="str">
        <f t="shared" si="18"/>
        <v>Jan-24</v>
      </c>
      <c r="R1212">
        <f>IFERROR((VLOOKUP(D1212,Products!$A:$E,5,FALSE())-VLOOKUP(D1212,Products!$A:$E,4,FALSE()))/VLOOKUP(D1212,Products!$A:$E,5,FALSE()),"")</f>
        <v>0.26151685393258428</v>
      </c>
    </row>
    <row r="1213" spans="1:18" x14ac:dyDescent="0.3">
      <c r="A1213" s="22" t="s">
        <v>2896</v>
      </c>
      <c r="B1213" s="23">
        <v>45629</v>
      </c>
      <c r="C1213" s="22" t="s">
        <v>1539</v>
      </c>
      <c r="D1213" s="22" t="s">
        <v>186</v>
      </c>
      <c r="E1213" s="22" t="s">
        <v>2897</v>
      </c>
      <c r="F1213" s="24">
        <v>2</v>
      </c>
      <c r="G1213" s="24">
        <v>1080</v>
      </c>
      <c r="H1213" s="24">
        <v>21.1</v>
      </c>
      <c r="I1213" s="24">
        <v>1704.24</v>
      </c>
      <c r="J1213" s="22" t="s">
        <v>104</v>
      </c>
      <c r="K1213" s="22" t="s">
        <v>134</v>
      </c>
      <c r="L1213" t="str">
        <f>VLOOKUP(D1213,Products!A:F,3,FALSE())</f>
        <v>Home</v>
      </c>
      <c r="M1213" t="str">
        <f>VLOOKUP(C1213,Customers!A:F,5,FALSE())</f>
        <v>Retail</v>
      </c>
      <c r="O1213" t="str">
        <f>IFERROR(VLOOKUP(E1213,Sales_Reps!$A:$C,3,FALSE()),"")</f>
        <v/>
      </c>
      <c r="P1213">
        <f>IFERROR(VLOOKUP(C1213,Customers!$A:$C,3,FALSE()),"")</f>
        <v>27</v>
      </c>
      <c r="Q1213" t="str">
        <f t="shared" si="18"/>
        <v>Dec-24</v>
      </c>
      <c r="R1213">
        <f>IFERROR((VLOOKUP(D1213,Products!$A:$E,5,FALSE())-VLOOKUP(D1213,Products!$A:$E,4,FALSE()))/VLOOKUP(D1213,Products!$A:$E,5,FALSE()),"")</f>
        <v>0.51944444444444449</v>
      </c>
    </row>
    <row r="1214" spans="1:18" x14ac:dyDescent="0.3">
      <c r="A1214" s="22" t="s">
        <v>2898</v>
      </c>
      <c r="B1214" s="23">
        <v>45310</v>
      </c>
      <c r="C1214" s="22" t="s">
        <v>497</v>
      </c>
      <c r="D1214" s="22" t="s">
        <v>459</v>
      </c>
      <c r="E1214" s="22" t="s">
        <v>2899</v>
      </c>
      <c r="F1214" s="24">
        <v>5</v>
      </c>
      <c r="G1214" s="24">
        <v>2380</v>
      </c>
      <c r="H1214" s="24">
        <v>20.5</v>
      </c>
      <c r="I1214" s="24">
        <v>9460.5</v>
      </c>
      <c r="J1214" s="22" t="s">
        <v>104</v>
      </c>
      <c r="K1214" s="22" t="s">
        <v>129</v>
      </c>
      <c r="L1214" t="str">
        <f>VLOOKUP(D1214,Products!A:F,3,FALSE())</f>
        <v>Grocery</v>
      </c>
      <c r="M1214" t="str">
        <f>VLOOKUP(C1214,Customers!A:F,5,FALSE())</f>
        <v>Retail</v>
      </c>
      <c r="O1214" t="str">
        <f>IFERROR(VLOOKUP(E1214,Sales_Reps!$A:$C,3,FALSE()),"")</f>
        <v/>
      </c>
      <c r="P1214">
        <f>IFERROR(VLOOKUP(C1214,Customers!$A:$C,3,FALSE()),"")</f>
        <v>50</v>
      </c>
      <c r="Q1214" t="str">
        <f t="shared" si="18"/>
        <v>Jan-24</v>
      </c>
      <c r="R1214">
        <f>IFERROR((VLOOKUP(D1214,Products!$A:$E,5,FALSE())-VLOOKUP(D1214,Products!$A:$E,4,FALSE()))/VLOOKUP(D1214,Products!$A:$E,5,FALSE()),"")</f>
        <v>0.50336134453781511</v>
      </c>
    </row>
    <row r="1215" spans="1:18" x14ac:dyDescent="0.3">
      <c r="A1215" s="22" t="s">
        <v>2900</v>
      </c>
      <c r="B1215" s="23">
        <v>45498</v>
      </c>
      <c r="C1215" s="22" t="s">
        <v>389</v>
      </c>
      <c r="D1215" s="22" t="s">
        <v>190</v>
      </c>
      <c r="E1215" s="22" t="s">
        <v>2901</v>
      </c>
      <c r="F1215" s="24">
        <v>9</v>
      </c>
      <c r="G1215" s="24">
        <v>2480</v>
      </c>
      <c r="H1215" s="24">
        <v>1.2</v>
      </c>
      <c r="I1215" s="24">
        <v>22052.16</v>
      </c>
      <c r="J1215" s="22" t="s">
        <v>104</v>
      </c>
      <c r="K1215" s="22" t="s">
        <v>111</v>
      </c>
      <c r="L1215" t="str">
        <f>VLOOKUP(D1215,Products!A:F,3,FALSE())</f>
        <v>Apparel</v>
      </c>
      <c r="M1215" t="str">
        <f>VLOOKUP(C1215,Customers!A:F,5,FALSE())</f>
        <v>SMB</v>
      </c>
      <c r="O1215" t="str">
        <f>IFERROR(VLOOKUP(E1215,Sales_Reps!$A:$C,3,FALSE()),"")</f>
        <v/>
      </c>
      <c r="P1215">
        <f>IFERROR(VLOOKUP(C1215,Customers!$A:$C,3,FALSE()),"")</f>
        <v>57</v>
      </c>
      <c r="Q1215" t="str">
        <f t="shared" si="18"/>
        <v>Jul-24</v>
      </c>
      <c r="R1215">
        <f>IFERROR((VLOOKUP(D1215,Products!$A:$E,5,FALSE())-VLOOKUP(D1215,Products!$A:$E,4,FALSE()))/VLOOKUP(D1215,Products!$A:$E,5,FALSE()),"")</f>
        <v>0.52701612903225803</v>
      </c>
    </row>
    <row r="1216" spans="1:18" x14ac:dyDescent="0.3">
      <c r="A1216" s="22" t="s">
        <v>2902</v>
      </c>
      <c r="B1216" s="23">
        <v>45348</v>
      </c>
      <c r="C1216" s="22" t="s">
        <v>1077</v>
      </c>
      <c r="D1216" s="22" t="s">
        <v>488</v>
      </c>
      <c r="E1216" s="22" t="s">
        <v>2903</v>
      </c>
      <c r="F1216" s="24">
        <v>9</v>
      </c>
      <c r="G1216" s="24">
        <v>2290</v>
      </c>
      <c r="H1216" s="24">
        <v>0.9</v>
      </c>
      <c r="I1216" s="24">
        <v>20424.509999999998</v>
      </c>
      <c r="J1216" s="22" t="s">
        <v>104</v>
      </c>
      <c r="K1216" s="22" t="s">
        <v>151</v>
      </c>
      <c r="L1216" t="str">
        <f>VLOOKUP(D1216,Products!A:F,3,FALSE())</f>
        <v>Beauty</v>
      </c>
      <c r="M1216" t="str">
        <f>VLOOKUP(C1216,Customers!A:F,5,FALSE())</f>
        <v>SMB</v>
      </c>
      <c r="O1216" t="str">
        <f>IFERROR(VLOOKUP(E1216,Sales_Reps!$A:$C,3,FALSE()),"")</f>
        <v/>
      </c>
      <c r="P1216">
        <f>IFERROR(VLOOKUP(C1216,Customers!$A:$C,3,FALSE()),"")</f>
        <v>29</v>
      </c>
      <c r="Q1216" t="str">
        <f t="shared" si="18"/>
        <v>Feb-24</v>
      </c>
      <c r="R1216">
        <f>IFERROR((VLOOKUP(D1216,Products!$A:$E,5,FALSE())-VLOOKUP(D1216,Products!$A:$E,4,FALSE()))/VLOOKUP(D1216,Products!$A:$E,5,FALSE()),"")</f>
        <v>0.46768558951965067</v>
      </c>
    </row>
    <row r="1217" spans="1:18" x14ac:dyDescent="0.3">
      <c r="A1217" s="22" t="s">
        <v>2904</v>
      </c>
      <c r="B1217" s="23">
        <v>45382</v>
      </c>
      <c r="C1217" s="22" t="s">
        <v>716</v>
      </c>
      <c r="D1217" s="22" t="s">
        <v>591</v>
      </c>
      <c r="E1217" s="22" t="s">
        <v>2905</v>
      </c>
      <c r="F1217" s="24">
        <v>3</v>
      </c>
      <c r="G1217" s="24">
        <v>3450</v>
      </c>
      <c r="H1217" s="24">
        <v>29.5</v>
      </c>
      <c r="I1217" s="24">
        <v>7296.75</v>
      </c>
      <c r="J1217" s="22" t="s">
        <v>104</v>
      </c>
      <c r="K1217" s="22" t="s">
        <v>129</v>
      </c>
      <c r="L1217" t="str">
        <f>VLOOKUP(D1217,Products!A:F,3,FALSE())</f>
        <v>Apparel</v>
      </c>
      <c r="M1217" t="str">
        <f>VLOOKUP(C1217,Customers!A:F,5,FALSE())</f>
        <v>Retail</v>
      </c>
      <c r="O1217" t="str">
        <f>IFERROR(VLOOKUP(E1217,Sales_Reps!$A:$C,3,FALSE()),"")</f>
        <v/>
      </c>
      <c r="P1217">
        <f>IFERROR(VLOOKUP(C1217,Customers!$A:$C,3,FALSE()),"")</f>
        <v>44</v>
      </c>
      <c r="Q1217" t="str">
        <f t="shared" si="18"/>
        <v>Mar-24</v>
      </c>
      <c r="R1217">
        <f>IFERROR((VLOOKUP(D1217,Products!$A:$E,5,FALSE())-VLOOKUP(D1217,Products!$A:$E,4,FALSE()))/VLOOKUP(D1217,Products!$A:$E,5,FALSE()),"")</f>
        <v>0.49333333333333335</v>
      </c>
    </row>
    <row r="1218" spans="1:18" x14ac:dyDescent="0.3">
      <c r="A1218" s="22" t="s">
        <v>2906</v>
      </c>
      <c r="B1218" s="23">
        <v>45569</v>
      </c>
      <c r="C1218" s="22" t="s">
        <v>156</v>
      </c>
      <c r="D1218" s="22" t="s">
        <v>178</v>
      </c>
      <c r="E1218" s="22" t="s">
        <v>2907</v>
      </c>
      <c r="F1218" s="24">
        <v>9</v>
      </c>
      <c r="G1218" s="24">
        <v>3450</v>
      </c>
      <c r="H1218" s="24">
        <v>19.399999999999999</v>
      </c>
      <c r="I1218" s="24">
        <v>25026.3</v>
      </c>
      <c r="J1218" s="22" t="s">
        <v>104</v>
      </c>
      <c r="K1218" s="22" t="s">
        <v>116</v>
      </c>
      <c r="L1218" t="str">
        <f>VLOOKUP(D1218,Products!A:F,3,FALSE())</f>
        <v>Beauty</v>
      </c>
      <c r="M1218" t="str">
        <f>VLOOKUP(C1218,Customers!A:F,5,FALSE())</f>
        <v>SMB</v>
      </c>
      <c r="O1218" t="str">
        <f>IFERROR(VLOOKUP(E1218,Sales_Reps!$A:$C,3,FALSE()),"")</f>
        <v/>
      </c>
      <c r="P1218">
        <f>IFERROR(VLOOKUP(C1218,Customers!$A:$C,3,FALSE()),"")</f>
        <v>27</v>
      </c>
      <c r="Q1218" t="str">
        <f t="shared" ref="Q1218:Q1281" si="19">TEXT(B1218,"mmm-yy")</f>
        <v>Oct-24</v>
      </c>
      <c r="R1218">
        <f>IFERROR((VLOOKUP(D1218,Products!$A:$E,5,FALSE())-VLOOKUP(D1218,Products!$A:$E,4,FALSE()))/VLOOKUP(D1218,Products!$A:$E,5,FALSE()),"")</f>
        <v>0.29855072463768118</v>
      </c>
    </row>
    <row r="1219" spans="1:18" x14ac:dyDescent="0.3">
      <c r="A1219" s="22" t="s">
        <v>2908</v>
      </c>
      <c r="B1219" s="23">
        <v>45516</v>
      </c>
      <c r="C1219" s="22" t="s">
        <v>408</v>
      </c>
      <c r="D1219" s="22" t="s">
        <v>157</v>
      </c>
      <c r="E1219" s="22" t="s">
        <v>2909</v>
      </c>
      <c r="F1219" s="24">
        <v>2</v>
      </c>
      <c r="G1219" s="24">
        <v>2600</v>
      </c>
      <c r="H1219" s="24">
        <v>20.2</v>
      </c>
      <c r="I1219" s="24">
        <v>4149.6000000000004</v>
      </c>
      <c r="J1219" s="22" t="s">
        <v>159</v>
      </c>
      <c r="K1219" s="22" t="s">
        <v>134</v>
      </c>
      <c r="L1219" t="str">
        <f>VLOOKUP(D1219,Products!A:F,3,FALSE())</f>
        <v>Electronics</v>
      </c>
      <c r="M1219" t="str">
        <f>VLOOKUP(C1219,Customers!A:F,5,FALSE())</f>
        <v>Corporate</v>
      </c>
      <c r="O1219" t="str">
        <f>IFERROR(VLOOKUP(E1219,Sales_Reps!$A:$C,3,FALSE()),"")</f>
        <v/>
      </c>
      <c r="P1219">
        <f>IFERROR(VLOOKUP(C1219,Customers!$A:$C,3,FALSE()),"")</f>
        <v>59</v>
      </c>
      <c r="Q1219" t="str">
        <f t="shared" si="19"/>
        <v>Aug-24</v>
      </c>
      <c r="R1219">
        <f>IFERROR((VLOOKUP(D1219,Products!$A:$E,5,FALSE())-VLOOKUP(D1219,Products!$A:$E,4,FALSE()))/VLOOKUP(D1219,Products!$A:$E,5,FALSE()),"")</f>
        <v>0.5953846153846154</v>
      </c>
    </row>
    <row r="1220" spans="1:18" x14ac:dyDescent="0.3">
      <c r="A1220" s="22" t="s">
        <v>2910</v>
      </c>
      <c r="B1220" s="23">
        <v>45519</v>
      </c>
      <c r="C1220" s="22" t="s">
        <v>1568</v>
      </c>
      <c r="D1220" s="22" t="s">
        <v>231</v>
      </c>
      <c r="E1220" s="22" t="s">
        <v>2911</v>
      </c>
      <c r="F1220" s="24">
        <v>1</v>
      </c>
      <c r="G1220" s="24">
        <v>2760</v>
      </c>
      <c r="H1220" s="24">
        <v>9.5</v>
      </c>
      <c r="I1220" s="24">
        <v>2497.8000000000002</v>
      </c>
      <c r="J1220" s="22" t="s">
        <v>104</v>
      </c>
      <c r="K1220" s="22" t="s">
        <v>134</v>
      </c>
      <c r="L1220" t="str">
        <f>VLOOKUP(D1220,Products!A:F,3,FALSE())</f>
        <v>Grocery</v>
      </c>
      <c r="M1220" t="str">
        <f>VLOOKUP(C1220,Customers!A:F,5,FALSE())</f>
        <v>SMB</v>
      </c>
      <c r="O1220" t="str">
        <f>IFERROR(VLOOKUP(E1220,Sales_Reps!$A:$C,3,FALSE()),"")</f>
        <v/>
      </c>
      <c r="P1220">
        <f>IFERROR(VLOOKUP(C1220,Customers!$A:$C,3,FALSE()),"")</f>
        <v>49</v>
      </c>
      <c r="Q1220" t="str">
        <f t="shared" si="19"/>
        <v>Aug-24</v>
      </c>
      <c r="R1220">
        <f>IFERROR((VLOOKUP(D1220,Products!$A:$E,5,FALSE())-VLOOKUP(D1220,Products!$A:$E,4,FALSE()))/VLOOKUP(D1220,Products!$A:$E,5,FALSE()),"")</f>
        <v>0.48007246376811596</v>
      </c>
    </row>
    <row r="1221" spans="1:18" x14ac:dyDescent="0.3">
      <c r="A1221" s="22" t="s">
        <v>2912</v>
      </c>
      <c r="B1221" s="23">
        <v>45593</v>
      </c>
      <c r="C1221" s="22" t="s">
        <v>833</v>
      </c>
      <c r="D1221" s="22" t="s">
        <v>323</v>
      </c>
      <c r="E1221" s="22" t="s">
        <v>2913</v>
      </c>
      <c r="F1221" s="24">
        <v>4</v>
      </c>
      <c r="G1221" s="24">
        <v>4610</v>
      </c>
      <c r="H1221" s="24">
        <v>14.8</v>
      </c>
      <c r="I1221" s="24">
        <v>15710.88</v>
      </c>
      <c r="J1221" s="22" t="s">
        <v>104</v>
      </c>
      <c r="K1221" s="22" t="s">
        <v>134</v>
      </c>
      <c r="L1221" t="str">
        <f>VLOOKUP(D1221,Products!A:F,3,FALSE())</f>
        <v>Home</v>
      </c>
      <c r="M1221" t="str">
        <f>VLOOKUP(C1221,Customers!A:F,5,FALSE())</f>
        <v>Corporate</v>
      </c>
      <c r="O1221" t="str">
        <f>IFERROR(VLOOKUP(E1221,Sales_Reps!$A:$C,3,FALSE()),"")</f>
        <v/>
      </c>
      <c r="P1221">
        <f>IFERROR(VLOOKUP(C1221,Customers!$A:$C,3,FALSE()),"")</f>
        <v>26</v>
      </c>
      <c r="Q1221" t="str">
        <f t="shared" si="19"/>
        <v>Oct-24</v>
      </c>
      <c r="R1221">
        <f>IFERROR((VLOOKUP(D1221,Products!$A:$E,5,FALSE())-VLOOKUP(D1221,Products!$A:$E,4,FALSE()))/VLOOKUP(D1221,Products!$A:$E,5,FALSE()),"")</f>
        <v>0.59869848156182215</v>
      </c>
    </row>
    <row r="1222" spans="1:18" x14ac:dyDescent="0.3">
      <c r="A1222" s="22" t="s">
        <v>2914</v>
      </c>
      <c r="B1222" s="23">
        <v>45532</v>
      </c>
      <c r="C1222" s="22" t="s">
        <v>148</v>
      </c>
      <c r="D1222" s="22" t="s">
        <v>190</v>
      </c>
      <c r="E1222" s="22" t="s">
        <v>2915</v>
      </c>
      <c r="F1222" s="24">
        <v>3</v>
      </c>
      <c r="G1222" s="24">
        <v>2480</v>
      </c>
      <c r="H1222" s="24">
        <v>3.7</v>
      </c>
      <c r="I1222" s="24">
        <v>7164.72</v>
      </c>
      <c r="J1222" s="22" t="s">
        <v>104</v>
      </c>
      <c r="K1222" s="22" t="s">
        <v>151</v>
      </c>
      <c r="L1222" t="str">
        <f>VLOOKUP(D1222,Products!A:F,3,FALSE())</f>
        <v>Apparel</v>
      </c>
      <c r="M1222" t="str">
        <f>VLOOKUP(C1222,Customers!A:F,5,FALSE())</f>
        <v>Retail</v>
      </c>
      <c r="O1222" t="str">
        <f>IFERROR(VLOOKUP(E1222,Sales_Reps!$A:$C,3,FALSE()),"")</f>
        <v/>
      </c>
      <c r="P1222">
        <f>IFERROR(VLOOKUP(C1222,Customers!$A:$C,3,FALSE()),"")</f>
        <v>60</v>
      </c>
      <c r="Q1222" t="str">
        <f t="shared" si="19"/>
        <v>Aug-24</v>
      </c>
      <c r="R1222">
        <f>IFERROR((VLOOKUP(D1222,Products!$A:$E,5,FALSE())-VLOOKUP(D1222,Products!$A:$E,4,FALSE()))/VLOOKUP(D1222,Products!$A:$E,5,FALSE()),"")</f>
        <v>0.52701612903225803</v>
      </c>
    </row>
    <row r="1223" spans="1:18" x14ac:dyDescent="0.3">
      <c r="A1223" s="22" t="s">
        <v>2916</v>
      </c>
      <c r="B1223" s="23">
        <v>45610</v>
      </c>
      <c r="C1223" s="22" t="s">
        <v>1077</v>
      </c>
      <c r="D1223" s="22" t="s">
        <v>695</v>
      </c>
      <c r="E1223" s="22" t="s">
        <v>2917</v>
      </c>
      <c r="F1223" s="24">
        <v>5</v>
      </c>
      <c r="G1223" s="24">
        <v>6940</v>
      </c>
      <c r="H1223" s="24">
        <v>0.3</v>
      </c>
      <c r="I1223" s="24">
        <v>34595.9</v>
      </c>
      <c r="J1223" s="22" t="s">
        <v>104</v>
      </c>
      <c r="K1223" s="22" t="s">
        <v>151</v>
      </c>
      <c r="L1223" t="str">
        <f>VLOOKUP(D1223,Products!A:F,3,FALSE())</f>
        <v>Sports</v>
      </c>
      <c r="M1223" t="str">
        <f>VLOOKUP(C1223,Customers!A:F,5,FALSE())</f>
        <v>SMB</v>
      </c>
      <c r="O1223" t="str">
        <f>IFERROR(VLOOKUP(E1223,Sales_Reps!$A:$C,3,FALSE()),"")</f>
        <v/>
      </c>
      <c r="P1223">
        <f>IFERROR(VLOOKUP(C1223,Customers!$A:$C,3,FALSE()),"")</f>
        <v>29</v>
      </c>
      <c r="Q1223" t="str">
        <f t="shared" si="19"/>
        <v>Nov-24</v>
      </c>
      <c r="R1223">
        <f>IFERROR((VLOOKUP(D1223,Products!$A:$E,5,FALSE())-VLOOKUP(D1223,Products!$A:$E,4,FALSE()))/VLOOKUP(D1223,Products!$A:$E,5,FALSE()),"")</f>
        <v>0.5926512968299712</v>
      </c>
    </row>
    <row r="1224" spans="1:18" x14ac:dyDescent="0.3">
      <c r="A1224" s="22" t="s">
        <v>2918</v>
      </c>
      <c r="B1224" s="23">
        <v>45560</v>
      </c>
      <c r="C1224" s="22" t="s">
        <v>724</v>
      </c>
      <c r="D1224" s="22" t="s">
        <v>289</v>
      </c>
      <c r="E1224" s="22" t="s">
        <v>2919</v>
      </c>
      <c r="F1224" s="24">
        <v>8</v>
      </c>
      <c r="G1224" s="24">
        <v>2270</v>
      </c>
      <c r="H1224" s="24">
        <v>15.6</v>
      </c>
      <c r="I1224" s="24">
        <v>15327.04</v>
      </c>
      <c r="J1224" s="22" t="s">
        <v>110</v>
      </c>
      <c r="K1224" s="22" t="s">
        <v>116</v>
      </c>
      <c r="L1224" t="str">
        <f>VLOOKUP(D1224,Products!A:F,3,FALSE())</f>
        <v>Grocery</v>
      </c>
      <c r="M1224" t="str">
        <f>VLOOKUP(C1224,Customers!A:F,5,FALSE())</f>
        <v>SMB</v>
      </c>
      <c r="O1224" t="str">
        <f>IFERROR(VLOOKUP(E1224,Sales_Reps!$A:$C,3,FALSE()),"")</f>
        <v/>
      </c>
      <c r="P1224">
        <f>IFERROR(VLOOKUP(C1224,Customers!$A:$C,3,FALSE()),"")</f>
        <v>48</v>
      </c>
      <c r="Q1224" t="str">
        <f t="shared" si="19"/>
        <v>Sep-24</v>
      </c>
      <c r="R1224">
        <f>IFERROR((VLOOKUP(D1224,Products!$A:$E,5,FALSE())-VLOOKUP(D1224,Products!$A:$E,4,FALSE()))/VLOOKUP(D1224,Products!$A:$E,5,FALSE()),"")</f>
        <v>0.37797356828193834</v>
      </c>
    </row>
    <row r="1225" spans="1:18" x14ac:dyDescent="0.3">
      <c r="A1225" s="22" t="s">
        <v>2920</v>
      </c>
      <c r="B1225" s="23">
        <v>45431</v>
      </c>
      <c r="C1225" s="22" t="s">
        <v>1508</v>
      </c>
      <c r="D1225" s="22" t="s">
        <v>220</v>
      </c>
      <c r="E1225" s="22" t="s">
        <v>2921</v>
      </c>
      <c r="F1225" s="24">
        <v>5</v>
      </c>
      <c r="G1225" s="24">
        <v>5100</v>
      </c>
      <c r="H1225" s="24">
        <v>9.5</v>
      </c>
      <c r="I1225" s="24">
        <v>23077.5</v>
      </c>
      <c r="J1225" s="22" t="s">
        <v>104</v>
      </c>
      <c r="K1225" s="22" t="s">
        <v>134</v>
      </c>
      <c r="L1225" t="str">
        <f>VLOOKUP(D1225,Products!A:F,3,FALSE())</f>
        <v>Beauty</v>
      </c>
      <c r="M1225" t="str">
        <f>VLOOKUP(C1225,Customers!A:F,5,FALSE())</f>
        <v>SMB</v>
      </c>
      <c r="O1225" t="str">
        <f>IFERROR(VLOOKUP(E1225,Sales_Reps!$A:$C,3,FALSE()),"")</f>
        <v/>
      </c>
      <c r="P1225">
        <f>IFERROR(VLOOKUP(C1225,Customers!$A:$C,3,FALSE()),"")</f>
        <v>36</v>
      </c>
      <c r="Q1225" t="str">
        <f t="shared" si="19"/>
        <v>May-24</v>
      </c>
      <c r="R1225">
        <f>IFERROR((VLOOKUP(D1225,Products!$A:$E,5,FALSE())-VLOOKUP(D1225,Products!$A:$E,4,FALSE()))/VLOOKUP(D1225,Products!$A:$E,5,FALSE()),"")</f>
        <v>0.56137254901960787</v>
      </c>
    </row>
    <row r="1226" spans="1:18" x14ac:dyDescent="0.3">
      <c r="A1226" s="22" t="s">
        <v>2922</v>
      </c>
      <c r="B1226" s="23">
        <v>45594</v>
      </c>
      <c r="C1226" s="22" t="s">
        <v>355</v>
      </c>
      <c r="D1226" s="22" t="s">
        <v>162</v>
      </c>
      <c r="E1226" s="22" t="s">
        <v>2923</v>
      </c>
      <c r="F1226" s="24">
        <v>5</v>
      </c>
      <c r="G1226" s="24">
        <v>3250</v>
      </c>
      <c r="H1226" s="24">
        <v>8.1</v>
      </c>
      <c r="I1226" s="24">
        <v>14933.75</v>
      </c>
      <c r="J1226" s="22" t="s">
        <v>104</v>
      </c>
      <c r="K1226" s="22" t="s">
        <v>151</v>
      </c>
      <c r="L1226" t="str">
        <f>VLOOKUP(D1226,Products!A:F,3,FALSE())</f>
        <v>Home</v>
      </c>
      <c r="M1226" t="str">
        <f>VLOOKUP(C1226,Customers!A:F,5,FALSE())</f>
        <v>SMB</v>
      </c>
      <c r="O1226" t="str">
        <f>IFERROR(VLOOKUP(E1226,Sales_Reps!$A:$C,3,FALSE()),"")</f>
        <v/>
      </c>
      <c r="P1226">
        <f>IFERROR(VLOOKUP(C1226,Customers!$A:$C,3,FALSE()),"")</f>
        <v>43</v>
      </c>
      <c r="Q1226" t="str">
        <f t="shared" si="19"/>
        <v>Oct-24</v>
      </c>
      <c r="R1226">
        <f>IFERROR((VLOOKUP(D1226,Products!$A:$E,5,FALSE())-VLOOKUP(D1226,Products!$A:$E,4,FALSE()))/VLOOKUP(D1226,Products!$A:$E,5,FALSE()),"")</f>
        <v>0.52123076923076928</v>
      </c>
    </row>
    <row r="1227" spans="1:18" x14ac:dyDescent="0.3">
      <c r="A1227" s="22" t="s">
        <v>2924</v>
      </c>
      <c r="B1227" s="23">
        <v>45609</v>
      </c>
      <c r="C1227" s="22" t="s">
        <v>514</v>
      </c>
      <c r="D1227" s="22" t="s">
        <v>521</v>
      </c>
      <c r="E1227" s="22" t="s">
        <v>2925</v>
      </c>
      <c r="F1227" s="24">
        <v>6</v>
      </c>
      <c r="G1227" s="24">
        <v>3970</v>
      </c>
      <c r="H1227" s="24">
        <v>18.8</v>
      </c>
      <c r="I1227" s="24">
        <v>19341.84</v>
      </c>
      <c r="J1227" s="22" t="s">
        <v>110</v>
      </c>
      <c r="K1227" s="22" t="s">
        <v>134</v>
      </c>
      <c r="L1227" t="str">
        <f>VLOOKUP(D1227,Products!A:F,3,FALSE())</f>
        <v>Electronics</v>
      </c>
      <c r="M1227" t="str">
        <f>VLOOKUP(C1227,Customers!A:F,5,FALSE())</f>
        <v>Retail</v>
      </c>
      <c r="O1227" t="str">
        <f>IFERROR(VLOOKUP(E1227,Sales_Reps!$A:$C,3,FALSE()),"")</f>
        <v/>
      </c>
      <c r="P1227">
        <f>IFERROR(VLOOKUP(C1227,Customers!$A:$C,3,FALSE()),"")</f>
        <v>59</v>
      </c>
      <c r="Q1227" t="str">
        <f t="shared" si="19"/>
        <v>Nov-24</v>
      </c>
      <c r="R1227">
        <f>IFERROR((VLOOKUP(D1227,Products!$A:$E,5,FALSE())-VLOOKUP(D1227,Products!$A:$E,4,FALSE()))/VLOOKUP(D1227,Products!$A:$E,5,FALSE()),"")</f>
        <v>0.27833753148614609</v>
      </c>
    </row>
    <row r="1228" spans="1:18" x14ac:dyDescent="0.3">
      <c r="A1228" s="22" t="s">
        <v>2926</v>
      </c>
      <c r="B1228" s="23">
        <v>45546</v>
      </c>
      <c r="C1228" s="22" t="s">
        <v>640</v>
      </c>
      <c r="D1228" s="22" t="s">
        <v>455</v>
      </c>
      <c r="E1228" s="22" t="s">
        <v>2927</v>
      </c>
      <c r="F1228" s="24">
        <v>4</v>
      </c>
      <c r="G1228" s="24">
        <v>5330</v>
      </c>
      <c r="H1228" s="24">
        <v>19.7</v>
      </c>
      <c r="I1228" s="24">
        <v>17119.96</v>
      </c>
      <c r="J1228" s="22" t="s">
        <v>104</v>
      </c>
      <c r="K1228" s="22" t="s">
        <v>151</v>
      </c>
      <c r="L1228" t="str">
        <f>VLOOKUP(D1228,Products!A:F,3,FALSE())</f>
        <v>Electronics</v>
      </c>
      <c r="M1228" t="str">
        <f>VLOOKUP(C1228,Customers!A:F,5,FALSE())</f>
        <v>Corporate</v>
      </c>
      <c r="O1228" t="str">
        <f>IFERROR(VLOOKUP(E1228,Sales_Reps!$A:$C,3,FALSE()),"")</f>
        <v/>
      </c>
      <c r="P1228">
        <f>IFERROR(VLOOKUP(C1228,Customers!$A:$C,3,FALSE()),"")</f>
        <v>52</v>
      </c>
      <c r="Q1228" t="str">
        <f t="shared" si="19"/>
        <v>Sep-24</v>
      </c>
      <c r="R1228">
        <f>IFERROR((VLOOKUP(D1228,Products!$A:$E,5,FALSE())-VLOOKUP(D1228,Products!$A:$E,4,FALSE()))/VLOOKUP(D1228,Products!$A:$E,5,FALSE()),"")</f>
        <v>0.54878048780487809</v>
      </c>
    </row>
    <row r="1229" spans="1:18" x14ac:dyDescent="0.3">
      <c r="A1229" s="22" t="s">
        <v>2928</v>
      </c>
      <c r="B1229" s="23">
        <v>45607</v>
      </c>
      <c r="C1229" s="22" t="s">
        <v>377</v>
      </c>
      <c r="D1229" s="22" t="s">
        <v>334</v>
      </c>
      <c r="E1229" s="22" t="s">
        <v>2929</v>
      </c>
      <c r="F1229" s="24">
        <v>7</v>
      </c>
      <c r="G1229" s="24">
        <v>2660</v>
      </c>
      <c r="H1229" s="24">
        <v>8.5</v>
      </c>
      <c r="I1229" s="24">
        <v>17037.3</v>
      </c>
      <c r="J1229" s="22" t="s">
        <v>104</v>
      </c>
      <c r="K1229" s="22" t="s">
        <v>134</v>
      </c>
      <c r="L1229" t="str">
        <f>VLOOKUP(D1229,Products!A:F,3,FALSE())</f>
        <v>Electronics</v>
      </c>
      <c r="M1229" t="str">
        <f>VLOOKUP(C1229,Customers!A:F,5,FALSE())</f>
        <v>Retail</v>
      </c>
      <c r="O1229" t="str">
        <f>IFERROR(VLOOKUP(E1229,Sales_Reps!$A:$C,3,FALSE()),"")</f>
        <v/>
      </c>
      <c r="P1229">
        <f>IFERROR(VLOOKUP(C1229,Customers!$A:$C,3,FALSE()),"")</f>
        <v>42</v>
      </c>
      <c r="Q1229" t="str">
        <f t="shared" si="19"/>
        <v>Nov-24</v>
      </c>
      <c r="R1229">
        <f>IFERROR((VLOOKUP(D1229,Products!$A:$E,5,FALSE())-VLOOKUP(D1229,Products!$A:$E,4,FALSE()))/VLOOKUP(D1229,Products!$A:$E,5,FALSE()),"")</f>
        <v>0.52669172932330832</v>
      </c>
    </row>
    <row r="1230" spans="1:18" x14ac:dyDescent="0.3">
      <c r="A1230" s="22" t="s">
        <v>2930</v>
      </c>
      <c r="B1230" s="23">
        <v>45422</v>
      </c>
      <c r="C1230" s="22" t="s">
        <v>107</v>
      </c>
      <c r="D1230" s="22" t="s">
        <v>123</v>
      </c>
      <c r="E1230" s="22" t="s">
        <v>2931</v>
      </c>
      <c r="F1230" s="24">
        <v>5</v>
      </c>
      <c r="G1230" s="24">
        <v>3160</v>
      </c>
      <c r="H1230" s="24">
        <v>13.4</v>
      </c>
      <c r="I1230" s="24">
        <v>13682.8</v>
      </c>
      <c r="J1230" s="22" t="s">
        <v>110</v>
      </c>
      <c r="K1230" s="22" t="s">
        <v>111</v>
      </c>
      <c r="L1230" t="str">
        <f>VLOOKUP(D1230,Products!A:F,3,FALSE())</f>
        <v>Apparel</v>
      </c>
      <c r="M1230" t="str">
        <f>VLOOKUP(C1230,Customers!A:F,5,FALSE())</f>
        <v>Retail</v>
      </c>
      <c r="O1230" t="str">
        <f>IFERROR(VLOOKUP(E1230,Sales_Reps!$A:$C,3,FALSE()),"")</f>
        <v/>
      </c>
      <c r="P1230">
        <f>IFERROR(VLOOKUP(C1230,Customers!$A:$C,3,FALSE()),"")</f>
        <v>39</v>
      </c>
      <c r="Q1230" t="str">
        <f t="shared" si="19"/>
        <v>May-24</v>
      </c>
      <c r="R1230">
        <f>IFERROR((VLOOKUP(D1230,Products!$A:$E,5,FALSE())-VLOOKUP(D1230,Products!$A:$E,4,FALSE()))/VLOOKUP(D1230,Products!$A:$E,5,FALSE()),"")</f>
        <v>0.4031645569620253</v>
      </c>
    </row>
    <row r="1231" spans="1:18" x14ac:dyDescent="0.3">
      <c r="A1231" s="22" t="s">
        <v>2932</v>
      </c>
      <c r="B1231" s="23">
        <v>45634</v>
      </c>
      <c r="C1231" s="22" t="s">
        <v>383</v>
      </c>
      <c r="D1231" s="22" t="s">
        <v>209</v>
      </c>
      <c r="E1231" s="22" t="s">
        <v>2933</v>
      </c>
      <c r="F1231" s="24">
        <v>10</v>
      </c>
      <c r="G1231" s="24">
        <v>1010</v>
      </c>
      <c r="H1231" s="24">
        <v>14</v>
      </c>
      <c r="I1231" s="24">
        <v>8686</v>
      </c>
      <c r="J1231" s="22" t="s">
        <v>104</v>
      </c>
      <c r="K1231" s="22" t="s">
        <v>105</v>
      </c>
      <c r="L1231" t="str">
        <f>VLOOKUP(D1231,Products!A:F,3,FALSE())</f>
        <v>Sports</v>
      </c>
      <c r="M1231" t="str">
        <f>VLOOKUP(C1231,Customers!A:F,5,FALSE())</f>
        <v>Corporate</v>
      </c>
      <c r="O1231" t="str">
        <f>IFERROR(VLOOKUP(E1231,Sales_Reps!$A:$C,3,FALSE()),"")</f>
        <v/>
      </c>
      <c r="P1231">
        <f>IFERROR(VLOOKUP(C1231,Customers!$A:$C,3,FALSE()),"")</f>
        <v>33</v>
      </c>
      <c r="Q1231" t="str">
        <f t="shared" si="19"/>
        <v>Dec-24</v>
      </c>
      <c r="R1231">
        <f>IFERROR((VLOOKUP(D1231,Products!$A:$E,5,FALSE())-VLOOKUP(D1231,Products!$A:$E,4,FALSE()))/VLOOKUP(D1231,Products!$A:$E,5,FALSE()),"")</f>
        <v>0.4891089108910891</v>
      </c>
    </row>
    <row r="1232" spans="1:18" x14ac:dyDescent="0.3">
      <c r="A1232" s="22" t="s">
        <v>2934</v>
      </c>
      <c r="B1232" s="23">
        <v>45376</v>
      </c>
      <c r="C1232" s="22" t="s">
        <v>156</v>
      </c>
      <c r="D1232" s="22" t="s">
        <v>308</v>
      </c>
      <c r="E1232" s="22" t="s">
        <v>2935</v>
      </c>
      <c r="F1232" s="24">
        <v>3</v>
      </c>
      <c r="G1232" s="24">
        <v>1540</v>
      </c>
      <c r="H1232" s="24">
        <v>13.7</v>
      </c>
      <c r="I1232" s="24">
        <v>3987.06</v>
      </c>
      <c r="J1232" s="22" t="s">
        <v>110</v>
      </c>
      <c r="K1232" s="22" t="s">
        <v>116</v>
      </c>
      <c r="L1232" t="str">
        <f>VLOOKUP(D1232,Products!A:F,3,FALSE())</f>
        <v>Beauty</v>
      </c>
      <c r="M1232" t="str">
        <f>VLOOKUP(C1232,Customers!A:F,5,FALSE())</f>
        <v>SMB</v>
      </c>
      <c r="O1232" t="str">
        <f>IFERROR(VLOOKUP(E1232,Sales_Reps!$A:$C,3,FALSE()),"")</f>
        <v/>
      </c>
      <c r="P1232">
        <f>IFERROR(VLOOKUP(C1232,Customers!$A:$C,3,FALSE()),"")</f>
        <v>27</v>
      </c>
      <c r="Q1232" t="str">
        <f t="shared" si="19"/>
        <v>Mar-24</v>
      </c>
      <c r="R1232">
        <f>IFERROR((VLOOKUP(D1232,Products!$A:$E,5,FALSE())-VLOOKUP(D1232,Products!$A:$E,4,FALSE()))/VLOOKUP(D1232,Products!$A:$E,5,FALSE()),"")</f>
        <v>0.57987012987012987</v>
      </c>
    </row>
    <row r="1233" spans="1:18" x14ac:dyDescent="0.3">
      <c r="A1233" s="22" t="s">
        <v>2936</v>
      </c>
      <c r="B1233" s="23">
        <v>45313</v>
      </c>
      <c r="C1233" s="22" t="s">
        <v>972</v>
      </c>
      <c r="D1233" s="22" t="s">
        <v>220</v>
      </c>
      <c r="E1233" s="22" t="s">
        <v>2937</v>
      </c>
      <c r="F1233" s="24">
        <v>10</v>
      </c>
      <c r="G1233" s="24">
        <v>5100</v>
      </c>
      <c r="H1233" s="24">
        <v>13.8</v>
      </c>
      <c r="I1233" s="24">
        <v>43962</v>
      </c>
      <c r="J1233" s="22" t="s">
        <v>104</v>
      </c>
      <c r="K1233" s="22" t="s">
        <v>111</v>
      </c>
      <c r="L1233" t="str">
        <f>VLOOKUP(D1233,Products!A:F,3,FALSE())</f>
        <v>Beauty</v>
      </c>
      <c r="M1233" t="str">
        <f>VLOOKUP(C1233,Customers!A:F,5,FALSE())</f>
        <v>Retail</v>
      </c>
      <c r="O1233" t="str">
        <f>IFERROR(VLOOKUP(E1233,Sales_Reps!$A:$C,3,FALSE()),"")</f>
        <v/>
      </c>
      <c r="P1233">
        <f>IFERROR(VLOOKUP(C1233,Customers!$A:$C,3,FALSE()),"")</f>
        <v>26</v>
      </c>
      <c r="Q1233" t="str">
        <f t="shared" si="19"/>
        <v>Jan-24</v>
      </c>
      <c r="R1233">
        <f>IFERROR((VLOOKUP(D1233,Products!$A:$E,5,FALSE())-VLOOKUP(D1233,Products!$A:$E,4,FALSE()))/VLOOKUP(D1233,Products!$A:$E,5,FALSE()),"")</f>
        <v>0.56137254901960787</v>
      </c>
    </row>
    <row r="1234" spans="1:18" x14ac:dyDescent="0.3">
      <c r="A1234" s="22" t="s">
        <v>2938</v>
      </c>
      <c r="B1234" s="23">
        <v>45457</v>
      </c>
      <c r="C1234" s="22" t="s">
        <v>1172</v>
      </c>
      <c r="D1234" s="22" t="s">
        <v>137</v>
      </c>
      <c r="E1234" s="22" t="s">
        <v>2939</v>
      </c>
      <c r="F1234" s="24">
        <v>3</v>
      </c>
      <c r="G1234" s="24">
        <v>1430</v>
      </c>
      <c r="H1234" s="24">
        <v>1.5</v>
      </c>
      <c r="I1234" s="24">
        <v>4225.6499999999996</v>
      </c>
      <c r="J1234" s="22" t="s">
        <v>104</v>
      </c>
      <c r="K1234" s="22" t="s">
        <v>111</v>
      </c>
      <c r="L1234" t="str">
        <f>VLOOKUP(D1234,Products!A:F,3,FALSE())</f>
        <v>Electronics</v>
      </c>
      <c r="M1234" t="str">
        <f>VLOOKUP(C1234,Customers!A:F,5,FALSE())</f>
        <v>Retail</v>
      </c>
      <c r="O1234" t="str">
        <f>IFERROR(VLOOKUP(E1234,Sales_Reps!$A:$C,3,FALSE()),"")</f>
        <v/>
      </c>
      <c r="P1234">
        <f>IFERROR(VLOOKUP(C1234,Customers!$A:$C,3,FALSE()),"")</f>
        <v>22</v>
      </c>
      <c r="Q1234" t="str">
        <f t="shared" si="19"/>
        <v>Jun-24</v>
      </c>
      <c r="R1234">
        <f>IFERROR((VLOOKUP(D1234,Products!$A:$E,5,FALSE())-VLOOKUP(D1234,Products!$A:$E,4,FALSE()))/VLOOKUP(D1234,Products!$A:$E,5,FALSE()),"")</f>
        <v>0.39790209790209791</v>
      </c>
    </row>
    <row r="1235" spans="1:18" x14ac:dyDescent="0.3">
      <c r="A1235" s="22" t="s">
        <v>2940</v>
      </c>
      <c r="B1235" s="23">
        <v>45620</v>
      </c>
      <c r="C1235" s="22" t="s">
        <v>1372</v>
      </c>
      <c r="D1235" s="22" t="s">
        <v>141</v>
      </c>
      <c r="E1235" s="22" t="s">
        <v>2941</v>
      </c>
      <c r="F1235" s="24">
        <v>8</v>
      </c>
      <c r="G1235" s="24">
        <v>5490</v>
      </c>
      <c r="H1235" s="24">
        <v>23.2</v>
      </c>
      <c r="I1235" s="24">
        <v>33730.559999999998</v>
      </c>
      <c r="J1235" s="22" t="s">
        <v>104</v>
      </c>
      <c r="K1235" s="22" t="s">
        <v>151</v>
      </c>
      <c r="L1235" t="str">
        <f>VLOOKUP(D1235,Products!A:F,3,FALSE())</f>
        <v>Home</v>
      </c>
      <c r="M1235" t="str">
        <f>VLOOKUP(C1235,Customers!A:F,5,FALSE())</f>
        <v>Retail</v>
      </c>
      <c r="O1235" t="str">
        <f>IFERROR(VLOOKUP(E1235,Sales_Reps!$A:$C,3,FALSE()),"")</f>
        <v/>
      </c>
      <c r="P1235">
        <f>IFERROR(VLOOKUP(C1235,Customers!$A:$C,3,FALSE()),"")</f>
        <v>31</v>
      </c>
      <c r="Q1235" t="str">
        <f t="shared" si="19"/>
        <v>Nov-24</v>
      </c>
      <c r="R1235">
        <f>IFERROR((VLOOKUP(D1235,Products!$A:$E,5,FALSE())-VLOOKUP(D1235,Products!$A:$E,4,FALSE()))/VLOOKUP(D1235,Products!$A:$E,5,FALSE()),"")</f>
        <v>0.53570127504553733</v>
      </c>
    </row>
    <row r="1236" spans="1:18" x14ac:dyDescent="0.3">
      <c r="A1236" s="22" t="s">
        <v>2942</v>
      </c>
      <c r="B1236" s="23">
        <v>45495</v>
      </c>
      <c r="C1236" s="22" t="s">
        <v>537</v>
      </c>
      <c r="D1236" s="22" t="s">
        <v>201</v>
      </c>
      <c r="E1236" s="22" t="s">
        <v>2943</v>
      </c>
      <c r="F1236" s="24">
        <v>6</v>
      </c>
      <c r="G1236" s="24">
        <v>1650</v>
      </c>
      <c r="H1236" s="24">
        <v>16.8</v>
      </c>
      <c r="I1236" s="24">
        <v>8236.7999999999993</v>
      </c>
      <c r="J1236" s="22" t="s">
        <v>104</v>
      </c>
      <c r="K1236" s="22" t="s">
        <v>151</v>
      </c>
      <c r="L1236" t="str">
        <f>VLOOKUP(D1236,Products!A:F,3,FALSE())</f>
        <v>Beauty</v>
      </c>
      <c r="M1236" t="str">
        <f>VLOOKUP(C1236,Customers!A:F,5,FALSE())</f>
        <v>Retail</v>
      </c>
      <c r="O1236" t="str">
        <f>IFERROR(VLOOKUP(E1236,Sales_Reps!$A:$C,3,FALSE()),"")</f>
        <v/>
      </c>
      <c r="P1236">
        <f>IFERROR(VLOOKUP(C1236,Customers!$A:$C,3,FALSE()),"")</f>
        <v>22</v>
      </c>
      <c r="Q1236" t="str">
        <f t="shared" si="19"/>
        <v>Jul-24</v>
      </c>
      <c r="R1236">
        <f>IFERROR((VLOOKUP(D1236,Products!$A:$E,5,FALSE())-VLOOKUP(D1236,Products!$A:$E,4,FALSE()))/VLOOKUP(D1236,Products!$A:$E,5,FALSE()),"")</f>
        <v>0.2593939393939394</v>
      </c>
    </row>
    <row r="1237" spans="1:18" x14ac:dyDescent="0.3">
      <c r="A1237" s="22" t="s">
        <v>2944</v>
      </c>
      <c r="B1237" s="23">
        <v>45460</v>
      </c>
      <c r="C1237" s="22" t="s">
        <v>1478</v>
      </c>
      <c r="D1237" s="22" t="s">
        <v>330</v>
      </c>
      <c r="E1237" s="22" t="s">
        <v>2945</v>
      </c>
      <c r="F1237" s="24">
        <v>3</v>
      </c>
      <c r="G1237" s="24">
        <v>3020</v>
      </c>
      <c r="H1237" s="24">
        <v>14.5</v>
      </c>
      <c r="I1237" s="24">
        <v>7746.3</v>
      </c>
      <c r="J1237" s="22" t="s">
        <v>104</v>
      </c>
      <c r="K1237" s="22" t="s">
        <v>151</v>
      </c>
      <c r="L1237" t="str">
        <f>VLOOKUP(D1237,Products!A:F,3,FALSE())</f>
        <v>Beauty</v>
      </c>
      <c r="M1237" t="str">
        <f>VLOOKUP(C1237,Customers!A:F,5,FALSE())</f>
        <v>SMB</v>
      </c>
      <c r="O1237" t="str">
        <f>IFERROR(VLOOKUP(E1237,Sales_Reps!$A:$C,3,FALSE()),"")</f>
        <v/>
      </c>
      <c r="P1237">
        <f>IFERROR(VLOOKUP(C1237,Customers!$A:$C,3,FALSE()),"")</f>
        <v>31</v>
      </c>
      <c r="Q1237" t="str">
        <f t="shared" si="19"/>
        <v>Jun-24</v>
      </c>
      <c r="R1237">
        <f>IFERROR((VLOOKUP(D1237,Products!$A:$E,5,FALSE())-VLOOKUP(D1237,Products!$A:$E,4,FALSE()))/VLOOKUP(D1237,Products!$A:$E,5,FALSE()),"")</f>
        <v>0.46158940397350995</v>
      </c>
    </row>
    <row r="1238" spans="1:18" x14ac:dyDescent="0.3">
      <c r="A1238" s="22" t="s">
        <v>2946</v>
      </c>
      <c r="B1238" s="23">
        <v>45438</v>
      </c>
      <c r="C1238" s="22" t="s">
        <v>2947</v>
      </c>
      <c r="D1238" s="22" t="s">
        <v>308</v>
      </c>
      <c r="E1238" s="22" t="s">
        <v>2948</v>
      </c>
      <c r="F1238" s="24">
        <v>5</v>
      </c>
      <c r="G1238" s="24">
        <v>1540</v>
      </c>
      <c r="H1238" s="24">
        <v>27.2</v>
      </c>
      <c r="I1238" s="24">
        <v>5605.6</v>
      </c>
      <c r="J1238" s="22" t="s">
        <v>104</v>
      </c>
      <c r="K1238" s="22" t="s">
        <v>134</v>
      </c>
      <c r="L1238" t="str">
        <f>VLOOKUP(D1238,Products!A:F,3,FALSE())</f>
        <v>Beauty</v>
      </c>
      <c r="M1238" t="str">
        <f>VLOOKUP(C1238,Customers!A:F,5,FALSE())</f>
        <v>SMB</v>
      </c>
      <c r="O1238" t="str">
        <f>IFERROR(VLOOKUP(E1238,Sales_Reps!$A:$C,3,FALSE()),"")</f>
        <v/>
      </c>
      <c r="P1238">
        <f>IFERROR(VLOOKUP(C1238,Customers!$A:$C,3,FALSE()),"")</f>
        <v>54</v>
      </c>
      <c r="Q1238" t="str">
        <f t="shared" si="19"/>
        <v>May-24</v>
      </c>
      <c r="R1238">
        <f>IFERROR((VLOOKUP(D1238,Products!$A:$E,5,FALSE())-VLOOKUP(D1238,Products!$A:$E,4,FALSE()))/VLOOKUP(D1238,Products!$A:$E,5,FALSE()),"")</f>
        <v>0.57987012987012987</v>
      </c>
    </row>
    <row r="1239" spans="1:18" x14ac:dyDescent="0.3">
      <c r="A1239" s="22" t="s">
        <v>1129</v>
      </c>
      <c r="B1239" s="23">
        <v>45307</v>
      </c>
      <c r="C1239" s="22" t="s">
        <v>386</v>
      </c>
      <c r="D1239" s="22" t="s">
        <v>695</v>
      </c>
      <c r="E1239" s="22" t="s">
        <v>2949</v>
      </c>
      <c r="F1239" s="24">
        <v>4</v>
      </c>
      <c r="G1239" s="24">
        <v>6940</v>
      </c>
      <c r="H1239" s="24">
        <v>3.2</v>
      </c>
      <c r="I1239" s="24">
        <v>26871.68</v>
      </c>
      <c r="J1239" s="22" t="s">
        <v>104</v>
      </c>
      <c r="K1239" s="22" t="s">
        <v>105</v>
      </c>
      <c r="L1239" t="str">
        <f>VLOOKUP(D1239,Products!A:F,3,FALSE())</f>
        <v>Sports</v>
      </c>
      <c r="M1239" t="str">
        <f>VLOOKUP(C1239,Customers!A:F,5,FALSE())</f>
        <v>SMB</v>
      </c>
      <c r="O1239" t="str">
        <f>IFERROR(VLOOKUP(E1239,Sales_Reps!$A:$C,3,FALSE()),"")</f>
        <v/>
      </c>
      <c r="P1239">
        <f>IFERROR(VLOOKUP(C1239,Customers!$A:$C,3,FALSE()),"")</f>
        <v>60</v>
      </c>
      <c r="Q1239" t="str">
        <f t="shared" si="19"/>
        <v>Jan-24</v>
      </c>
      <c r="R1239">
        <f>IFERROR((VLOOKUP(D1239,Products!$A:$E,5,FALSE())-VLOOKUP(D1239,Products!$A:$E,4,FALSE()))/VLOOKUP(D1239,Products!$A:$E,5,FALSE()),"")</f>
        <v>0.5926512968299712</v>
      </c>
    </row>
    <row r="1240" spans="1:18" x14ac:dyDescent="0.3">
      <c r="A1240" s="22" t="s">
        <v>2950</v>
      </c>
      <c r="B1240" s="23">
        <v>45517</v>
      </c>
      <c r="C1240" s="22" t="s">
        <v>126</v>
      </c>
      <c r="D1240" s="22" t="s">
        <v>220</v>
      </c>
      <c r="E1240" s="22" t="s">
        <v>2951</v>
      </c>
      <c r="F1240" s="24">
        <v>2</v>
      </c>
      <c r="G1240" s="24">
        <v>5100</v>
      </c>
      <c r="H1240" s="24">
        <v>18.100000000000001</v>
      </c>
      <c r="I1240" s="24">
        <v>8353.7999999999993</v>
      </c>
      <c r="J1240" s="22" t="s">
        <v>104</v>
      </c>
      <c r="K1240" s="22" t="s">
        <v>129</v>
      </c>
      <c r="L1240" t="str">
        <f>VLOOKUP(D1240,Products!A:F,3,FALSE())</f>
        <v>Beauty</v>
      </c>
      <c r="M1240" t="str">
        <f>VLOOKUP(C1240,Customers!A:F,5,FALSE())</f>
        <v>Retail</v>
      </c>
      <c r="O1240" t="str">
        <f>IFERROR(VLOOKUP(E1240,Sales_Reps!$A:$C,3,FALSE()),"")</f>
        <v/>
      </c>
      <c r="P1240">
        <f>IFERROR(VLOOKUP(C1240,Customers!$A:$C,3,FALSE()),"")</f>
        <v>36</v>
      </c>
      <c r="Q1240" t="str">
        <f t="shared" si="19"/>
        <v>Aug-24</v>
      </c>
      <c r="R1240">
        <f>IFERROR((VLOOKUP(D1240,Products!$A:$E,5,FALSE())-VLOOKUP(D1240,Products!$A:$E,4,FALSE()))/VLOOKUP(D1240,Products!$A:$E,5,FALSE()),"")</f>
        <v>0.56137254901960787</v>
      </c>
    </row>
    <row r="1241" spans="1:18" x14ac:dyDescent="0.3">
      <c r="A1241" s="22" t="s">
        <v>2952</v>
      </c>
      <c r="B1241" s="23">
        <v>45575</v>
      </c>
      <c r="C1241" s="22" t="s">
        <v>383</v>
      </c>
      <c r="D1241" s="22" t="s">
        <v>455</v>
      </c>
      <c r="E1241" s="22" t="s">
        <v>2953</v>
      </c>
      <c r="F1241" s="24">
        <v>6</v>
      </c>
      <c r="G1241" s="24">
        <v>5330</v>
      </c>
      <c r="H1241" s="24">
        <v>0.3</v>
      </c>
      <c r="I1241" s="24">
        <v>31884.06</v>
      </c>
      <c r="J1241" s="22" t="s">
        <v>110</v>
      </c>
      <c r="K1241" s="22" t="s">
        <v>105</v>
      </c>
      <c r="L1241" t="str">
        <f>VLOOKUP(D1241,Products!A:F,3,FALSE())</f>
        <v>Electronics</v>
      </c>
      <c r="M1241" t="str">
        <f>VLOOKUP(C1241,Customers!A:F,5,FALSE())</f>
        <v>Corporate</v>
      </c>
      <c r="O1241" t="str">
        <f>IFERROR(VLOOKUP(E1241,Sales_Reps!$A:$C,3,FALSE()),"")</f>
        <v/>
      </c>
      <c r="P1241">
        <f>IFERROR(VLOOKUP(C1241,Customers!$A:$C,3,FALSE()),"")</f>
        <v>33</v>
      </c>
      <c r="Q1241" t="str">
        <f t="shared" si="19"/>
        <v>Oct-24</v>
      </c>
      <c r="R1241">
        <f>IFERROR((VLOOKUP(D1241,Products!$A:$E,5,FALSE())-VLOOKUP(D1241,Products!$A:$E,4,FALSE()))/VLOOKUP(D1241,Products!$A:$E,5,FALSE()),"")</f>
        <v>0.54878048780487809</v>
      </c>
    </row>
    <row r="1242" spans="1:18" x14ac:dyDescent="0.3">
      <c r="A1242" s="22" t="s">
        <v>2954</v>
      </c>
      <c r="B1242" s="23">
        <v>45449</v>
      </c>
      <c r="C1242" s="22" t="s">
        <v>1549</v>
      </c>
      <c r="D1242" s="22" t="s">
        <v>132</v>
      </c>
      <c r="E1242" s="22" t="s">
        <v>2955</v>
      </c>
      <c r="F1242" s="24">
        <v>5</v>
      </c>
      <c r="G1242" s="24">
        <v>960</v>
      </c>
      <c r="H1242" s="24">
        <v>16.600000000000001</v>
      </c>
      <c r="I1242" s="24">
        <v>4003.2</v>
      </c>
      <c r="J1242" s="22" t="s">
        <v>104</v>
      </c>
      <c r="K1242" s="22" t="s">
        <v>134</v>
      </c>
      <c r="L1242" t="str">
        <f>VLOOKUP(D1242,Products!A:F,3,FALSE())</f>
        <v>Sports</v>
      </c>
      <c r="M1242" t="str">
        <f>VLOOKUP(C1242,Customers!A:F,5,FALSE())</f>
        <v>SMB</v>
      </c>
      <c r="O1242" t="str">
        <f>IFERROR(VLOOKUP(E1242,Sales_Reps!$A:$C,3,FALSE()),"")</f>
        <v/>
      </c>
      <c r="P1242">
        <f>IFERROR(VLOOKUP(C1242,Customers!$A:$C,3,FALSE()),"")</f>
        <v>44</v>
      </c>
      <c r="Q1242" t="str">
        <f t="shared" si="19"/>
        <v>Jun-24</v>
      </c>
      <c r="R1242">
        <f>IFERROR((VLOOKUP(D1242,Products!$A:$E,5,FALSE())-VLOOKUP(D1242,Products!$A:$E,4,FALSE()))/VLOOKUP(D1242,Products!$A:$E,5,FALSE()),"")</f>
        <v>0.265625</v>
      </c>
    </row>
    <row r="1243" spans="1:18" x14ac:dyDescent="0.3">
      <c r="A1243" s="22" t="s">
        <v>2956</v>
      </c>
      <c r="B1243" s="23">
        <v>45481</v>
      </c>
      <c r="C1243" s="22" t="s">
        <v>369</v>
      </c>
      <c r="D1243" s="22" t="s">
        <v>102</v>
      </c>
      <c r="E1243" s="22" t="s">
        <v>2957</v>
      </c>
      <c r="F1243" s="24">
        <v>7</v>
      </c>
      <c r="G1243" s="24">
        <v>3620</v>
      </c>
      <c r="H1243" s="24">
        <v>5.4</v>
      </c>
      <c r="I1243" s="24">
        <v>23971.64</v>
      </c>
      <c r="J1243" s="22" t="s">
        <v>104</v>
      </c>
      <c r="K1243" s="22" t="s">
        <v>151</v>
      </c>
      <c r="L1243" t="str">
        <f>VLOOKUP(D1243,Products!A:F,3,FALSE())</f>
        <v>Apparel</v>
      </c>
      <c r="M1243" t="str">
        <f>VLOOKUP(C1243,Customers!A:F,5,FALSE())</f>
        <v>Corporate</v>
      </c>
      <c r="O1243" t="str">
        <f>IFERROR(VLOOKUP(E1243,Sales_Reps!$A:$C,3,FALSE()),"")</f>
        <v/>
      </c>
      <c r="P1243">
        <f>IFERROR(VLOOKUP(C1243,Customers!$A:$C,3,FALSE()),"")</f>
        <v>46</v>
      </c>
      <c r="Q1243" t="str">
        <f t="shared" si="19"/>
        <v>Jul-24</v>
      </c>
      <c r="R1243">
        <f>IFERROR((VLOOKUP(D1243,Products!$A:$E,5,FALSE())-VLOOKUP(D1243,Products!$A:$E,4,FALSE()))/VLOOKUP(D1243,Products!$A:$E,5,FALSE()),"")</f>
        <v>0.3069060773480663</v>
      </c>
    </row>
    <row r="1244" spans="1:18" x14ac:dyDescent="0.3">
      <c r="A1244" s="22" t="s">
        <v>2958</v>
      </c>
      <c r="B1244" s="23">
        <v>45368</v>
      </c>
      <c r="C1244" s="22" t="s">
        <v>2755</v>
      </c>
      <c r="D1244" s="22" t="s">
        <v>157</v>
      </c>
      <c r="E1244" s="22" t="s">
        <v>2959</v>
      </c>
      <c r="F1244" s="24">
        <v>6</v>
      </c>
      <c r="G1244" s="24">
        <v>2600</v>
      </c>
      <c r="H1244" s="24">
        <v>25.9</v>
      </c>
      <c r="I1244" s="24">
        <v>11559.6</v>
      </c>
      <c r="J1244" s="22" t="s">
        <v>104</v>
      </c>
      <c r="K1244" s="22" t="s">
        <v>111</v>
      </c>
      <c r="L1244" t="str">
        <f>VLOOKUP(D1244,Products!A:F,3,FALSE())</f>
        <v>Electronics</v>
      </c>
      <c r="M1244" t="str">
        <f>VLOOKUP(C1244,Customers!A:F,5,FALSE())</f>
        <v>Retail</v>
      </c>
      <c r="O1244" t="str">
        <f>IFERROR(VLOOKUP(E1244,Sales_Reps!$A:$C,3,FALSE()),"")</f>
        <v/>
      </c>
      <c r="P1244">
        <f>IFERROR(VLOOKUP(C1244,Customers!$A:$C,3,FALSE()),"")</f>
        <v>35</v>
      </c>
      <c r="Q1244" t="str">
        <f t="shared" si="19"/>
        <v>Mar-24</v>
      </c>
      <c r="R1244">
        <f>IFERROR((VLOOKUP(D1244,Products!$A:$E,5,FALSE())-VLOOKUP(D1244,Products!$A:$E,4,FALSE()))/VLOOKUP(D1244,Products!$A:$E,5,FALSE()),"")</f>
        <v>0.5953846153846154</v>
      </c>
    </row>
    <row r="1245" spans="1:18" x14ac:dyDescent="0.3">
      <c r="A1245" s="22" t="s">
        <v>2960</v>
      </c>
      <c r="B1245" s="23">
        <v>45298</v>
      </c>
      <c r="C1245" s="22" t="s">
        <v>645</v>
      </c>
      <c r="D1245" s="22" t="s">
        <v>334</v>
      </c>
      <c r="E1245" s="22" t="s">
        <v>2961</v>
      </c>
      <c r="F1245" s="24">
        <v>7</v>
      </c>
      <c r="G1245" s="24">
        <v>2660</v>
      </c>
      <c r="H1245" s="24">
        <v>20.2</v>
      </c>
      <c r="I1245" s="24">
        <v>14858.76</v>
      </c>
      <c r="J1245" s="22" t="s">
        <v>104</v>
      </c>
      <c r="K1245" s="22" t="s">
        <v>105</v>
      </c>
      <c r="L1245" t="str">
        <f>VLOOKUP(D1245,Products!A:F,3,FALSE())</f>
        <v>Electronics</v>
      </c>
      <c r="M1245" t="str">
        <f>VLOOKUP(C1245,Customers!A:F,5,FALSE())</f>
        <v>Retail</v>
      </c>
      <c r="O1245" t="str">
        <f>IFERROR(VLOOKUP(E1245,Sales_Reps!$A:$C,3,FALSE()),"")</f>
        <v/>
      </c>
      <c r="P1245">
        <f>IFERROR(VLOOKUP(C1245,Customers!$A:$C,3,FALSE()),"")</f>
        <v>49</v>
      </c>
      <c r="Q1245" t="str">
        <f t="shared" si="19"/>
        <v>Jan-24</v>
      </c>
      <c r="R1245">
        <f>IFERROR((VLOOKUP(D1245,Products!$A:$E,5,FALSE())-VLOOKUP(D1245,Products!$A:$E,4,FALSE()))/VLOOKUP(D1245,Products!$A:$E,5,FALSE()),"")</f>
        <v>0.52669172932330832</v>
      </c>
    </row>
    <row r="1246" spans="1:18" x14ac:dyDescent="0.3">
      <c r="A1246" s="22" t="s">
        <v>2962</v>
      </c>
      <c r="B1246" s="23">
        <v>45472</v>
      </c>
      <c r="C1246" s="22" t="s">
        <v>1466</v>
      </c>
      <c r="D1246" s="22" t="s">
        <v>190</v>
      </c>
      <c r="E1246" s="22" t="s">
        <v>2963</v>
      </c>
      <c r="F1246" s="24">
        <v>9</v>
      </c>
      <c r="G1246" s="24">
        <v>2480</v>
      </c>
      <c r="H1246" s="24">
        <v>14.7</v>
      </c>
      <c r="I1246" s="24">
        <v>19038.96</v>
      </c>
      <c r="J1246" s="22" t="s">
        <v>104</v>
      </c>
      <c r="K1246" s="22" t="s">
        <v>129</v>
      </c>
      <c r="L1246" t="str">
        <f>VLOOKUP(D1246,Products!A:F,3,FALSE())</f>
        <v>Apparel</v>
      </c>
      <c r="M1246" t="str">
        <f>VLOOKUP(C1246,Customers!A:F,5,FALSE())</f>
        <v>SMB</v>
      </c>
      <c r="O1246" t="str">
        <f>IFERROR(VLOOKUP(E1246,Sales_Reps!$A:$C,3,FALSE()),"")</f>
        <v/>
      </c>
      <c r="P1246">
        <f>IFERROR(VLOOKUP(C1246,Customers!$A:$C,3,FALSE()),"")</f>
        <v>65</v>
      </c>
      <c r="Q1246" t="str">
        <f t="shared" si="19"/>
        <v>Jun-24</v>
      </c>
      <c r="R1246">
        <f>IFERROR((VLOOKUP(D1246,Products!$A:$E,5,FALSE())-VLOOKUP(D1246,Products!$A:$E,4,FALSE()))/VLOOKUP(D1246,Products!$A:$E,5,FALSE()),"")</f>
        <v>0.52701612903225803</v>
      </c>
    </row>
    <row r="1247" spans="1:18" x14ac:dyDescent="0.3">
      <c r="A1247" s="22" t="s">
        <v>2964</v>
      </c>
      <c r="B1247" s="23">
        <v>45568</v>
      </c>
      <c r="C1247" s="22" t="s">
        <v>445</v>
      </c>
      <c r="D1247" s="22" t="s">
        <v>334</v>
      </c>
      <c r="E1247" s="22" t="s">
        <v>2965</v>
      </c>
      <c r="F1247" s="24">
        <v>4</v>
      </c>
      <c r="G1247" s="24">
        <v>2660</v>
      </c>
      <c r="H1247" s="24">
        <v>8.9</v>
      </c>
      <c r="I1247" s="24">
        <v>9693.0400000000009</v>
      </c>
      <c r="J1247" s="22" t="s">
        <v>104</v>
      </c>
      <c r="K1247" s="22" t="s">
        <v>116</v>
      </c>
      <c r="L1247" t="str">
        <f>VLOOKUP(D1247,Products!A:F,3,FALSE())</f>
        <v>Electronics</v>
      </c>
      <c r="M1247" t="str">
        <f>VLOOKUP(C1247,Customers!A:F,5,FALSE())</f>
        <v>SMB</v>
      </c>
      <c r="O1247" t="str">
        <f>IFERROR(VLOOKUP(E1247,Sales_Reps!$A:$C,3,FALSE()),"")</f>
        <v/>
      </c>
      <c r="P1247">
        <f>IFERROR(VLOOKUP(C1247,Customers!$A:$C,3,FALSE()),"")</f>
        <v>38</v>
      </c>
      <c r="Q1247" t="str">
        <f t="shared" si="19"/>
        <v>Oct-24</v>
      </c>
      <c r="R1247">
        <f>IFERROR((VLOOKUP(D1247,Products!$A:$E,5,FALSE())-VLOOKUP(D1247,Products!$A:$E,4,FALSE()))/VLOOKUP(D1247,Products!$A:$E,5,FALSE()),"")</f>
        <v>0.52669172932330832</v>
      </c>
    </row>
    <row r="1248" spans="1:18" x14ac:dyDescent="0.3">
      <c r="A1248" s="22" t="s">
        <v>2966</v>
      </c>
      <c r="B1248" s="23">
        <v>45540</v>
      </c>
      <c r="C1248" s="22" t="s">
        <v>1359</v>
      </c>
      <c r="D1248" s="22" t="s">
        <v>455</v>
      </c>
      <c r="E1248" s="22" t="s">
        <v>2967</v>
      </c>
      <c r="F1248" s="24">
        <v>1</v>
      </c>
      <c r="G1248" s="24">
        <v>5330</v>
      </c>
      <c r="H1248" s="24">
        <v>26.8</v>
      </c>
      <c r="I1248" s="24">
        <v>3901.56</v>
      </c>
      <c r="J1248" s="22" t="s">
        <v>104</v>
      </c>
      <c r="K1248" s="22" t="s">
        <v>134</v>
      </c>
      <c r="L1248" t="str">
        <f>VLOOKUP(D1248,Products!A:F,3,FALSE())</f>
        <v>Electronics</v>
      </c>
      <c r="M1248" t="str">
        <f>VLOOKUP(C1248,Customers!A:F,5,FALSE())</f>
        <v>Retail</v>
      </c>
      <c r="O1248" t="str">
        <f>IFERROR(VLOOKUP(E1248,Sales_Reps!$A:$C,3,FALSE()),"")</f>
        <v/>
      </c>
      <c r="P1248">
        <f>IFERROR(VLOOKUP(C1248,Customers!$A:$C,3,FALSE()),"")</f>
        <v>35</v>
      </c>
      <c r="Q1248" t="str">
        <f t="shared" si="19"/>
        <v>Sep-24</v>
      </c>
      <c r="R1248">
        <f>IFERROR((VLOOKUP(D1248,Products!$A:$E,5,FALSE())-VLOOKUP(D1248,Products!$A:$E,4,FALSE()))/VLOOKUP(D1248,Products!$A:$E,5,FALSE()),"")</f>
        <v>0.54878048780487809</v>
      </c>
    </row>
    <row r="1249" spans="1:18" x14ac:dyDescent="0.3">
      <c r="A1249" s="22" t="s">
        <v>2968</v>
      </c>
      <c r="B1249" s="23">
        <v>45544</v>
      </c>
      <c r="C1249" s="22" t="s">
        <v>2746</v>
      </c>
      <c r="D1249" s="22" t="s">
        <v>182</v>
      </c>
      <c r="E1249" s="22" t="s">
        <v>2969</v>
      </c>
      <c r="F1249" s="24">
        <v>6</v>
      </c>
      <c r="G1249" s="24">
        <v>3450</v>
      </c>
      <c r="H1249" s="24">
        <v>19.2</v>
      </c>
      <c r="I1249" s="24">
        <v>16725.599999999999</v>
      </c>
      <c r="J1249" s="22" t="s">
        <v>110</v>
      </c>
      <c r="K1249" s="22" t="s">
        <v>134</v>
      </c>
      <c r="L1249" t="str">
        <f>VLOOKUP(D1249,Products!A:F,3,FALSE())</f>
        <v>Sports</v>
      </c>
      <c r="M1249" t="str">
        <f>VLOOKUP(C1249,Customers!A:F,5,FALSE())</f>
        <v>Retail</v>
      </c>
      <c r="O1249" t="str">
        <f>IFERROR(VLOOKUP(E1249,Sales_Reps!$A:$C,3,FALSE()),"")</f>
        <v/>
      </c>
      <c r="P1249">
        <f>IFERROR(VLOOKUP(C1249,Customers!$A:$C,3,FALSE()),"")</f>
        <v>53</v>
      </c>
      <c r="Q1249" t="str">
        <f t="shared" si="19"/>
        <v>Sep-24</v>
      </c>
      <c r="R1249">
        <f>IFERROR((VLOOKUP(D1249,Products!$A:$E,5,FALSE())-VLOOKUP(D1249,Products!$A:$E,4,FALSE()))/VLOOKUP(D1249,Products!$A:$E,5,FALSE()),"")</f>
        <v>0.28492753623188405</v>
      </c>
    </row>
    <row r="1250" spans="1:18" x14ac:dyDescent="0.3">
      <c r="A1250" s="22" t="s">
        <v>2970</v>
      </c>
      <c r="B1250" s="23">
        <v>45334</v>
      </c>
      <c r="C1250" s="22" t="s">
        <v>193</v>
      </c>
      <c r="D1250" s="22" t="s">
        <v>167</v>
      </c>
      <c r="E1250" s="22" t="s">
        <v>2971</v>
      </c>
      <c r="F1250" s="24">
        <v>10</v>
      </c>
      <c r="G1250" s="24">
        <v>190</v>
      </c>
      <c r="H1250" s="24">
        <v>18.100000000000001</v>
      </c>
      <c r="I1250" s="24">
        <v>1556.1</v>
      </c>
      <c r="J1250" s="22" t="s">
        <v>104</v>
      </c>
      <c r="K1250" s="22" t="s">
        <v>129</v>
      </c>
      <c r="L1250" t="str">
        <f>VLOOKUP(D1250,Products!A:F,3,FALSE())</f>
        <v>Sports</v>
      </c>
      <c r="M1250" t="str">
        <f>VLOOKUP(C1250,Customers!A:F,5,FALSE())</f>
        <v>Retail</v>
      </c>
      <c r="O1250" t="str">
        <f>IFERROR(VLOOKUP(E1250,Sales_Reps!$A:$C,3,FALSE()),"")</f>
        <v/>
      </c>
      <c r="P1250">
        <f>IFERROR(VLOOKUP(C1250,Customers!$A:$C,3,FALSE()),"")</f>
        <v>34</v>
      </c>
      <c r="Q1250" t="str">
        <f t="shared" si="19"/>
        <v>Feb-24</v>
      </c>
      <c r="R1250">
        <f>IFERROR((VLOOKUP(D1250,Products!$A:$E,5,FALSE())-VLOOKUP(D1250,Products!$A:$E,4,FALSE()))/VLOOKUP(D1250,Products!$A:$E,5,FALSE()),"")</f>
        <v>0.22631578947368422</v>
      </c>
    </row>
    <row r="1251" spans="1:18" x14ac:dyDescent="0.3">
      <c r="A1251" s="22" t="s">
        <v>2972</v>
      </c>
      <c r="B1251" s="23">
        <v>45584</v>
      </c>
      <c r="C1251" s="22" t="s">
        <v>868</v>
      </c>
      <c r="D1251" s="22" t="s">
        <v>521</v>
      </c>
      <c r="E1251" s="22" t="s">
        <v>2973</v>
      </c>
      <c r="F1251" s="24">
        <v>9</v>
      </c>
      <c r="G1251" s="24">
        <v>3970</v>
      </c>
      <c r="H1251" s="24">
        <v>18.2</v>
      </c>
      <c r="I1251" s="24">
        <v>29227.14</v>
      </c>
      <c r="J1251" s="22" t="s">
        <v>110</v>
      </c>
      <c r="K1251" s="22" t="s">
        <v>111</v>
      </c>
      <c r="L1251" t="str">
        <f>VLOOKUP(D1251,Products!A:F,3,FALSE())</f>
        <v>Electronics</v>
      </c>
      <c r="M1251" t="str">
        <f>VLOOKUP(C1251,Customers!A:F,5,FALSE())</f>
        <v>Corporate</v>
      </c>
      <c r="O1251" t="str">
        <f>IFERROR(VLOOKUP(E1251,Sales_Reps!$A:$C,3,FALSE()),"")</f>
        <v/>
      </c>
      <c r="P1251">
        <f>IFERROR(VLOOKUP(C1251,Customers!$A:$C,3,FALSE()),"")</f>
        <v>22</v>
      </c>
      <c r="Q1251" t="str">
        <f t="shared" si="19"/>
        <v>Oct-24</v>
      </c>
      <c r="R1251">
        <f>IFERROR((VLOOKUP(D1251,Products!$A:$E,5,FALSE())-VLOOKUP(D1251,Products!$A:$E,4,FALSE()))/VLOOKUP(D1251,Products!$A:$E,5,FALSE()),"")</f>
        <v>0.27833753148614609</v>
      </c>
    </row>
    <row r="1252" spans="1:18" x14ac:dyDescent="0.3">
      <c r="A1252" s="22" t="s">
        <v>2974</v>
      </c>
      <c r="B1252" s="23">
        <v>45404</v>
      </c>
      <c r="C1252" s="22" t="s">
        <v>148</v>
      </c>
      <c r="D1252" s="22" t="s">
        <v>323</v>
      </c>
      <c r="E1252" s="22" t="s">
        <v>2975</v>
      </c>
      <c r="F1252" s="24">
        <v>4</v>
      </c>
      <c r="G1252" s="24">
        <v>4610</v>
      </c>
      <c r="H1252" s="24">
        <v>15.1</v>
      </c>
      <c r="I1252" s="24">
        <v>15655.56</v>
      </c>
      <c r="J1252" s="22" t="s">
        <v>159</v>
      </c>
      <c r="K1252" s="22" t="s">
        <v>151</v>
      </c>
      <c r="L1252" t="str">
        <f>VLOOKUP(D1252,Products!A:F,3,FALSE())</f>
        <v>Home</v>
      </c>
      <c r="M1252" t="str">
        <f>VLOOKUP(C1252,Customers!A:F,5,FALSE())</f>
        <v>Retail</v>
      </c>
      <c r="O1252" t="str">
        <f>IFERROR(VLOOKUP(E1252,Sales_Reps!$A:$C,3,FALSE()),"")</f>
        <v/>
      </c>
      <c r="P1252">
        <f>IFERROR(VLOOKUP(C1252,Customers!$A:$C,3,FALSE()),"")</f>
        <v>60</v>
      </c>
      <c r="Q1252" t="str">
        <f t="shared" si="19"/>
        <v>Apr-24</v>
      </c>
      <c r="R1252">
        <f>IFERROR((VLOOKUP(D1252,Products!$A:$E,5,FALSE())-VLOOKUP(D1252,Products!$A:$E,4,FALSE()))/VLOOKUP(D1252,Products!$A:$E,5,FALSE()),"")</f>
        <v>0.59869848156182215</v>
      </c>
    </row>
    <row r="1253" spans="1:18" x14ac:dyDescent="0.3">
      <c r="A1253" s="22" t="s">
        <v>2976</v>
      </c>
      <c r="B1253" s="23">
        <v>45476</v>
      </c>
      <c r="C1253" s="22" t="s">
        <v>497</v>
      </c>
      <c r="D1253" s="22" t="s">
        <v>352</v>
      </c>
      <c r="E1253" s="22" t="s">
        <v>2977</v>
      </c>
      <c r="F1253" s="24">
        <v>2</v>
      </c>
      <c r="G1253" s="24">
        <v>620</v>
      </c>
      <c r="H1253" s="24">
        <v>3.3</v>
      </c>
      <c r="I1253" s="24">
        <v>1199.08</v>
      </c>
      <c r="J1253" s="22" t="s">
        <v>104</v>
      </c>
      <c r="K1253" s="22" t="s">
        <v>129</v>
      </c>
      <c r="L1253" t="str">
        <f>VLOOKUP(D1253,Products!A:F,3,FALSE())</f>
        <v>Apparel</v>
      </c>
      <c r="M1253" t="str">
        <f>VLOOKUP(C1253,Customers!A:F,5,FALSE())</f>
        <v>Retail</v>
      </c>
      <c r="O1253" t="str">
        <f>IFERROR(VLOOKUP(E1253,Sales_Reps!$A:$C,3,FALSE()),"")</f>
        <v/>
      </c>
      <c r="P1253">
        <f>IFERROR(VLOOKUP(C1253,Customers!$A:$C,3,FALSE()),"")</f>
        <v>50</v>
      </c>
      <c r="Q1253" t="str">
        <f t="shared" si="19"/>
        <v>Jul-24</v>
      </c>
      <c r="R1253">
        <f>IFERROR((VLOOKUP(D1253,Products!$A:$E,5,FALSE())-VLOOKUP(D1253,Products!$A:$E,4,FALSE()))/VLOOKUP(D1253,Products!$A:$E,5,FALSE()),"")</f>
        <v>0.36129032258064514</v>
      </c>
    </row>
    <row r="1254" spans="1:18" x14ac:dyDescent="0.3">
      <c r="A1254" s="22" t="s">
        <v>2978</v>
      </c>
      <c r="B1254" s="23">
        <v>45481</v>
      </c>
      <c r="C1254" s="22" t="s">
        <v>1106</v>
      </c>
      <c r="D1254" s="22" t="s">
        <v>308</v>
      </c>
      <c r="E1254" s="22" t="s">
        <v>2979</v>
      </c>
      <c r="F1254" s="24">
        <v>7</v>
      </c>
      <c r="G1254" s="24">
        <v>1540</v>
      </c>
      <c r="H1254" s="24">
        <v>27.5</v>
      </c>
      <c r="I1254" s="24">
        <v>7815.5</v>
      </c>
      <c r="J1254" s="22" t="s">
        <v>104</v>
      </c>
      <c r="K1254" s="22" t="s">
        <v>134</v>
      </c>
      <c r="L1254" t="str">
        <f>VLOOKUP(D1254,Products!A:F,3,FALSE())</f>
        <v>Beauty</v>
      </c>
      <c r="M1254" t="str">
        <f>VLOOKUP(C1254,Customers!A:F,5,FALSE())</f>
        <v>Corporate</v>
      </c>
      <c r="O1254" t="str">
        <f>IFERROR(VLOOKUP(E1254,Sales_Reps!$A:$C,3,FALSE()),"")</f>
        <v/>
      </c>
      <c r="P1254">
        <f>IFERROR(VLOOKUP(C1254,Customers!$A:$C,3,FALSE()),"")</f>
        <v>43</v>
      </c>
      <c r="Q1254" t="str">
        <f t="shared" si="19"/>
        <v>Jul-24</v>
      </c>
      <c r="R1254">
        <f>IFERROR((VLOOKUP(D1254,Products!$A:$E,5,FALSE())-VLOOKUP(D1254,Products!$A:$E,4,FALSE()))/VLOOKUP(D1254,Products!$A:$E,5,FALSE()),"")</f>
        <v>0.57987012987012987</v>
      </c>
    </row>
    <row r="1255" spans="1:18" x14ac:dyDescent="0.3">
      <c r="A1255" s="22" t="s">
        <v>2980</v>
      </c>
      <c r="B1255" s="23">
        <v>45480</v>
      </c>
      <c r="C1255" s="22" t="s">
        <v>1172</v>
      </c>
      <c r="D1255" s="22" t="s">
        <v>114</v>
      </c>
      <c r="E1255" s="22" t="s">
        <v>2981</v>
      </c>
      <c r="F1255" s="24">
        <v>10</v>
      </c>
      <c r="G1255" s="24">
        <v>470</v>
      </c>
      <c r="H1255" s="24">
        <v>3.9</v>
      </c>
      <c r="I1255" s="24">
        <v>4516.7</v>
      </c>
      <c r="J1255" s="22" t="s">
        <v>104</v>
      </c>
      <c r="K1255" s="22" t="s">
        <v>111</v>
      </c>
      <c r="L1255" t="str">
        <f>VLOOKUP(D1255,Products!A:F,3,FALSE())</f>
        <v>Sports</v>
      </c>
      <c r="M1255" t="str">
        <f>VLOOKUP(C1255,Customers!A:F,5,FALSE())</f>
        <v>Retail</v>
      </c>
      <c r="O1255" t="str">
        <f>IFERROR(VLOOKUP(E1255,Sales_Reps!$A:$C,3,FALSE()),"")</f>
        <v/>
      </c>
      <c r="P1255">
        <f>IFERROR(VLOOKUP(C1255,Customers!$A:$C,3,FALSE()),"")</f>
        <v>22</v>
      </c>
      <c r="Q1255" t="str">
        <f t="shared" si="19"/>
        <v>Jul-24</v>
      </c>
      <c r="R1255">
        <f>IFERROR((VLOOKUP(D1255,Products!$A:$E,5,FALSE())-VLOOKUP(D1255,Products!$A:$E,4,FALSE()))/VLOOKUP(D1255,Products!$A:$E,5,FALSE()),"")</f>
        <v>0.35744680851063831</v>
      </c>
    </row>
    <row r="1256" spans="1:18" x14ac:dyDescent="0.3">
      <c r="A1256" s="22" t="s">
        <v>2982</v>
      </c>
      <c r="B1256" s="23">
        <v>45603</v>
      </c>
      <c r="C1256" s="22" t="s">
        <v>1481</v>
      </c>
      <c r="D1256" s="22" t="s">
        <v>212</v>
      </c>
      <c r="E1256" s="22" t="s">
        <v>2983</v>
      </c>
      <c r="F1256" s="24">
        <v>5</v>
      </c>
      <c r="G1256" s="24">
        <v>4880</v>
      </c>
      <c r="H1256" s="24">
        <v>27.4</v>
      </c>
      <c r="I1256" s="24">
        <v>17714.400000000001</v>
      </c>
      <c r="J1256" s="22" t="s">
        <v>104</v>
      </c>
      <c r="K1256" s="22" t="s">
        <v>116</v>
      </c>
      <c r="L1256" t="str">
        <f>VLOOKUP(D1256,Products!A:F,3,FALSE())</f>
        <v>Beauty</v>
      </c>
      <c r="M1256" t="str">
        <f>VLOOKUP(C1256,Customers!A:F,5,FALSE())</f>
        <v>Retail</v>
      </c>
      <c r="O1256" t="str">
        <f>IFERROR(VLOOKUP(E1256,Sales_Reps!$A:$C,3,FALSE()),"")</f>
        <v/>
      </c>
      <c r="P1256">
        <f>IFERROR(VLOOKUP(C1256,Customers!$A:$C,3,FALSE()),"")</f>
        <v>47</v>
      </c>
      <c r="Q1256" t="str">
        <f t="shared" si="19"/>
        <v>Nov-24</v>
      </c>
      <c r="R1256">
        <f>IFERROR((VLOOKUP(D1256,Products!$A:$E,5,FALSE())-VLOOKUP(D1256,Products!$A:$E,4,FALSE()))/VLOOKUP(D1256,Products!$A:$E,5,FALSE()),"")</f>
        <v>0.43278688524590164</v>
      </c>
    </row>
    <row r="1257" spans="1:18" x14ac:dyDescent="0.3">
      <c r="A1257" s="22" t="s">
        <v>2984</v>
      </c>
      <c r="B1257" s="23">
        <v>45548</v>
      </c>
      <c r="C1257" s="22" t="s">
        <v>1672</v>
      </c>
      <c r="D1257" s="22" t="s">
        <v>449</v>
      </c>
      <c r="E1257" s="22" t="s">
        <v>2985</v>
      </c>
      <c r="F1257" s="24">
        <v>1</v>
      </c>
      <c r="G1257" s="24">
        <v>5410</v>
      </c>
      <c r="H1257" s="24">
        <v>8.3000000000000007</v>
      </c>
      <c r="I1257" s="24">
        <v>4960.97</v>
      </c>
      <c r="J1257" s="22" t="s">
        <v>104</v>
      </c>
      <c r="K1257" s="22" t="s">
        <v>129</v>
      </c>
      <c r="L1257" t="str">
        <f>VLOOKUP(D1257,Products!A:F,3,FALSE())</f>
        <v>Sports</v>
      </c>
      <c r="M1257" t="str">
        <f>VLOOKUP(C1257,Customers!A:F,5,FALSE())</f>
        <v>SMB</v>
      </c>
      <c r="O1257" t="str">
        <f>IFERROR(VLOOKUP(E1257,Sales_Reps!$A:$C,3,FALSE()),"")</f>
        <v/>
      </c>
      <c r="P1257">
        <f>IFERROR(VLOOKUP(C1257,Customers!$A:$C,3,FALSE()),"")</f>
        <v>53</v>
      </c>
      <c r="Q1257" t="str">
        <f t="shared" si="19"/>
        <v>Sep-24</v>
      </c>
      <c r="R1257">
        <f>IFERROR((VLOOKUP(D1257,Products!$A:$E,5,FALSE())-VLOOKUP(D1257,Products!$A:$E,4,FALSE()))/VLOOKUP(D1257,Products!$A:$E,5,FALSE()),"")</f>
        <v>0.58133086876155271</v>
      </c>
    </row>
    <row r="1258" spans="1:18" x14ac:dyDescent="0.3">
      <c r="A1258" s="22" t="s">
        <v>2986</v>
      </c>
      <c r="B1258" s="23">
        <v>45482</v>
      </c>
      <c r="C1258" s="22" t="s">
        <v>326</v>
      </c>
      <c r="D1258" s="22" t="s">
        <v>293</v>
      </c>
      <c r="E1258" s="22" t="s">
        <v>2987</v>
      </c>
      <c r="F1258" s="24">
        <v>8</v>
      </c>
      <c r="G1258" s="24">
        <v>3870</v>
      </c>
      <c r="H1258" s="24">
        <v>9.3000000000000007</v>
      </c>
      <c r="I1258" s="24">
        <v>28080.720000000001</v>
      </c>
      <c r="J1258" s="22" t="s">
        <v>110</v>
      </c>
      <c r="K1258" s="22" t="s">
        <v>111</v>
      </c>
      <c r="L1258" t="str">
        <f>VLOOKUP(D1258,Products!A:F,3,FALSE())</f>
        <v>Electronics</v>
      </c>
      <c r="M1258" t="str">
        <f>VLOOKUP(C1258,Customers!A:F,5,FALSE())</f>
        <v>SMB</v>
      </c>
      <c r="O1258" t="str">
        <f>IFERROR(VLOOKUP(E1258,Sales_Reps!$A:$C,3,FALSE()),"")</f>
        <v/>
      </c>
      <c r="P1258">
        <f>IFERROR(VLOOKUP(C1258,Customers!$A:$C,3,FALSE()),"")</f>
        <v>55</v>
      </c>
      <c r="Q1258" t="str">
        <f t="shared" si="19"/>
        <v>Jul-24</v>
      </c>
      <c r="R1258">
        <f>IFERROR((VLOOKUP(D1258,Products!$A:$E,5,FALSE())-VLOOKUP(D1258,Products!$A:$E,4,FALSE()))/VLOOKUP(D1258,Products!$A:$E,5,FALSE()),"")</f>
        <v>0.59715762273901807</v>
      </c>
    </row>
    <row r="1259" spans="1:18" x14ac:dyDescent="0.3">
      <c r="A1259" s="22" t="s">
        <v>2988</v>
      </c>
      <c r="B1259" s="23">
        <v>45457</v>
      </c>
      <c r="C1259" s="22" t="s">
        <v>1049</v>
      </c>
      <c r="D1259" s="22" t="s">
        <v>153</v>
      </c>
      <c r="E1259" s="22" t="s">
        <v>2989</v>
      </c>
      <c r="F1259" s="24">
        <v>10</v>
      </c>
      <c r="G1259" s="24">
        <v>2640</v>
      </c>
      <c r="H1259" s="24">
        <v>19.899999999999999</v>
      </c>
      <c r="I1259" s="24">
        <v>21146.400000000001</v>
      </c>
      <c r="J1259" s="22" t="s">
        <v>104</v>
      </c>
      <c r="K1259" s="22" t="s">
        <v>116</v>
      </c>
      <c r="L1259" t="str">
        <f>VLOOKUP(D1259,Products!A:F,3,FALSE())</f>
        <v>Electronics</v>
      </c>
      <c r="M1259" t="str">
        <f>VLOOKUP(C1259,Customers!A:F,5,FALSE())</f>
        <v>SMB</v>
      </c>
      <c r="O1259" t="str">
        <f>IFERROR(VLOOKUP(E1259,Sales_Reps!$A:$C,3,FALSE()),"")</f>
        <v/>
      </c>
      <c r="P1259">
        <f>IFERROR(VLOOKUP(C1259,Customers!$A:$C,3,FALSE()),"")</f>
        <v>26</v>
      </c>
      <c r="Q1259" t="str">
        <f t="shared" si="19"/>
        <v>Jun-24</v>
      </c>
      <c r="R1259">
        <f>IFERROR((VLOOKUP(D1259,Products!$A:$E,5,FALSE())-VLOOKUP(D1259,Products!$A:$E,4,FALSE()))/VLOOKUP(D1259,Products!$A:$E,5,FALSE()),"")</f>
        <v>0.56477272727272732</v>
      </c>
    </row>
    <row r="1260" spans="1:18" x14ac:dyDescent="0.3">
      <c r="A1260" s="22" t="s">
        <v>2990</v>
      </c>
      <c r="B1260" s="23">
        <v>45508</v>
      </c>
      <c r="C1260" s="22" t="s">
        <v>868</v>
      </c>
      <c r="D1260" s="22" t="s">
        <v>577</v>
      </c>
      <c r="E1260" s="22" t="s">
        <v>2991</v>
      </c>
      <c r="F1260" s="24">
        <v>1</v>
      </c>
      <c r="G1260" s="24">
        <v>5080</v>
      </c>
      <c r="H1260" s="24">
        <v>8.6</v>
      </c>
      <c r="I1260" s="24">
        <v>4643.12</v>
      </c>
      <c r="J1260" s="22" t="s">
        <v>104</v>
      </c>
      <c r="K1260" s="22" t="s">
        <v>111</v>
      </c>
      <c r="L1260" t="str">
        <f>VLOOKUP(D1260,Products!A:F,3,FALSE())</f>
        <v>Home</v>
      </c>
      <c r="M1260" t="str">
        <f>VLOOKUP(C1260,Customers!A:F,5,FALSE())</f>
        <v>Corporate</v>
      </c>
      <c r="O1260" t="str">
        <f>IFERROR(VLOOKUP(E1260,Sales_Reps!$A:$C,3,FALSE()),"")</f>
        <v/>
      </c>
      <c r="P1260">
        <f>IFERROR(VLOOKUP(C1260,Customers!$A:$C,3,FALSE()),"")</f>
        <v>22</v>
      </c>
      <c r="Q1260" t="str">
        <f t="shared" si="19"/>
        <v>Aug-24</v>
      </c>
      <c r="R1260">
        <f>IFERROR((VLOOKUP(D1260,Products!$A:$E,5,FALSE())-VLOOKUP(D1260,Products!$A:$E,4,FALSE()))/VLOOKUP(D1260,Products!$A:$E,5,FALSE()),"")</f>
        <v>0.51594488188976373</v>
      </c>
    </row>
    <row r="1261" spans="1:18" x14ac:dyDescent="0.3">
      <c r="A1261" s="22" t="s">
        <v>2992</v>
      </c>
      <c r="B1261" s="23">
        <v>45399</v>
      </c>
      <c r="C1261" s="22" t="s">
        <v>1007</v>
      </c>
      <c r="D1261" s="22" t="s">
        <v>162</v>
      </c>
      <c r="E1261" s="22" t="s">
        <v>2993</v>
      </c>
      <c r="F1261" s="24">
        <v>9</v>
      </c>
      <c r="G1261" s="24">
        <v>3250</v>
      </c>
      <c r="H1261" s="24">
        <v>18.2</v>
      </c>
      <c r="I1261" s="24">
        <v>23926.5</v>
      </c>
      <c r="J1261" s="22" t="s">
        <v>110</v>
      </c>
      <c r="K1261" s="22" t="s">
        <v>111</v>
      </c>
      <c r="L1261" t="str">
        <f>VLOOKUP(D1261,Products!A:F,3,FALSE())</f>
        <v>Home</v>
      </c>
      <c r="M1261" t="str">
        <f>VLOOKUP(C1261,Customers!A:F,5,FALSE())</f>
        <v>SMB</v>
      </c>
      <c r="O1261" t="str">
        <f>IFERROR(VLOOKUP(E1261,Sales_Reps!$A:$C,3,FALSE()),"")</f>
        <v/>
      </c>
      <c r="P1261">
        <f>IFERROR(VLOOKUP(C1261,Customers!$A:$C,3,FALSE()),"")</f>
        <v>46</v>
      </c>
      <c r="Q1261" t="str">
        <f t="shared" si="19"/>
        <v>Apr-24</v>
      </c>
      <c r="R1261">
        <f>IFERROR((VLOOKUP(D1261,Products!$A:$E,5,FALSE())-VLOOKUP(D1261,Products!$A:$E,4,FALSE()))/VLOOKUP(D1261,Products!$A:$E,5,FALSE()),"")</f>
        <v>0.52123076923076928</v>
      </c>
    </row>
    <row r="1262" spans="1:18" x14ac:dyDescent="0.3">
      <c r="A1262" s="22" t="s">
        <v>2994</v>
      </c>
      <c r="B1262" s="23">
        <v>45607</v>
      </c>
      <c r="C1262" s="22" t="s">
        <v>185</v>
      </c>
      <c r="D1262" s="22" t="s">
        <v>521</v>
      </c>
      <c r="E1262" s="22" t="s">
        <v>2995</v>
      </c>
      <c r="F1262" s="24">
        <v>8</v>
      </c>
      <c r="G1262" s="24">
        <v>3970</v>
      </c>
      <c r="H1262" s="24">
        <v>22.4</v>
      </c>
      <c r="I1262" s="24">
        <v>24645.759999999998</v>
      </c>
      <c r="J1262" s="22" t="s">
        <v>104</v>
      </c>
      <c r="K1262" s="22" t="s">
        <v>111</v>
      </c>
      <c r="L1262" t="str">
        <f>VLOOKUP(D1262,Products!A:F,3,FALSE())</f>
        <v>Electronics</v>
      </c>
      <c r="M1262" t="str">
        <f>VLOOKUP(C1262,Customers!A:F,5,FALSE())</f>
        <v>Retail</v>
      </c>
      <c r="O1262" t="str">
        <f>IFERROR(VLOOKUP(E1262,Sales_Reps!$A:$C,3,FALSE()),"")</f>
        <v/>
      </c>
      <c r="P1262">
        <f>IFERROR(VLOOKUP(C1262,Customers!$A:$C,3,FALSE()),"")</f>
        <v>49</v>
      </c>
      <c r="Q1262" t="str">
        <f t="shared" si="19"/>
        <v>Nov-24</v>
      </c>
      <c r="R1262">
        <f>IFERROR((VLOOKUP(D1262,Products!$A:$E,5,FALSE())-VLOOKUP(D1262,Products!$A:$E,4,FALSE()))/VLOOKUP(D1262,Products!$A:$E,5,FALSE()),"")</f>
        <v>0.27833753148614609</v>
      </c>
    </row>
    <row r="1263" spans="1:18" x14ac:dyDescent="0.3">
      <c r="A1263" s="22" t="s">
        <v>2996</v>
      </c>
      <c r="B1263" s="23">
        <v>45407</v>
      </c>
      <c r="C1263" s="22" t="s">
        <v>599</v>
      </c>
      <c r="D1263" s="22" t="s">
        <v>234</v>
      </c>
      <c r="E1263" s="22" t="s">
        <v>2997</v>
      </c>
      <c r="F1263" s="24">
        <v>3</v>
      </c>
      <c r="G1263" s="24">
        <v>660</v>
      </c>
      <c r="H1263" s="24">
        <v>3.1</v>
      </c>
      <c r="I1263" s="24">
        <v>1918.62</v>
      </c>
      <c r="J1263" s="22" t="s">
        <v>104</v>
      </c>
      <c r="K1263" s="22" t="s">
        <v>105</v>
      </c>
      <c r="L1263" t="str">
        <f>VLOOKUP(D1263,Products!A:F,3,FALSE())</f>
        <v>Home</v>
      </c>
      <c r="M1263" t="str">
        <f>VLOOKUP(C1263,Customers!A:F,5,FALSE())</f>
        <v>Retail</v>
      </c>
      <c r="O1263" t="str">
        <f>IFERROR(VLOOKUP(E1263,Sales_Reps!$A:$C,3,FALSE()),"")</f>
        <v/>
      </c>
      <c r="P1263">
        <f>IFERROR(VLOOKUP(C1263,Customers!$A:$C,3,FALSE()),"")</f>
        <v>29</v>
      </c>
      <c r="Q1263" t="str">
        <f t="shared" si="19"/>
        <v>Apr-24</v>
      </c>
      <c r="R1263">
        <f>IFERROR((VLOOKUP(D1263,Products!$A:$E,5,FALSE())-VLOOKUP(D1263,Products!$A:$E,4,FALSE()))/VLOOKUP(D1263,Products!$A:$E,5,FALSE()),"")</f>
        <v>0.50151515151515147</v>
      </c>
    </row>
    <row r="1264" spans="1:18" x14ac:dyDescent="0.3">
      <c r="A1264" s="22" t="s">
        <v>2998</v>
      </c>
      <c r="B1264" s="23">
        <v>45357</v>
      </c>
      <c r="C1264" s="22" t="s">
        <v>1979</v>
      </c>
      <c r="D1264" s="22" t="s">
        <v>157</v>
      </c>
      <c r="E1264" s="22" t="s">
        <v>2999</v>
      </c>
      <c r="F1264" s="24">
        <v>7</v>
      </c>
      <c r="G1264" s="24">
        <v>2600</v>
      </c>
      <c r="H1264" s="24">
        <v>15.4</v>
      </c>
      <c r="I1264" s="24">
        <v>15397.2</v>
      </c>
      <c r="J1264" s="22" t="s">
        <v>104</v>
      </c>
      <c r="K1264" s="22" t="s">
        <v>105</v>
      </c>
      <c r="L1264" t="str">
        <f>VLOOKUP(D1264,Products!A:F,3,FALSE())</f>
        <v>Electronics</v>
      </c>
      <c r="M1264" t="str">
        <f>VLOOKUP(C1264,Customers!A:F,5,FALSE())</f>
        <v>Retail</v>
      </c>
      <c r="O1264" t="str">
        <f>IFERROR(VLOOKUP(E1264,Sales_Reps!$A:$C,3,FALSE()),"")</f>
        <v/>
      </c>
      <c r="P1264">
        <f>IFERROR(VLOOKUP(C1264,Customers!$A:$C,3,FALSE()),"")</f>
        <v>42</v>
      </c>
      <c r="Q1264" t="str">
        <f t="shared" si="19"/>
        <v>Mar-24</v>
      </c>
      <c r="R1264">
        <f>IFERROR((VLOOKUP(D1264,Products!$A:$E,5,FALSE())-VLOOKUP(D1264,Products!$A:$E,4,FALSE()))/VLOOKUP(D1264,Products!$A:$E,5,FALSE()),"")</f>
        <v>0.5953846153846154</v>
      </c>
    </row>
    <row r="1265" spans="1:18" x14ac:dyDescent="0.3">
      <c r="A1265" s="22" t="s">
        <v>3000</v>
      </c>
      <c r="B1265" s="23">
        <v>45565</v>
      </c>
      <c r="C1265" s="22" t="s">
        <v>847</v>
      </c>
      <c r="D1265" s="22" t="s">
        <v>234</v>
      </c>
      <c r="E1265" s="22" t="s">
        <v>3001</v>
      </c>
      <c r="F1265" s="24">
        <v>9</v>
      </c>
      <c r="G1265" s="24">
        <v>660</v>
      </c>
      <c r="H1265" s="24">
        <v>23.7</v>
      </c>
      <c r="I1265" s="24">
        <v>4532.22</v>
      </c>
      <c r="J1265" s="22" t="s">
        <v>104</v>
      </c>
      <c r="K1265" s="22" t="s">
        <v>105</v>
      </c>
      <c r="L1265" t="str">
        <f>VLOOKUP(D1265,Products!A:F,3,FALSE())</f>
        <v>Home</v>
      </c>
      <c r="M1265" t="str">
        <f>VLOOKUP(C1265,Customers!A:F,5,FALSE())</f>
        <v>Corporate</v>
      </c>
      <c r="O1265" t="str">
        <f>IFERROR(VLOOKUP(E1265,Sales_Reps!$A:$C,3,FALSE()),"")</f>
        <v/>
      </c>
      <c r="P1265">
        <f>IFERROR(VLOOKUP(C1265,Customers!$A:$C,3,FALSE()),"")</f>
        <v>40</v>
      </c>
      <c r="Q1265" t="str">
        <f t="shared" si="19"/>
        <v>Sep-24</v>
      </c>
      <c r="R1265">
        <f>IFERROR((VLOOKUP(D1265,Products!$A:$E,5,FALSE())-VLOOKUP(D1265,Products!$A:$E,4,FALSE()))/VLOOKUP(D1265,Products!$A:$E,5,FALSE()),"")</f>
        <v>0.50151515151515147</v>
      </c>
    </row>
    <row r="1266" spans="1:18" x14ac:dyDescent="0.3">
      <c r="A1266" s="22" t="s">
        <v>3002</v>
      </c>
      <c r="B1266" s="23">
        <v>45395</v>
      </c>
      <c r="C1266" s="22" t="s">
        <v>307</v>
      </c>
      <c r="D1266" s="22" t="s">
        <v>459</v>
      </c>
      <c r="E1266" s="22" t="s">
        <v>3003</v>
      </c>
      <c r="F1266" s="24">
        <v>3</v>
      </c>
      <c r="G1266" s="24">
        <v>2380</v>
      </c>
      <c r="H1266" s="24">
        <v>19.5</v>
      </c>
      <c r="I1266" s="24">
        <v>5747.7</v>
      </c>
      <c r="J1266" s="22" t="s">
        <v>159</v>
      </c>
      <c r="K1266" s="22" t="s">
        <v>116</v>
      </c>
      <c r="L1266" t="str">
        <f>VLOOKUP(D1266,Products!A:F,3,FALSE())</f>
        <v>Grocery</v>
      </c>
      <c r="M1266" t="str">
        <f>VLOOKUP(C1266,Customers!A:F,5,FALSE())</f>
        <v>SMB</v>
      </c>
      <c r="O1266" t="str">
        <f>IFERROR(VLOOKUP(E1266,Sales_Reps!$A:$C,3,FALSE()),"")</f>
        <v/>
      </c>
      <c r="P1266">
        <f>IFERROR(VLOOKUP(C1266,Customers!$A:$C,3,FALSE()),"")</f>
        <v>55</v>
      </c>
      <c r="Q1266" t="str">
        <f t="shared" si="19"/>
        <v>Apr-24</v>
      </c>
      <c r="R1266">
        <f>IFERROR((VLOOKUP(D1266,Products!$A:$E,5,FALSE())-VLOOKUP(D1266,Products!$A:$E,4,FALSE()))/VLOOKUP(D1266,Products!$A:$E,5,FALSE()),"")</f>
        <v>0.50336134453781511</v>
      </c>
    </row>
    <row r="1267" spans="1:18" x14ac:dyDescent="0.3">
      <c r="A1267" s="22" t="s">
        <v>3004</v>
      </c>
      <c r="B1267" s="23">
        <v>45624</v>
      </c>
      <c r="C1267" s="22" t="s">
        <v>403</v>
      </c>
      <c r="D1267" s="22" t="s">
        <v>201</v>
      </c>
      <c r="E1267" s="22" t="s">
        <v>3005</v>
      </c>
      <c r="F1267" s="24">
        <v>9</v>
      </c>
      <c r="G1267" s="24">
        <v>1650</v>
      </c>
      <c r="H1267" s="24">
        <v>2.5</v>
      </c>
      <c r="I1267" s="24">
        <v>14478.75</v>
      </c>
      <c r="J1267" s="22" t="s">
        <v>104</v>
      </c>
      <c r="K1267" s="22" t="s">
        <v>111</v>
      </c>
      <c r="L1267" t="str">
        <f>VLOOKUP(D1267,Products!A:F,3,FALSE())</f>
        <v>Beauty</v>
      </c>
      <c r="M1267" t="str">
        <f>VLOOKUP(C1267,Customers!A:F,5,FALSE())</f>
        <v>Retail</v>
      </c>
      <c r="O1267" t="str">
        <f>IFERROR(VLOOKUP(E1267,Sales_Reps!$A:$C,3,FALSE()),"")</f>
        <v/>
      </c>
      <c r="P1267">
        <f>IFERROR(VLOOKUP(C1267,Customers!$A:$C,3,FALSE()),"")</f>
        <v>28</v>
      </c>
      <c r="Q1267" t="str">
        <f t="shared" si="19"/>
        <v>Nov-24</v>
      </c>
      <c r="R1267">
        <f>IFERROR((VLOOKUP(D1267,Products!$A:$E,5,FALSE())-VLOOKUP(D1267,Products!$A:$E,4,FALSE()))/VLOOKUP(D1267,Products!$A:$E,5,FALSE()),"")</f>
        <v>0.2593939393939394</v>
      </c>
    </row>
    <row r="1268" spans="1:18" x14ac:dyDescent="0.3">
      <c r="A1268" s="22" t="s">
        <v>3006</v>
      </c>
      <c r="B1268" s="23">
        <v>45650</v>
      </c>
      <c r="C1268" s="22" t="s">
        <v>3007</v>
      </c>
      <c r="D1268" s="22" t="s">
        <v>153</v>
      </c>
      <c r="E1268" s="22" t="s">
        <v>3008</v>
      </c>
      <c r="F1268" s="24">
        <v>8</v>
      </c>
      <c r="G1268" s="24">
        <v>2640</v>
      </c>
      <c r="H1268" s="24">
        <v>24.4</v>
      </c>
      <c r="I1268" s="24">
        <v>15966.72</v>
      </c>
      <c r="J1268" s="22" t="s">
        <v>104</v>
      </c>
      <c r="K1268" s="22" t="s">
        <v>129</v>
      </c>
      <c r="L1268" t="str">
        <f>VLOOKUP(D1268,Products!A:F,3,FALSE())</f>
        <v>Electronics</v>
      </c>
      <c r="M1268" t="e">
        <f>VLOOKUP(C1268,Customers!A:F,5,FALSE())</f>
        <v>#N/A</v>
      </c>
      <c r="O1268" t="str">
        <f>IFERROR(VLOOKUP(E1268,Sales_Reps!$A:$C,3,FALSE()),"")</f>
        <v/>
      </c>
      <c r="P1268" t="str">
        <f>IFERROR(VLOOKUP(C1268,Customers!$A:$C,3,FALSE()),"")</f>
        <v/>
      </c>
      <c r="Q1268" t="str">
        <f t="shared" si="19"/>
        <v>Dec-24</v>
      </c>
      <c r="R1268">
        <f>IFERROR((VLOOKUP(D1268,Products!$A:$E,5,FALSE())-VLOOKUP(D1268,Products!$A:$E,4,FALSE()))/VLOOKUP(D1268,Products!$A:$E,5,FALSE()),"")</f>
        <v>0.56477272727272732</v>
      </c>
    </row>
    <row r="1269" spans="1:18" x14ac:dyDescent="0.3">
      <c r="A1269" s="22" t="s">
        <v>3009</v>
      </c>
      <c r="B1269" s="23">
        <v>45370</v>
      </c>
      <c r="C1269" s="22" t="s">
        <v>830</v>
      </c>
      <c r="D1269" s="22" t="s">
        <v>459</v>
      </c>
      <c r="E1269" s="22" t="s">
        <v>3010</v>
      </c>
      <c r="F1269" s="24">
        <v>8</v>
      </c>
      <c r="G1269" s="24">
        <v>2380</v>
      </c>
      <c r="H1269" s="24">
        <v>24.2</v>
      </c>
      <c r="I1269" s="24">
        <v>14432.32</v>
      </c>
      <c r="J1269" s="22" t="s">
        <v>104</v>
      </c>
      <c r="K1269" s="22" t="s">
        <v>129</v>
      </c>
      <c r="L1269" t="str">
        <f>VLOOKUP(D1269,Products!A:F,3,FALSE())</f>
        <v>Grocery</v>
      </c>
      <c r="M1269" t="str">
        <f>VLOOKUP(C1269,Customers!A:F,5,FALSE())</f>
        <v>Retail</v>
      </c>
      <c r="O1269" t="str">
        <f>IFERROR(VLOOKUP(E1269,Sales_Reps!$A:$C,3,FALSE()),"")</f>
        <v/>
      </c>
      <c r="P1269">
        <f>IFERROR(VLOOKUP(C1269,Customers!$A:$C,3,FALSE()),"")</f>
        <v>39</v>
      </c>
      <c r="Q1269" t="str">
        <f t="shared" si="19"/>
        <v>Mar-24</v>
      </c>
      <c r="R1269">
        <f>IFERROR((VLOOKUP(D1269,Products!$A:$E,5,FALSE())-VLOOKUP(D1269,Products!$A:$E,4,FALSE()))/VLOOKUP(D1269,Products!$A:$E,5,FALSE()),"")</f>
        <v>0.50336134453781511</v>
      </c>
    </row>
    <row r="1270" spans="1:18" x14ac:dyDescent="0.3">
      <c r="A1270" s="22" t="s">
        <v>3011</v>
      </c>
      <c r="B1270" s="23">
        <v>45373</v>
      </c>
      <c r="C1270" s="22" t="s">
        <v>307</v>
      </c>
      <c r="D1270" s="22" t="s">
        <v>419</v>
      </c>
      <c r="E1270" s="22" t="s">
        <v>3012</v>
      </c>
      <c r="F1270" s="24">
        <v>10</v>
      </c>
      <c r="G1270" s="24">
        <v>2210</v>
      </c>
      <c r="H1270" s="24">
        <v>3.6</v>
      </c>
      <c r="I1270" s="24">
        <v>21304.400000000001</v>
      </c>
      <c r="J1270" s="22" t="s">
        <v>104</v>
      </c>
      <c r="K1270" s="22" t="s">
        <v>116</v>
      </c>
      <c r="L1270" t="str">
        <f>VLOOKUP(D1270,Products!A:F,3,FALSE())</f>
        <v>Grocery</v>
      </c>
      <c r="M1270" t="str">
        <f>VLOOKUP(C1270,Customers!A:F,5,FALSE())</f>
        <v>SMB</v>
      </c>
      <c r="O1270" t="str">
        <f>IFERROR(VLOOKUP(E1270,Sales_Reps!$A:$C,3,FALSE()),"")</f>
        <v/>
      </c>
      <c r="P1270">
        <f>IFERROR(VLOOKUP(C1270,Customers!$A:$C,3,FALSE()),"")</f>
        <v>55</v>
      </c>
      <c r="Q1270" t="str">
        <f t="shared" si="19"/>
        <v>Mar-24</v>
      </c>
      <c r="R1270">
        <f>IFERROR((VLOOKUP(D1270,Products!$A:$E,5,FALSE())-VLOOKUP(D1270,Products!$A:$E,4,FALSE()))/VLOOKUP(D1270,Products!$A:$E,5,FALSE()),"")</f>
        <v>0.54298642533936647</v>
      </c>
    </row>
    <row r="1271" spans="1:18" x14ac:dyDescent="0.3">
      <c r="A1271" s="22" t="s">
        <v>3013</v>
      </c>
      <c r="B1271" s="23">
        <v>45391</v>
      </c>
      <c r="C1271" s="22" t="s">
        <v>1243</v>
      </c>
      <c r="D1271" s="22" t="s">
        <v>283</v>
      </c>
      <c r="E1271" s="22" t="s">
        <v>3014</v>
      </c>
      <c r="F1271" s="24">
        <v>9</v>
      </c>
      <c r="G1271" s="24">
        <v>6080</v>
      </c>
      <c r="H1271" s="24">
        <v>17.2</v>
      </c>
      <c r="I1271" s="24">
        <v>45308.160000000003</v>
      </c>
      <c r="J1271" s="22" t="s">
        <v>110</v>
      </c>
      <c r="K1271" s="22" t="s">
        <v>134</v>
      </c>
      <c r="L1271" t="str">
        <f>VLOOKUP(D1271,Products!A:F,3,FALSE())</f>
        <v>Beauty</v>
      </c>
      <c r="M1271" t="str">
        <f>VLOOKUP(C1271,Customers!A:F,5,FALSE())</f>
        <v>Retail</v>
      </c>
      <c r="O1271" t="str">
        <f>IFERROR(VLOOKUP(E1271,Sales_Reps!$A:$C,3,FALSE()),"")</f>
        <v/>
      </c>
      <c r="P1271">
        <f>IFERROR(VLOOKUP(C1271,Customers!$A:$C,3,FALSE()),"")</f>
        <v>52</v>
      </c>
      <c r="Q1271" t="str">
        <f t="shared" si="19"/>
        <v>Apr-24</v>
      </c>
      <c r="R1271">
        <f>IFERROR((VLOOKUP(D1271,Products!$A:$E,5,FALSE())-VLOOKUP(D1271,Products!$A:$E,4,FALSE()))/VLOOKUP(D1271,Products!$A:$E,5,FALSE()),"")</f>
        <v>0.56957236842105263</v>
      </c>
    </row>
    <row r="1272" spans="1:18" x14ac:dyDescent="0.3">
      <c r="A1272" s="22" t="s">
        <v>3015</v>
      </c>
      <c r="B1272" s="23">
        <v>45332</v>
      </c>
      <c r="C1272" s="22" t="s">
        <v>1002</v>
      </c>
      <c r="D1272" s="22" t="s">
        <v>209</v>
      </c>
      <c r="E1272" s="22" t="s">
        <v>3016</v>
      </c>
      <c r="F1272" s="24">
        <v>8</v>
      </c>
      <c r="G1272" s="24">
        <v>1010</v>
      </c>
      <c r="H1272" s="24">
        <v>12.3</v>
      </c>
      <c r="I1272" s="24">
        <v>7086.16</v>
      </c>
      <c r="J1272" s="22" t="s">
        <v>104</v>
      </c>
      <c r="K1272" s="22" t="s">
        <v>151</v>
      </c>
      <c r="L1272" t="str">
        <f>VLOOKUP(D1272,Products!A:F,3,FALSE())</f>
        <v>Sports</v>
      </c>
      <c r="M1272" t="str">
        <f>VLOOKUP(C1272,Customers!A:F,5,FALSE())</f>
        <v>Retail</v>
      </c>
      <c r="O1272" t="str">
        <f>IFERROR(VLOOKUP(E1272,Sales_Reps!$A:$C,3,FALSE()),"")</f>
        <v/>
      </c>
      <c r="P1272">
        <f>IFERROR(VLOOKUP(C1272,Customers!$A:$C,3,FALSE()),"")</f>
        <v>65</v>
      </c>
      <c r="Q1272" t="str">
        <f t="shared" si="19"/>
        <v>Feb-24</v>
      </c>
      <c r="R1272">
        <f>IFERROR((VLOOKUP(D1272,Products!$A:$E,5,FALSE())-VLOOKUP(D1272,Products!$A:$E,4,FALSE()))/VLOOKUP(D1272,Products!$A:$E,5,FALSE()),"")</f>
        <v>0.4891089108910891</v>
      </c>
    </row>
    <row r="1273" spans="1:18" x14ac:dyDescent="0.3">
      <c r="A1273" s="22" t="s">
        <v>3017</v>
      </c>
      <c r="B1273" s="23">
        <v>45582</v>
      </c>
      <c r="C1273" s="22" t="s">
        <v>1447</v>
      </c>
      <c r="D1273" s="22" t="s">
        <v>119</v>
      </c>
      <c r="E1273" s="22" t="s">
        <v>3018</v>
      </c>
      <c r="F1273" s="24">
        <v>8</v>
      </c>
      <c r="G1273" s="24">
        <v>3660</v>
      </c>
      <c r="H1273" s="24">
        <v>8.4</v>
      </c>
      <c r="I1273" s="24">
        <v>26820.48</v>
      </c>
      <c r="J1273" s="22" t="s">
        <v>104</v>
      </c>
      <c r="K1273" s="22" t="s">
        <v>105</v>
      </c>
      <c r="L1273" t="str">
        <f>VLOOKUP(D1273,Products!A:F,3,FALSE())</f>
        <v>Grocery</v>
      </c>
      <c r="M1273" t="str">
        <f>VLOOKUP(C1273,Customers!A:F,5,FALSE())</f>
        <v>Retail</v>
      </c>
      <c r="O1273" t="str">
        <f>IFERROR(VLOOKUP(E1273,Sales_Reps!$A:$C,3,FALSE()),"")</f>
        <v/>
      </c>
      <c r="P1273">
        <f>IFERROR(VLOOKUP(C1273,Customers!$A:$C,3,FALSE()),"")</f>
        <v>65</v>
      </c>
      <c r="Q1273" t="str">
        <f t="shared" si="19"/>
        <v>Oct-24</v>
      </c>
      <c r="R1273">
        <f>IFERROR((VLOOKUP(D1273,Products!$A:$E,5,FALSE())-VLOOKUP(D1273,Products!$A:$E,4,FALSE()))/VLOOKUP(D1273,Products!$A:$E,5,FALSE()),"")</f>
        <v>0.39508196721311473</v>
      </c>
    </row>
    <row r="1274" spans="1:18" x14ac:dyDescent="0.3">
      <c r="A1274" s="22" t="s">
        <v>3019</v>
      </c>
      <c r="B1274" s="23">
        <v>45443</v>
      </c>
      <c r="C1274" s="22" t="s">
        <v>1568</v>
      </c>
      <c r="D1274" s="22" t="s">
        <v>323</v>
      </c>
      <c r="E1274" s="22" t="s">
        <v>3020</v>
      </c>
      <c r="F1274" s="24">
        <v>8</v>
      </c>
      <c r="G1274" s="24">
        <v>4610</v>
      </c>
      <c r="H1274" s="24">
        <v>15.4</v>
      </c>
      <c r="I1274" s="24">
        <v>31200.48</v>
      </c>
      <c r="J1274" s="22" t="s">
        <v>159</v>
      </c>
      <c r="K1274" s="22" t="s">
        <v>134</v>
      </c>
      <c r="L1274" t="str">
        <f>VLOOKUP(D1274,Products!A:F,3,FALSE())</f>
        <v>Home</v>
      </c>
      <c r="M1274" t="str">
        <f>VLOOKUP(C1274,Customers!A:F,5,FALSE())</f>
        <v>SMB</v>
      </c>
      <c r="O1274" t="str">
        <f>IFERROR(VLOOKUP(E1274,Sales_Reps!$A:$C,3,FALSE()),"")</f>
        <v/>
      </c>
      <c r="P1274">
        <f>IFERROR(VLOOKUP(C1274,Customers!$A:$C,3,FALSE()),"")</f>
        <v>49</v>
      </c>
      <c r="Q1274" t="str">
        <f t="shared" si="19"/>
        <v>May-24</v>
      </c>
      <c r="R1274">
        <f>IFERROR((VLOOKUP(D1274,Products!$A:$E,5,FALSE())-VLOOKUP(D1274,Products!$A:$E,4,FALSE()))/VLOOKUP(D1274,Products!$A:$E,5,FALSE()),"")</f>
        <v>0.59869848156182215</v>
      </c>
    </row>
    <row r="1275" spans="1:18" x14ac:dyDescent="0.3">
      <c r="A1275" s="22" t="s">
        <v>3021</v>
      </c>
      <c r="B1275" s="23">
        <v>45525</v>
      </c>
      <c r="C1275" s="22" t="s">
        <v>1568</v>
      </c>
      <c r="D1275" s="22" t="s">
        <v>220</v>
      </c>
      <c r="E1275" s="22" t="s">
        <v>3022</v>
      </c>
      <c r="F1275" s="24">
        <v>9</v>
      </c>
      <c r="G1275" s="24">
        <v>5100</v>
      </c>
      <c r="H1275" s="24">
        <v>25.2</v>
      </c>
      <c r="I1275" s="24">
        <v>34333.199999999997</v>
      </c>
      <c r="J1275" s="22" t="s">
        <v>159</v>
      </c>
      <c r="K1275" s="22" t="s">
        <v>134</v>
      </c>
      <c r="L1275" t="str">
        <f>VLOOKUP(D1275,Products!A:F,3,FALSE())</f>
        <v>Beauty</v>
      </c>
      <c r="M1275" t="str">
        <f>VLOOKUP(C1275,Customers!A:F,5,FALSE())</f>
        <v>SMB</v>
      </c>
      <c r="O1275" t="str">
        <f>IFERROR(VLOOKUP(E1275,Sales_Reps!$A:$C,3,FALSE()),"")</f>
        <v/>
      </c>
      <c r="P1275">
        <f>IFERROR(VLOOKUP(C1275,Customers!$A:$C,3,FALSE()),"")</f>
        <v>49</v>
      </c>
      <c r="Q1275" t="str">
        <f t="shared" si="19"/>
        <v>Aug-24</v>
      </c>
      <c r="R1275">
        <f>IFERROR((VLOOKUP(D1275,Products!$A:$E,5,FALSE())-VLOOKUP(D1275,Products!$A:$E,4,FALSE()))/VLOOKUP(D1275,Products!$A:$E,5,FALSE()),"")</f>
        <v>0.56137254901960787</v>
      </c>
    </row>
    <row r="1276" spans="1:18" x14ac:dyDescent="0.3">
      <c r="A1276" s="22" t="s">
        <v>3023</v>
      </c>
      <c r="B1276" s="23">
        <v>45377</v>
      </c>
      <c r="C1276" s="22" t="s">
        <v>514</v>
      </c>
      <c r="D1276" s="22" t="s">
        <v>330</v>
      </c>
      <c r="E1276" s="22" t="s">
        <v>3024</v>
      </c>
      <c r="F1276" s="24">
        <v>5</v>
      </c>
      <c r="G1276" s="24">
        <v>3020</v>
      </c>
      <c r="H1276" s="24">
        <v>23</v>
      </c>
      <c r="I1276" s="24">
        <v>11627</v>
      </c>
      <c r="J1276" s="22" t="s">
        <v>104</v>
      </c>
      <c r="K1276" s="22" t="s">
        <v>134</v>
      </c>
      <c r="L1276" t="str">
        <f>VLOOKUP(D1276,Products!A:F,3,FALSE())</f>
        <v>Beauty</v>
      </c>
      <c r="M1276" t="str">
        <f>VLOOKUP(C1276,Customers!A:F,5,FALSE())</f>
        <v>Retail</v>
      </c>
      <c r="O1276" t="str">
        <f>IFERROR(VLOOKUP(E1276,Sales_Reps!$A:$C,3,FALSE()),"")</f>
        <v/>
      </c>
      <c r="P1276">
        <f>IFERROR(VLOOKUP(C1276,Customers!$A:$C,3,FALSE()),"")</f>
        <v>59</v>
      </c>
      <c r="Q1276" t="str">
        <f t="shared" si="19"/>
        <v>Mar-24</v>
      </c>
      <c r="R1276">
        <f>IFERROR((VLOOKUP(D1276,Products!$A:$E,5,FALSE())-VLOOKUP(D1276,Products!$A:$E,4,FALSE()))/VLOOKUP(D1276,Products!$A:$E,5,FALSE()),"")</f>
        <v>0.46158940397350995</v>
      </c>
    </row>
    <row r="1277" spans="1:18" x14ac:dyDescent="0.3">
      <c r="A1277" s="22" t="s">
        <v>3025</v>
      </c>
      <c r="B1277" s="23">
        <v>45413</v>
      </c>
      <c r="C1277" s="22" t="s">
        <v>844</v>
      </c>
      <c r="D1277" s="22" t="s">
        <v>605</v>
      </c>
      <c r="E1277" s="22" t="s">
        <v>3026</v>
      </c>
      <c r="F1277" s="24">
        <v>8</v>
      </c>
      <c r="G1277" s="24">
        <v>3780</v>
      </c>
      <c r="H1277" s="24">
        <v>17.100000000000001</v>
      </c>
      <c r="I1277" s="24">
        <v>25068.959999999999</v>
      </c>
      <c r="J1277" s="22" t="s">
        <v>104</v>
      </c>
      <c r="K1277" s="22" t="s">
        <v>129</v>
      </c>
      <c r="L1277" t="str">
        <f>VLOOKUP(D1277,Products!A:F,3,FALSE())</f>
        <v>Sports</v>
      </c>
      <c r="M1277" t="str">
        <f>VLOOKUP(C1277,Customers!A:F,5,FALSE())</f>
        <v>Retail</v>
      </c>
      <c r="O1277" t="str">
        <f>IFERROR(VLOOKUP(E1277,Sales_Reps!$A:$C,3,FALSE()),"")</f>
        <v/>
      </c>
      <c r="P1277">
        <f>IFERROR(VLOOKUP(C1277,Customers!$A:$C,3,FALSE()),"")</f>
        <v>52</v>
      </c>
      <c r="Q1277" t="str">
        <f t="shared" si="19"/>
        <v>May-24</v>
      </c>
      <c r="R1277">
        <f>IFERROR((VLOOKUP(D1277,Products!$A:$E,5,FALSE())-VLOOKUP(D1277,Products!$A:$E,4,FALSE()))/VLOOKUP(D1277,Products!$A:$E,5,FALSE()),"")</f>
        <v>0.50793650793650791</v>
      </c>
    </row>
    <row r="1278" spans="1:18" x14ac:dyDescent="0.3">
      <c r="A1278" s="22" t="s">
        <v>3027</v>
      </c>
      <c r="B1278" s="23">
        <v>45437</v>
      </c>
      <c r="C1278" s="22" t="s">
        <v>227</v>
      </c>
      <c r="D1278" s="22" t="s">
        <v>419</v>
      </c>
      <c r="E1278" s="22" t="s">
        <v>3028</v>
      </c>
      <c r="F1278" s="24">
        <v>10</v>
      </c>
      <c r="G1278" s="24">
        <v>2210</v>
      </c>
      <c r="H1278" s="24">
        <v>8.5</v>
      </c>
      <c r="I1278" s="24">
        <v>20221.5</v>
      </c>
      <c r="J1278" s="22" t="s">
        <v>104</v>
      </c>
      <c r="K1278" s="22" t="s">
        <v>105</v>
      </c>
      <c r="L1278" t="str">
        <f>VLOOKUP(D1278,Products!A:F,3,FALSE())</f>
        <v>Grocery</v>
      </c>
      <c r="M1278" t="str">
        <f>VLOOKUP(C1278,Customers!A:F,5,FALSE())</f>
        <v>Corporate</v>
      </c>
      <c r="O1278" t="str">
        <f>IFERROR(VLOOKUP(E1278,Sales_Reps!$A:$C,3,FALSE()),"")</f>
        <v/>
      </c>
      <c r="P1278">
        <f>IFERROR(VLOOKUP(C1278,Customers!$A:$C,3,FALSE()),"")</f>
        <v>47</v>
      </c>
      <c r="Q1278" t="str">
        <f t="shared" si="19"/>
        <v>May-24</v>
      </c>
      <c r="R1278">
        <f>IFERROR((VLOOKUP(D1278,Products!$A:$E,5,FALSE())-VLOOKUP(D1278,Products!$A:$E,4,FALSE()))/VLOOKUP(D1278,Products!$A:$E,5,FALSE()),"")</f>
        <v>0.54298642533936647</v>
      </c>
    </row>
    <row r="1279" spans="1:18" x14ac:dyDescent="0.3">
      <c r="A1279" s="22" t="s">
        <v>3029</v>
      </c>
      <c r="B1279" s="23">
        <v>45604</v>
      </c>
      <c r="C1279" s="22" t="s">
        <v>1979</v>
      </c>
      <c r="D1279" s="22" t="s">
        <v>419</v>
      </c>
      <c r="E1279" s="22" t="s">
        <v>3030</v>
      </c>
      <c r="F1279" s="24">
        <v>4</v>
      </c>
      <c r="G1279" s="24">
        <v>2210</v>
      </c>
      <c r="H1279" s="24">
        <v>3.1</v>
      </c>
      <c r="I1279" s="24">
        <v>8565.9599999999991</v>
      </c>
      <c r="J1279" s="22" t="s">
        <v>104</v>
      </c>
      <c r="K1279" s="22" t="s">
        <v>105</v>
      </c>
      <c r="L1279" t="str">
        <f>VLOOKUP(D1279,Products!A:F,3,FALSE())</f>
        <v>Grocery</v>
      </c>
      <c r="M1279" t="str">
        <f>VLOOKUP(C1279,Customers!A:F,5,FALSE())</f>
        <v>Retail</v>
      </c>
      <c r="O1279" t="str">
        <f>IFERROR(VLOOKUP(E1279,Sales_Reps!$A:$C,3,FALSE()),"")</f>
        <v/>
      </c>
      <c r="P1279">
        <f>IFERROR(VLOOKUP(C1279,Customers!$A:$C,3,FALSE()),"")</f>
        <v>42</v>
      </c>
      <c r="Q1279" t="str">
        <f t="shared" si="19"/>
        <v>Nov-24</v>
      </c>
      <c r="R1279">
        <f>IFERROR((VLOOKUP(D1279,Products!$A:$E,5,FALSE())-VLOOKUP(D1279,Products!$A:$E,4,FALSE()))/VLOOKUP(D1279,Products!$A:$E,5,FALSE()),"")</f>
        <v>0.54298642533936647</v>
      </c>
    </row>
    <row r="1280" spans="1:18" x14ac:dyDescent="0.3">
      <c r="A1280" s="22" t="s">
        <v>3031</v>
      </c>
      <c r="B1280" s="23">
        <v>45540</v>
      </c>
      <c r="C1280" s="22" t="s">
        <v>604</v>
      </c>
      <c r="D1280" s="22" t="s">
        <v>201</v>
      </c>
      <c r="E1280" s="22" t="s">
        <v>3032</v>
      </c>
      <c r="F1280" s="24">
        <v>1</v>
      </c>
      <c r="G1280" s="24">
        <v>1650</v>
      </c>
      <c r="H1280" s="24">
        <v>10</v>
      </c>
      <c r="I1280" s="24">
        <v>1485</v>
      </c>
      <c r="J1280" s="22" t="s">
        <v>104</v>
      </c>
      <c r="K1280" s="22" t="s">
        <v>105</v>
      </c>
      <c r="L1280" t="str">
        <f>VLOOKUP(D1280,Products!A:F,3,FALSE())</f>
        <v>Beauty</v>
      </c>
      <c r="M1280" t="str">
        <f>VLOOKUP(C1280,Customers!A:F,5,FALSE())</f>
        <v>Corporate</v>
      </c>
      <c r="O1280" t="str">
        <f>IFERROR(VLOOKUP(E1280,Sales_Reps!$A:$C,3,FALSE()),"")</f>
        <v/>
      </c>
      <c r="P1280">
        <f>IFERROR(VLOOKUP(C1280,Customers!$A:$C,3,FALSE()),"")</f>
        <v>37</v>
      </c>
      <c r="Q1280" t="str">
        <f t="shared" si="19"/>
        <v>Sep-24</v>
      </c>
      <c r="R1280">
        <f>IFERROR((VLOOKUP(D1280,Products!$A:$E,5,FALSE())-VLOOKUP(D1280,Products!$A:$E,4,FALSE()))/VLOOKUP(D1280,Products!$A:$E,5,FALSE()),"")</f>
        <v>0.2593939393939394</v>
      </c>
    </row>
    <row r="1281" spans="1:18" x14ac:dyDescent="0.3">
      <c r="A1281" s="22" t="s">
        <v>3033</v>
      </c>
      <c r="B1281" s="23">
        <v>45597</v>
      </c>
      <c r="C1281" s="22" t="s">
        <v>526</v>
      </c>
      <c r="D1281" s="22" t="s">
        <v>167</v>
      </c>
      <c r="E1281" s="22" t="s">
        <v>3034</v>
      </c>
      <c r="F1281" s="24">
        <v>6</v>
      </c>
      <c r="G1281" s="24">
        <v>190</v>
      </c>
      <c r="H1281" s="24">
        <v>3.5</v>
      </c>
      <c r="I1281" s="24">
        <v>1100.0999999999999</v>
      </c>
      <c r="J1281" s="22" t="s">
        <v>159</v>
      </c>
      <c r="K1281" s="22" t="s">
        <v>129</v>
      </c>
      <c r="L1281" t="str">
        <f>VLOOKUP(D1281,Products!A:F,3,FALSE())</f>
        <v>Sports</v>
      </c>
      <c r="M1281" t="str">
        <f>VLOOKUP(C1281,Customers!A:F,5,FALSE())</f>
        <v>Retail</v>
      </c>
      <c r="O1281" t="str">
        <f>IFERROR(VLOOKUP(E1281,Sales_Reps!$A:$C,3,FALSE()),"")</f>
        <v/>
      </c>
      <c r="P1281">
        <f>IFERROR(VLOOKUP(C1281,Customers!$A:$C,3,FALSE()),"")</f>
        <v>61</v>
      </c>
      <c r="Q1281" t="str">
        <f t="shared" si="19"/>
        <v>Nov-24</v>
      </c>
      <c r="R1281">
        <f>IFERROR((VLOOKUP(D1281,Products!$A:$E,5,FALSE())-VLOOKUP(D1281,Products!$A:$E,4,FALSE()))/VLOOKUP(D1281,Products!$A:$E,5,FALSE()),"")</f>
        <v>0.22631578947368422</v>
      </c>
    </row>
    <row r="1282" spans="1:18" x14ac:dyDescent="0.3">
      <c r="A1282" s="22" t="s">
        <v>3035</v>
      </c>
      <c r="B1282" s="23">
        <v>45589</v>
      </c>
      <c r="C1282" s="22" t="s">
        <v>500</v>
      </c>
      <c r="D1282" s="22" t="s">
        <v>224</v>
      </c>
      <c r="E1282" s="22" t="s">
        <v>3036</v>
      </c>
      <c r="F1282" s="24">
        <v>8</v>
      </c>
      <c r="G1282" s="24">
        <v>2860</v>
      </c>
      <c r="H1282" s="24">
        <v>14.7</v>
      </c>
      <c r="I1282" s="24">
        <v>19516.64</v>
      </c>
      <c r="J1282" s="22" t="s">
        <v>104</v>
      </c>
      <c r="K1282" s="22" t="s">
        <v>134</v>
      </c>
      <c r="L1282" t="str">
        <f>VLOOKUP(D1282,Products!A:F,3,FALSE())</f>
        <v>Sports</v>
      </c>
      <c r="M1282" t="str">
        <f>VLOOKUP(C1282,Customers!A:F,5,FALSE())</f>
        <v>SMB</v>
      </c>
      <c r="O1282" t="str">
        <f>IFERROR(VLOOKUP(E1282,Sales_Reps!$A:$C,3,FALSE()),"")</f>
        <v/>
      </c>
      <c r="P1282">
        <f>IFERROR(VLOOKUP(C1282,Customers!$A:$C,3,FALSE()),"")</f>
        <v>28</v>
      </c>
      <c r="Q1282" t="str">
        <f t="shared" ref="Q1282:Q1345" si="20">TEXT(B1282,"mmm-yy")</f>
        <v>Oct-24</v>
      </c>
      <c r="R1282">
        <f>IFERROR((VLOOKUP(D1282,Products!$A:$E,5,FALSE())-VLOOKUP(D1282,Products!$A:$E,4,FALSE()))/VLOOKUP(D1282,Products!$A:$E,5,FALSE()),"")</f>
        <v>0.29090909090909089</v>
      </c>
    </row>
    <row r="1283" spans="1:18" x14ac:dyDescent="0.3">
      <c r="A1283" s="22" t="s">
        <v>3037</v>
      </c>
      <c r="B1283" s="23">
        <v>45448</v>
      </c>
      <c r="C1283" s="22" t="s">
        <v>255</v>
      </c>
      <c r="D1283" s="22" t="s">
        <v>338</v>
      </c>
      <c r="E1283" s="22" t="s">
        <v>3038</v>
      </c>
      <c r="F1283" s="24">
        <v>9</v>
      </c>
      <c r="G1283" s="24">
        <v>300</v>
      </c>
      <c r="H1283" s="24">
        <v>19.5</v>
      </c>
      <c r="I1283" s="24">
        <v>2173.5</v>
      </c>
      <c r="J1283" s="22" t="s">
        <v>104</v>
      </c>
      <c r="K1283" s="22" t="s">
        <v>116</v>
      </c>
      <c r="L1283" t="str">
        <f>VLOOKUP(D1283,Products!A:F,3,FALSE())</f>
        <v>Electronics</v>
      </c>
      <c r="M1283" t="str">
        <f>VLOOKUP(C1283,Customers!A:F,5,FALSE())</f>
        <v>SMB</v>
      </c>
      <c r="O1283" t="str">
        <f>IFERROR(VLOOKUP(E1283,Sales_Reps!$A:$C,3,FALSE()),"")</f>
        <v/>
      </c>
      <c r="P1283">
        <f>IFERROR(VLOOKUP(C1283,Customers!$A:$C,3,FALSE()),"")</f>
        <v>50</v>
      </c>
      <c r="Q1283" t="str">
        <f t="shared" si="20"/>
        <v>Jun-24</v>
      </c>
      <c r="R1283">
        <f>IFERROR((VLOOKUP(D1283,Products!$A:$E,5,FALSE())-VLOOKUP(D1283,Products!$A:$E,4,FALSE()))/VLOOKUP(D1283,Products!$A:$E,5,FALSE()),"")</f>
        <v>0.57333333333333336</v>
      </c>
    </row>
    <row r="1284" spans="1:18" x14ac:dyDescent="0.3">
      <c r="A1284" s="22" t="s">
        <v>3039</v>
      </c>
      <c r="B1284" s="23">
        <v>45608</v>
      </c>
      <c r="C1284" s="22" t="s">
        <v>1484</v>
      </c>
      <c r="D1284" s="22" t="s">
        <v>479</v>
      </c>
      <c r="E1284" s="22" t="s">
        <v>3040</v>
      </c>
      <c r="F1284" s="24">
        <v>10</v>
      </c>
      <c r="G1284" s="24">
        <v>960</v>
      </c>
      <c r="H1284" s="24">
        <v>9.6999999999999993</v>
      </c>
      <c r="I1284" s="24">
        <v>8668.7999999999993</v>
      </c>
      <c r="J1284" s="22" t="s">
        <v>104</v>
      </c>
      <c r="K1284" s="22" t="s">
        <v>129</v>
      </c>
      <c r="L1284" t="str">
        <f>VLOOKUP(D1284,Products!A:F,3,FALSE())</f>
        <v>Beauty</v>
      </c>
      <c r="M1284" t="str">
        <f>VLOOKUP(C1284,Customers!A:F,5,FALSE())</f>
        <v>Retail</v>
      </c>
      <c r="O1284" t="str">
        <f>IFERROR(VLOOKUP(E1284,Sales_Reps!$A:$C,3,FALSE()),"")</f>
        <v/>
      </c>
      <c r="P1284">
        <f>IFERROR(VLOOKUP(C1284,Customers!$A:$C,3,FALSE()),"")</f>
        <v>40</v>
      </c>
      <c r="Q1284" t="str">
        <f t="shared" si="20"/>
        <v>Nov-24</v>
      </c>
      <c r="R1284">
        <f>IFERROR((VLOOKUP(D1284,Products!$A:$E,5,FALSE())-VLOOKUP(D1284,Products!$A:$E,4,FALSE()))/VLOOKUP(D1284,Products!$A:$E,5,FALSE()),"")</f>
        <v>0.296875</v>
      </c>
    </row>
    <row r="1285" spans="1:18" x14ac:dyDescent="0.3">
      <c r="A1285" s="22" t="s">
        <v>3041</v>
      </c>
      <c r="B1285" s="23">
        <v>45421</v>
      </c>
      <c r="C1285" s="22" t="s">
        <v>1442</v>
      </c>
      <c r="D1285" s="22" t="s">
        <v>108</v>
      </c>
      <c r="E1285" s="22" t="s">
        <v>3042</v>
      </c>
      <c r="F1285" s="24">
        <v>5</v>
      </c>
      <c r="G1285" s="24">
        <v>820</v>
      </c>
      <c r="H1285" s="24">
        <v>0.5</v>
      </c>
      <c r="I1285" s="24">
        <v>4079.5</v>
      </c>
      <c r="J1285" s="22" t="s">
        <v>104</v>
      </c>
      <c r="K1285" s="22" t="s">
        <v>105</v>
      </c>
      <c r="L1285" t="str">
        <f>VLOOKUP(D1285,Products!A:F,3,FALSE())</f>
        <v>Apparel</v>
      </c>
      <c r="M1285" t="str">
        <f>VLOOKUP(C1285,Customers!A:F,5,FALSE())</f>
        <v>Retail</v>
      </c>
      <c r="O1285" t="str">
        <f>IFERROR(VLOOKUP(E1285,Sales_Reps!$A:$C,3,FALSE()),"")</f>
        <v/>
      </c>
      <c r="P1285">
        <f>IFERROR(VLOOKUP(C1285,Customers!$A:$C,3,FALSE()),"")</f>
        <v>54</v>
      </c>
      <c r="Q1285" t="str">
        <f t="shared" si="20"/>
        <v>May-24</v>
      </c>
      <c r="R1285">
        <f>IFERROR((VLOOKUP(D1285,Products!$A:$E,5,FALSE())-VLOOKUP(D1285,Products!$A:$E,4,FALSE()))/VLOOKUP(D1285,Products!$A:$E,5,FALSE()),"")</f>
        <v>0.52317073170731709</v>
      </c>
    </row>
    <row r="1286" spans="1:18" x14ac:dyDescent="0.3">
      <c r="A1286" s="22" t="s">
        <v>3043</v>
      </c>
      <c r="B1286" s="23">
        <v>45383</v>
      </c>
      <c r="C1286" s="22" t="s">
        <v>341</v>
      </c>
      <c r="D1286" s="22" t="s">
        <v>127</v>
      </c>
      <c r="E1286" s="22" t="s">
        <v>3044</v>
      </c>
      <c r="F1286" s="24">
        <v>2</v>
      </c>
      <c r="G1286" s="24">
        <v>370</v>
      </c>
      <c r="H1286" s="24">
        <v>10.5</v>
      </c>
      <c r="I1286" s="24">
        <v>662.3</v>
      </c>
      <c r="J1286" s="22" t="s">
        <v>110</v>
      </c>
      <c r="K1286" s="22" t="s">
        <v>111</v>
      </c>
      <c r="L1286" t="str">
        <f>VLOOKUP(D1286,Products!A:F,3,FALSE())</f>
        <v>Home</v>
      </c>
      <c r="M1286" t="str">
        <f>VLOOKUP(C1286,Customers!A:F,5,FALSE())</f>
        <v>Retail</v>
      </c>
      <c r="O1286" t="str">
        <f>IFERROR(VLOOKUP(E1286,Sales_Reps!$A:$C,3,FALSE()),"")</f>
        <v/>
      </c>
      <c r="P1286">
        <f>IFERROR(VLOOKUP(C1286,Customers!$A:$C,3,FALSE()),"")</f>
        <v>28</v>
      </c>
      <c r="Q1286" t="str">
        <f t="shared" si="20"/>
        <v>Apr-24</v>
      </c>
      <c r="R1286">
        <f>IFERROR((VLOOKUP(D1286,Products!$A:$E,5,FALSE())-VLOOKUP(D1286,Products!$A:$E,4,FALSE()))/VLOOKUP(D1286,Products!$A:$E,5,FALSE()),"")</f>
        <v>0.22162162162162163</v>
      </c>
    </row>
    <row r="1287" spans="1:18" x14ac:dyDescent="0.3">
      <c r="A1287" s="22" t="s">
        <v>3045</v>
      </c>
      <c r="B1287" s="23">
        <v>45453</v>
      </c>
      <c r="C1287" s="22" t="s">
        <v>982</v>
      </c>
      <c r="D1287" s="22" t="s">
        <v>141</v>
      </c>
      <c r="E1287" s="22" t="s">
        <v>3046</v>
      </c>
      <c r="F1287" s="24">
        <v>9</v>
      </c>
      <c r="G1287" s="24">
        <v>5490</v>
      </c>
      <c r="H1287" s="24">
        <v>14.2</v>
      </c>
      <c r="I1287" s="24">
        <v>42393.78</v>
      </c>
      <c r="J1287" s="22" t="s">
        <v>159</v>
      </c>
      <c r="K1287" s="22" t="s">
        <v>129</v>
      </c>
      <c r="L1287" t="str">
        <f>VLOOKUP(D1287,Products!A:F,3,FALSE())</f>
        <v>Home</v>
      </c>
      <c r="M1287" t="str">
        <f>VLOOKUP(C1287,Customers!A:F,5,FALSE())</f>
        <v>Retail</v>
      </c>
      <c r="O1287" t="str">
        <f>IFERROR(VLOOKUP(E1287,Sales_Reps!$A:$C,3,FALSE()),"")</f>
        <v/>
      </c>
      <c r="P1287">
        <f>IFERROR(VLOOKUP(C1287,Customers!$A:$C,3,FALSE()),"")</f>
        <v>35</v>
      </c>
      <c r="Q1287" t="str">
        <f t="shared" si="20"/>
        <v>Jun-24</v>
      </c>
      <c r="R1287">
        <f>IFERROR((VLOOKUP(D1287,Products!$A:$E,5,FALSE())-VLOOKUP(D1287,Products!$A:$E,4,FALSE()))/VLOOKUP(D1287,Products!$A:$E,5,FALSE()),"")</f>
        <v>0.53570127504553733</v>
      </c>
    </row>
    <row r="1288" spans="1:18" x14ac:dyDescent="0.3">
      <c r="A1288" s="22" t="s">
        <v>3047</v>
      </c>
      <c r="B1288" s="23">
        <v>45398</v>
      </c>
      <c r="C1288" s="22" t="s">
        <v>1328</v>
      </c>
      <c r="D1288" s="22" t="s">
        <v>127</v>
      </c>
      <c r="E1288" s="22" t="s">
        <v>3048</v>
      </c>
      <c r="F1288" s="24">
        <v>3</v>
      </c>
      <c r="G1288" s="24">
        <v>370</v>
      </c>
      <c r="H1288" s="24">
        <v>18.399999999999999</v>
      </c>
      <c r="I1288" s="24">
        <v>905.76</v>
      </c>
      <c r="J1288" s="22" t="s">
        <v>104</v>
      </c>
      <c r="K1288" s="22" t="s">
        <v>151</v>
      </c>
      <c r="L1288" t="str">
        <f>VLOOKUP(D1288,Products!A:F,3,FALSE())</f>
        <v>Home</v>
      </c>
      <c r="M1288" t="str">
        <f>VLOOKUP(C1288,Customers!A:F,5,FALSE())</f>
        <v>SMB</v>
      </c>
      <c r="O1288" t="str">
        <f>IFERROR(VLOOKUP(E1288,Sales_Reps!$A:$C,3,FALSE()),"")</f>
        <v/>
      </c>
      <c r="P1288">
        <f>IFERROR(VLOOKUP(C1288,Customers!$A:$C,3,FALSE()),"")</f>
        <v>28</v>
      </c>
      <c r="Q1288" t="str">
        <f t="shared" si="20"/>
        <v>Apr-24</v>
      </c>
      <c r="R1288">
        <f>IFERROR((VLOOKUP(D1288,Products!$A:$E,5,FALSE())-VLOOKUP(D1288,Products!$A:$E,4,FALSE()))/VLOOKUP(D1288,Products!$A:$E,5,FALSE()),"")</f>
        <v>0.22162162162162163</v>
      </c>
    </row>
    <row r="1289" spans="1:18" x14ac:dyDescent="0.3">
      <c r="A1289" s="22" t="s">
        <v>3049</v>
      </c>
      <c r="B1289" s="23">
        <v>45584</v>
      </c>
      <c r="C1289" s="22" t="s">
        <v>827</v>
      </c>
      <c r="D1289" s="22" t="s">
        <v>167</v>
      </c>
      <c r="E1289" s="22" t="s">
        <v>3050</v>
      </c>
      <c r="F1289" s="24">
        <v>6</v>
      </c>
      <c r="G1289" s="24">
        <v>190</v>
      </c>
      <c r="H1289" s="24">
        <v>12.9</v>
      </c>
      <c r="I1289" s="24">
        <v>992.94</v>
      </c>
      <c r="J1289" s="22" t="s">
        <v>104</v>
      </c>
      <c r="K1289" s="22" t="s">
        <v>116</v>
      </c>
      <c r="L1289" t="str">
        <f>VLOOKUP(D1289,Products!A:F,3,FALSE())</f>
        <v>Sports</v>
      </c>
      <c r="M1289" t="str">
        <f>VLOOKUP(C1289,Customers!A:F,5,FALSE())</f>
        <v>SMB</v>
      </c>
      <c r="O1289" t="str">
        <f>IFERROR(VLOOKUP(E1289,Sales_Reps!$A:$C,3,FALSE()),"")</f>
        <v/>
      </c>
      <c r="P1289">
        <f>IFERROR(VLOOKUP(C1289,Customers!$A:$C,3,FALSE()),"")</f>
        <v>48</v>
      </c>
      <c r="Q1289" t="str">
        <f t="shared" si="20"/>
        <v>Oct-24</v>
      </c>
      <c r="R1289">
        <f>IFERROR((VLOOKUP(D1289,Products!$A:$E,5,FALSE())-VLOOKUP(D1289,Products!$A:$E,4,FALSE()))/VLOOKUP(D1289,Products!$A:$E,5,FALSE()),"")</f>
        <v>0.22631578947368422</v>
      </c>
    </row>
    <row r="1290" spans="1:18" x14ac:dyDescent="0.3">
      <c r="A1290" s="22" t="s">
        <v>3051</v>
      </c>
      <c r="B1290" s="23">
        <v>45397</v>
      </c>
      <c r="C1290" s="22" t="s">
        <v>473</v>
      </c>
      <c r="D1290" s="22" t="s">
        <v>419</v>
      </c>
      <c r="E1290" s="22" t="s">
        <v>3052</v>
      </c>
      <c r="F1290" s="24">
        <v>8</v>
      </c>
      <c r="G1290" s="24">
        <v>2210</v>
      </c>
      <c r="H1290" s="24">
        <v>9.8000000000000007</v>
      </c>
      <c r="I1290" s="24">
        <v>15947.36</v>
      </c>
      <c r="J1290" s="22" t="s">
        <v>104</v>
      </c>
      <c r="K1290" s="22" t="s">
        <v>134</v>
      </c>
      <c r="L1290" t="str">
        <f>VLOOKUP(D1290,Products!A:F,3,FALSE())</f>
        <v>Grocery</v>
      </c>
      <c r="M1290" t="str">
        <f>VLOOKUP(C1290,Customers!A:F,5,FALSE())</f>
        <v>SMB</v>
      </c>
      <c r="O1290" t="str">
        <f>IFERROR(VLOOKUP(E1290,Sales_Reps!$A:$C,3,FALSE()),"")</f>
        <v/>
      </c>
      <c r="P1290">
        <f>IFERROR(VLOOKUP(C1290,Customers!$A:$C,3,FALSE()),"")</f>
        <v>44</v>
      </c>
      <c r="Q1290" t="str">
        <f t="shared" si="20"/>
        <v>Apr-24</v>
      </c>
      <c r="R1290">
        <f>IFERROR((VLOOKUP(D1290,Products!$A:$E,5,FALSE())-VLOOKUP(D1290,Products!$A:$E,4,FALSE()))/VLOOKUP(D1290,Products!$A:$E,5,FALSE()),"")</f>
        <v>0.54298642533936647</v>
      </c>
    </row>
    <row r="1291" spans="1:18" x14ac:dyDescent="0.3">
      <c r="A1291" s="22" t="s">
        <v>3053</v>
      </c>
      <c r="B1291" s="23">
        <v>45453</v>
      </c>
      <c r="C1291" s="22" t="s">
        <v>554</v>
      </c>
      <c r="D1291" s="22" t="s">
        <v>201</v>
      </c>
      <c r="E1291" s="22" t="s">
        <v>3054</v>
      </c>
      <c r="F1291" s="24">
        <v>7</v>
      </c>
      <c r="G1291" s="24">
        <v>1650</v>
      </c>
      <c r="H1291" s="24">
        <v>8.4</v>
      </c>
      <c r="I1291" s="24">
        <v>10579.8</v>
      </c>
      <c r="J1291" s="22" t="s">
        <v>104</v>
      </c>
      <c r="K1291" s="22" t="s">
        <v>134</v>
      </c>
      <c r="L1291" t="str">
        <f>VLOOKUP(D1291,Products!A:F,3,FALSE())</f>
        <v>Beauty</v>
      </c>
      <c r="M1291" t="str">
        <f>VLOOKUP(C1291,Customers!A:F,5,FALSE())</f>
        <v>Retail</v>
      </c>
      <c r="O1291" t="str">
        <f>IFERROR(VLOOKUP(E1291,Sales_Reps!$A:$C,3,FALSE()),"")</f>
        <v/>
      </c>
      <c r="P1291">
        <f>IFERROR(VLOOKUP(C1291,Customers!$A:$C,3,FALSE()),"")</f>
        <v>55</v>
      </c>
      <c r="Q1291" t="str">
        <f t="shared" si="20"/>
        <v>Jun-24</v>
      </c>
      <c r="R1291">
        <f>IFERROR((VLOOKUP(D1291,Products!$A:$E,5,FALSE())-VLOOKUP(D1291,Products!$A:$E,4,FALSE()))/VLOOKUP(D1291,Products!$A:$E,5,FALSE()),"")</f>
        <v>0.2593939393939394</v>
      </c>
    </row>
    <row r="1292" spans="1:18" x14ac:dyDescent="0.3">
      <c r="A1292" s="22" t="s">
        <v>3055</v>
      </c>
      <c r="B1292" s="23">
        <v>45359</v>
      </c>
      <c r="C1292" s="22" t="s">
        <v>1221</v>
      </c>
      <c r="D1292" s="22" t="s">
        <v>234</v>
      </c>
      <c r="E1292" s="22" t="s">
        <v>3056</v>
      </c>
      <c r="F1292" s="24">
        <v>8</v>
      </c>
      <c r="G1292" s="24">
        <v>660</v>
      </c>
      <c r="H1292" s="24">
        <v>7.5</v>
      </c>
      <c r="I1292" s="24">
        <v>4884</v>
      </c>
      <c r="J1292" s="22" t="s">
        <v>104</v>
      </c>
      <c r="K1292" s="22" t="s">
        <v>111</v>
      </c>
      <c r="L1292" t="str">
        <f>VLOOKUP(D1292,Products!A:F,3,FALSE())</f>
        <v>Home</v>
      </c>
      <c r="M1292" t="str">
        <f>VLOOKUP(C1292,Customers!A:F,5,FALSE())</f>
        <v>Retail</v>
      </c>
      <c r="O1292" t="str">
        <f>IFERROR(VLOOKUP(E1292,Sales_Reps!$A:$C,3,FALSE()),"")</f>
        <v/>
      </c>
      <c r="P1292">
        <f>IFERROR(VLOOKUP(C1292,Customers!$A:$C,3,FALSE()),"")</f>
        <v>32</v>
      </c>
      <c r="Q1292" t="str">
        <f t="shared" si="20"/>
        <v>Mar-24</v>
      </c>
      <c r="R1292">
        <f>IFERROR((VLOOKUP(D1292,Products!$A:$E,5,FALSE())-VLOOKUP(D1292,Products!$A:$E,4,FALSE()))/VLOOKUP(D1292,Products!$A:$E,5,FALSE()),"")</f>
        <v>0.50151515151515147</v>
      </c>
    </row>
    <row r="1293" spans="1:18" x14ac:dyDescent="0.3">
      <c r="A1293" s="22" t="s">
        <v>3057</v>
      </c>
      <c r="B1293" s="23">
        <v>45644</v>
      </c>
      <c r="C1293" s="22" t="s">
        <v>1549</v>
      </c>
      <c r="D1293" s="22" t="s">
        <v>323</v>
      </c>
      <c r="E1293" s="22" t="s">
        <v>3058</v>
      </c>
      <c r="F1293" s="24">
        <v>3</v>
      </c>
      <c r="G1293" s="24">
        <v>4610</v>
      </c>
      <c r="H1293" s="24">
        <v>29.6</v>
      </c>
      <c r="I1293" s="24">
        <v>9736.32</v>
      </c>
      <c r="J1293" s="22" t="s">
        <v>104</v>
      </c>
      <c r="K1293" s="22" t="s">
        <v>134</v>
      </c>
      <c r="L1293" t="str">
        <f>VLOOKUP(D1293,Products!A:F,3,FALSE())</f>
        <v>Home</v>
      </c>
      <c r="M1293" t="str">
        <f>VLOOKUP(C1293,Customers!A:F,5,FALSE())</f>
        <v>SMB</v>
      </c>
      <c r="O1293" t="str">
        <f>IFERROR(VLOOKUP(E1293,Sales_Reps!$A:$C,3,FALSE()),"")</f>
        <v/>
      </c>
      <c r="P1293">
        <f>IFERROR(VLOOKUP(C1293,Customers!$A:$C,3,FALSE()),"")</f>
        <v>44</v>
      </c>
      <c r="Q1293" t="str">
        <f t="shared" si="20"/>
        <v>Dec-24</v>
      </c>
      <c r="R1293">
        <f>IFERROR((VLOOKUP(D1293,Products!$A:$E,5,FALSE())-VLOOKUP(D1293,Products!$A:$E,4,FALSE()))/VLOOKUP(D1293,Products!$A:$E,5,FALSE()),"")</f>
        <v>0.59869848156182215</v>
      </c>
    </row>
    <row r="1294" spans="1:18" x14ac:dyDescent="0.3">
      <c r="A1294" s="22" t="s">
        <v>3059</v>
      </c>
      <c r="B1294" s="23">
        <v>45325</v>
      </c>
      <c r="C1294" s="22" t="s">
        <v>435</v>
      </c>
      <c r="D1294" s="22" t="s">
        <v>419</v>
      </c>
      <c r="E1294" s="22" t="s">
        <v>3060</v>
      </c>
      <c r="F1294" s="24">
        <v>6</v>
      </c>
      <c r="G1294" s="24">
        <v>2210</v>
      </c>
      <c r="H1294" s="24">
        <v>9.5</v>
      </c>
      <c r="I1294" s="24">
        <v>12000.3</v>
      </c>
      <c r="J1294" s="22" t="s">
        <v>104</v>
      </c>
      <c r="K1294" s="22" t="s">
        <v>129</v>
      </c>
      <c r="L1294" t="str">
        <f>VLOOKUP(D1294,Products!A:F,3,FALSE())</f>
        <v>Grocery</v>
      </c>
      <c r="M1294" t="str">
        <f>VLOOKUP(C1294,Customers!A:F,5,FALSE())</f>
        <v>SMB</v>
      </c>
      <c r="O1294" t="str">
        <f>IFERROR(VLOOKUP(E1294,Sales_Reps!$A:$C,3,FALSE()),"")</f>
        <v/>
      </c>
      <c r="P1294">
        <f>IFERROR(VLOOKUP(C1294,Customers!$A:$C,3,FALSE()),"")</f>
        <v>22</v>
      </c>
      <c r="Q1294" t="str">
        <f t="shared" si="20"/>
        <v>Feb-24</v>
      </c>
      <c r="R1294">
        <f>IFERROR((VLOOKUP(D1294,Products!$A:$E,5,FALSE())-VLOOKUP(D1294,Products!$A:$E,4,FALSE()))/VLOOKUP(D1294,Products!$A:$E,5,FALSE()),"")</f>
        <v>0.54298642533936647</v>
      </c>
    </row>
    <row r="1295" spans="1:18" x14ac:dyDescent="0.3">
      <c r="A1295" s="22" t="s">
        <v>3061</v>
      </c>
      <c r="B1295" s="23">
        <v>45533</v>
      </c>
      <c r="C1295" s="22" t="s">
        <v>462</v>
      </c>
      <c r="D1295" s="22" t="s">
        <v>488</v>
      </c>
      <c r="E1295" s="22" t="s">
        <v>3062</v>
      </c>
      <c r="F1295" s="24">
        <v>4</v>
      </c>
      <c r="G1295" s="24">
        <v>2290</v>
      </c>
      <c r="H1295" s="24">
        <v>3.3</v>
      </c>
      <c r="I1295" s="24">
        <v>8857.7199999999993</v>
      </c>
      <c r="J1295" s="22" t="s">
        <v>104</v>
      </c>
      <c r="K1295" s="22" t="s">
        <v>111</v>
      </c>
      <c r="L1295" t="str">
        <f>VLOOKUP(D1295,Products!A:F,3,FALSE())</f>
        <v>Beauty</v>
      </c>
      <c r="M1295" t="str">
        <f>VLOOKUP(C1295,Customers!A:F,5,FALSE())</f>
        <v>SMB</v>
      </c>
      <c r="O1295" t="str">
        <f>IFERROR(VLOOKUP(E1295,Sales_Reps!$A:$C,3,FALSE()),"")</f>
        <v/>
      </c>
      <c r="P1295">
        <f>IFERROR(VLOOKUP(C1295,Customers!$A:$C,3,FALSE()),"")</f>
        <v>62</v>
      </c>
      <c r="Q1295" t="str">
        <f t="shared" si="20"/>
        <v>Aug-24</v>
      </c>
      <c r="R1295">
        <f>IFERROR((VLOOKUP(D1295,Products!$A:$E,5,FALSE())-VLOOKUP(D1295,Products!$A:$E,4,FALSE()))/VLOOKUP(D1295,Products!$A:$E,5,FALSE()),"")</f>
        <v>0.46768558951965067</v>
      </c>
    </row>
    <row r="1296" spans="1:18" x14ac:dyDescent="0.3">
      <c r="A1296" s="22" t="s">
        <v>3063</v>
      </c>
      <c r="B1296" s="23">
        <v>45369</v>
      </c>
      <c r="C1296" s="22" t="s">
        <v>118</v>
      </c>
      <c r="D1296" s="22" t="s">
        <v>186</v>
      </c>
      <c r="E1296" s="22" t="s">
        <v>3064</v>
      </c>
      <c r="F1296" s="24">
        <v>5</v>
      </c>
      <c r="G1296" s="24">
        <v>1080</v>
      </c>
      <c r="H1296" s="24">
        <v>26.1</v>
      </c>
      <c r="I1296" s="24">
        <v>3990.6</v>
      </c>
      <c r="J1296" s="22" t="s">
        <v>104</v>
      </c>
      <c r="K1296" s="22" t="s">
        <v>116</v>
      </c>
      <c r="L1296" t="str">
        <f>VLOOKUP(D1296,Products!A:F,3,FALSE())</f>
        <v>Home</v>
      </c>
      <c r="M1296" t="str">
        <f>VLOOKUP(C1296,Customers!A:F,5,FALSE())</f>
        <v>Corporate</v>
      </c>
      <c r="O1296" t="str">
        <f>IFERROR(VLOOKUP(E1296,Sales_Reps!$A:$C,3,FALSE()),"")</f>
        <v/>
      </c>
      <c r="P1296">
        <f>IFERROR(VLOOKUP(C1296,Customers!$A:$C,3,FALSE()),"")</f>
        <v>46</v>
      </c>
      <c r="Q1296" t="str">
        <f t="shared" si="20"/>
        <v>Mar-24</v>
      </c>
      <c r="R1296">
        <f>IFERROR((VLOOKUP(D1296,Products!$A:$E,5,FALSE())-VLOOKUP(D1296,Products!$A:$E,4,FALSE()))/VLOOKUP(D1296,Products!$A:$E,5,FALSE()),"")</f>
        <v>0.51944444444444449</v>
      </c>
    </row>
    <row r="1297" spans="1:18" x14ac:dyDescent="0.3">
      <c r="A1297" s="22" t="s">
        <v>3065</v>
      </c>
      <c r="B1297" s="23">
        <v>45312</v>
      </c>
      <c r="C1297" s="22" t="s">
        <v>573</v>
      </c>
      <c r="D1297" s="22" t="s">
        <v>132</v>
      </c>
      <c r="E1297" s="22" t="s">
        <v>3066</v>
      </c>
      <c r="F1297" s="24">
        <v>7</v>
      </c>
      <c r="G1297" s="24">
        <v>960</v>
      </c>
      <c r="H1297" s="24">
        <v>17.7</v>
      </c>
      <c r="I1297" s="24">
        <v>5530.56</v>
      </c>
      <c r="J1297" s="22" t="s">
        <v>104</v>
      </c>
      <c r="K1297" s="22" t="s">
        <v>105</v>
      </c>
      <c r="L1297" t="str">
        <f>VLOOKUP(D1297,Products!A:F,3,FALSE())</f>
        <v>Sports</v>
      </c>
      <c r="M1297" t="str">
        <f>VLOOKUP(C1297,Customers!A:F,5,FALSE())</f>
        <v>SMB</v>
      </c>
      <c r="O1297" t="str">
        <f>IFERROR(VLOOKUP(E1297,Sales_Reps!$A:$C,3,FALSE()),"")</f>
        <v/>
      </c>
      <c r="P1297">
        <f>IFERROR(VLOOKUP(C1297,Customers!$A:$C,3,FALSE()),"")</f>
        <v>30</v>
      </c>
      <c r="Q1297" t="str">
        <f t="shared" si="20"/>
        <v>Jan-24</v>
      </c>
      <c r="R1297">
        <f>IFERROR((VLOOKUP(D1297,Products!$A:$E,5,FALSE())-VLOOKUP(D1297,Products!$A:$E,4,FALSE()))/VLOOKUP(D1297,Products!$A:$E,5,FALSE()),"")</f>
        <v>0.265625</v>
      </c>
    </row>
    <row r="1298" spans="1:18" x14ac:dyDescent="0.3">
      <c r="A1298" s="22" t="s">
        <v>3067</v>
      </c>
      <c r="B1298" s="23">
        <v>45445</v>
      </c>
      <c r="C1298" s="22" t="s">
        <v>1589</v>
      </c>
      <c r="D1298" s="22" t="s">
        <v>171</v>
      </c>
      <c r="E1298" s="22" t="s">
        <v>3068</v>
      </c>
      <c r="F1298" s="24">
        <v>1</v>
      </c>
      <c r="G1298" s="24">
        <v>2400</v>
      </c>
      <c r="H1298" s="24">
        <v>29.9</v>
      </c>
      <c r="I1298" s="24">
        <v>1682.4</v>
      </c>
      <c r="J1298" s="22" t="s">
        <v>104</v>
      </c>
      <c r="K1298" s="22" t="s">
        <v>129</v>
      </c>
      <c r="L1298" t="str">
        <f>VLOOKUP(D1298,Products!A:F,3,FALSE())</f>
        <v>Sports</v>
      </c>
      <c r="M1298" t="str">
        <f>VLOOKUP(C1298,Customers!A:F,5,FALSE())</f>
        <v>SMB</v>
      </c>
      <c r="O1298" t="str">
        <f>IFERROR(VLOOKUP(E1298,Sales_Reps!$A:$C,3,FALSE()),"")</f>
        <v/>
      </c>
      <c r="P1298">
        <f>IFERROR(VLOOKUP(C1298,Customers!$A:$C,3,FALSE()),"")</f>
        <v>47</v>
      </c>
      <c r="Q1298" t="str">
        <f t="shared" si="20"/>
        <v>Jun-24</v>
      </c>
      <c r="R1298">
        <f>IFERROR((VLOOKUP(D1298,Products!$A:$E,5,FALSE())-VLOOKUP(D1298,Products!$A:$E,4,FALSE()))/VLOOKUP(D1298,Products!$A:$E,5,FALSE()),"")</f>
        <v>0.59416666666666662</v>
      </c>
    </row>
    <row r="1299" spans="1:18" x14ac:dyDescent="0.3">
      <c r="A1299" s="22" t="s">
        <v>3069</v>
      </c>
      <c r="B1299" s="23">
        <v>45636</v>
      </c>
      <c r="C1299" s="22" t="s">
        <v>2207</v>
      </c>
      <c r="D1299" s="22" t="s">
        <v>488</v>
      </c>
      <c r="E1299" s="22" t="s">
        <v>3070</v>
      </c>
      <c r="F1299" s="24">
        <v>9</v>
      </c>
      <c r="G1299" s="24">
        <v>2290</v>
      </c>
      <c r="H1299" s="24">
        <v>28.8</v>
      </c>
      <c r="I1299" s="24">
        <v>14674.32</v>
      </c>
      <c r="J1299" s="22" t="s">
        <v>104</v>
      </c>
      <c r="K1299" s="22" t="s">
        <v>129</v>
      </c>
      <c r="L1299" t="str">
        <f>VLOOKUP(D1299,Products!A:F,3,FALSE())</f>
        <v>Beauty</v>
      </c>
      <c r="M1299" t="str">
        <f>VLOOKUP(C1299,Customers!A:F,5,FALSE())</f>
        <v>Retail</v>
      </c>
      <c r="O1299" t="str">
        <f>IFERROR(VLOOKUP(E1299,Sales_Reps!$A:$C,3,FALSE()),"")</f>
        <v/>
      </c>
      <c r="P1299">
        <f>IFERROR(VLOOKUP(C1299,Customers!$A:$C,3,FALSE()),"")</f>
        <v>38</v>
      </c>
      <c r="Q1299" t="str">
        <f t="shared" si="20"/>
        <v>Dec-24</v>
      </c>
      <c r="R1299">
        <f>IFERROR((VLOOKUP(D1299,Products!$A:$E,5,FALSE())-VLOOKUP(D1299,Products!$A:$E,4,FALSE()))/VLOOKUP(D1299,Products!$A:$E,5,FALSE()),"")</f>
        <v>0.46768558951965067</v>
      </c>
    </row>
    <row r="1300" spans="1:18" x14ac:dyDescent="0.3">
      <c r="A1300" s="22" t="s">
        <v>3071</v>
      </c>
      <c r="B1300" s="23">
        <v>45294</v>
      </c>
      <c r="C1300" s="22" t="s">
        <v>264</v>
      </c>
      <c r="D1300" s="22" t="s">
        <v>186</v>
      </c>
      <c r="E1300" s="22" t="s">
        <v>3072</v>
      </c>
      <c r="F1300" s="24">
        <v>9</v>
      </c>
      <c r="G1300" s="24">
        <v>1080</v>
      </c>
      <c r="H1300" s="24">
        <v>10.3</v>
      </c>
      <c r="I1300" s="24">
        <v>8718.84</v>
      </c>
      <c r="J1300" s="22" t="s">
        <v>104</v>
      </c>
      <c r="K1300" s="22" t="s">
        <v>111</v>
      </c>
      <c r="L1300" t="str">
        <f>VLOOKUP(D1300,Products!A:F,3,FALSE())</f>
        <v>Home</v>
      </c>
      <c r="M1300" t="str">
        <f>VLOOKUP(C1300,Customers!A:F,5,FALSE())</f>
        <v>Retail</v>
      </c>
      <c r="O1300" t="str">
        <f>IFERROR(VLOOKUP(E1300,Sales_Reps!$A:$C,3,FALSE()),"")</f>
        <v/>
      </c>
      <c r="P1300">
        <f>IFERROR(VLOOKUP(C1300,Customers!$A:$C,3,FALSE()),"")</f>
        <v>37</v>
      </c>
      <c r="Q1300" t="str">
        <f t="shared" si="20"/>
        <v>Jan-24</v>
      </c>
      <c r="R1300">
        <f>IFERROR((VLOOKUP(D1300,Products!$A:$E,5,FALSE())-VLOOKUP(D1300,Products!$A:$E,4,FALSE()))/VLOOKUP(D1300,Products!$A:$E,5,FALSE()),"")</f>
        <v>0.51944444444444449</v>
      </c>
    </row>
    <row r="1301" spans="1:18" x14ac:dyDescent="0.3">
      <c r="A1301" s="22" t="s">
        <v>3073</v>
      </c>
      <c r="B1301" s="23">
        <v>45449</v>
      </c>
      <c r="C1301" s="22" t="s">
        <v>1375</v>
      </c>
      <c r="D1301" s="22" t="s">
        <v>674</v>
      </c>
      <c r="E1301" s="22" t="s">
        <v>3074</v>
      </c>
      <c r="F1301" s="24">
        <v>1</v>
      </c>
      <c r="G1301" s="24">
        <v>1090</v>
      </c>
      <c r="H1301" s="24">
        <v>5.8</v>
      </c>
      <c r="I1301" s="24">
        <v>1026.78</v>
      </c>
      <c r="J1301" s="22" t="s">
        <v>159</v>
      </c>
      <c r="K1301" s="22" t="s">
        <v>116</v>
      </c>
      <c r="L1301" t="str">
        <f>VLOOKUP(D1301,Products!A:F,3,FALSE())</f>
        <v>Home</v>
      </c>
      <c r="M1301" t="str">
        <f>VLOOKUP(C1301,Customers!A:F,5,FALSE())</f>
        <v>Retail</v>
      </c>
      <c r="O1301" t="str">
        <f>IFERROR(VLOOKUP(E1301,Sales_Reps!$A:$C,3,FALSE()),"")</f>
        <v/>
      </c>
      <c r="P1301">
        <f>IFERROR(VLOOKUP(C1301,Customers!$A:$C,3,FALSE()),"")</f>
        <v>55</v>
      </c>
      <c r="Q1301" t="str">
        <f t="shared" si="20"/>
        <v>Jun-24</v>
      </c>
      <c r="R1301">
        <f>IFERROR((VLOOKUP(D1301,Products!$A:$E,5,FALSE())-VLOOKUP(D1301,Products!$A:$E,4,FALSE()))/VLOOKUP(D1301,Products!$A:$E,5,FALSE()),"")</f>
        <v>0.57431192660550456</v>
      </c>
    </row>
    <row r="1302" spans="1:18" x14ac:dyDescent="0.3">
      <c r="A1302" s="22" t="s">
        <v>3075</v>
      </c>
      <c r="B1302" s="23">
        <v>45560</v>
      </c>
      <c r="C1302" s="22" t="s">
        <v>1362</v>
      </c>
      <c r="D1302" s="22" t="s">
        <v>419</v>
      </c>
      <c r="E1302" s="22" t="s">
        <v>3076</v>
      </c>
      <c r="F1302" s="24">
        <v>3</v>
      </c>
      <c r="G1302" s="24">
        <v>2210</v>
      </c>
      <c r="H1302" s="24">
        <v>18.2</v>
      </c>
      <c r="I1302" s="24">
        <v>5423.34</v>
      </c>
      <c r="J1302" s="22" t="s">
        <v>110</v>
      </c>
      <c r="K1302" s="22" t="s">
        <v>129</v>
      </c>
      <c r="L1302" t="str">
        <f>VLOOKUP(D1302,Products!A:F,3,FALSE())</f>
        <v>Grocery</v>
      </c>
      <c r="M1302" t="str">
        <f>VLOOKUP(C1302,Customers!A:F,5,FALSE())</f>
        <v>Retail</v>
      </c>
      <c r="O1302" t="str">
        <f>IFERROR(VLOOKUP(E1302,Sales_Reps!$A:$C,3,FALSE()),"")</f>
        <v/>
      </c>
      <c r="P1302">
        <f>IFERROR(VLOOKUP(C1302,Customers!$A:$C,3,FALSE()),"")</f>
        <v>37</v>
      </c>
      <c r="Q1302" t="str">
        <f t="shared" si="20"/>
        <v>Sep-24</v>
      </c>
      <c r="R1302">
        <f>IFERROR((VLOOKUP(D1302,Products!$A:$E,5,FALSE())-VLOOKUP(D1302,Products!$A:$E,4,FALSE()))/VLOOKUP(D1302,Products!$A:$E,5,FALSE()),"")</f>
        <v>0.54298642533936647</v>
      </c>
    </row>
    <row r="1303" spans="1:18" x14ac:dyDescent="0.3">
      <c r="A1303" s="22" t="s">
        <v>3077</v>
      </c>
      <c r="B1303" s="23">
        <v>45588</v>
      </c>
      <c r="C1303" s="22" t="s">
        <v>227</v>
      </c>
      <c r="D1303" s="22" t="s">
        <v>102</v>
      </c>
      <c r="E1303" s="22" t="s">
        <v>3078</v>
      </c>
      <c r="F1303" s="24">
        <v>8</v>
      </c>
      <c r="G1303" s="24">
        <v>3620</v>
      </c>
      <c r="H1303" s="24">
        <v>1.4</v>
      </c>
      <c r="I1303" s="24">
        <v>28554.560000000001</v>
      </c>
      <c r="J1303" s="22" t="s">
        <v>104</v>
      </c>
      <c r="K1303" s="22" t="s">
        <v>105</v>
      </c>
      <c r="L1303" t="str">
        <f>VLOOKUP(D1303,Products!A:F,3,FALSE())</f>
        <v>Apparel</v>
      </c>
      <c r="M1303" t="str">
        <f>VLOOKUP(C1303,Customers!A:F,5,FALSE())</f>
        <v>Corporate</v>
      </c>
      <c r="O1303" t="str">
        <f>IFERROR(VLOOKUP(E1303,Sales_Reps!$A:$C,3,FALSE()),"")</f>
        <v/>
      </c>
      <c r="P1303">
        <f>IFERROR(VLOOKUP(C1303,Customers!$A:$C,3,FALSE()),"")</f>
        <v>47</v>
      </c>
      <c r="Q1303" t="str">
        <f t="shared" si="20"/>
        <v>Oct-24</v>
      </c>
      <c r="R1303">
        <f>IFERROR((VLOOKUP(D1303,Products!$A:$E,5,FALSE())-VLOOKUP(D1303,Products!$A:$E,4,FALSE()))/VLOOKUP(D1303,Products!$A:$E,5,FALSE()),"")</f>
        <v>0.3069060773480663</v>
      </c>
    </row>
    <row r="1304" spans="1:18" x14ac:dyDescent="0.3">
      <c r="A1304" s="22" t="s">
        <v>3079</v>
      </c>
      <c r="B1304" s="23">
        <v>45360</v>
      </c>
      <c r="C1304" s="22" t="s">
        <v>240</v>
      </c>
      <c r="D1304" s="22" t="s">
        <v>356</v>
      </c>
      <c r="E1304" s="22" t="s">
        <v>3080</v>
      </c>
      <c r="F1304" s="24">
        <v>7</v>
      </c>
      <c r="G1304" s="24">
        <v>2030</v>
      </c>
      <c r="H1304" s="24">
        <v>27.7</v>
      </c>
      <c r="I1304" s="24">
        <v>10273.83</v>
      </c>
      <c r="J1304" s="22" t="s">
        <v>104</v>
      </c>
      <c r="K1304" s="22" t="s">
        <v>151</v>
      </c>
      <c r="L1304" t="str">
        <f>VLOOKUP(D1304,Products!A:F,3,FALSE())</f>
        <v>Home</v>
      </c>
      <c r="M1304" t="str">
        <f>VLOOKUP(C1304,Customers!A:F,5,FALSE())</f>
        <v>Retail</v>
      </c>
      <c r="O1304" t="str">
        <f>IFERROR(VLOOKUP(E1304,Sales_Reps!$A:$C,3,FALSE()),"")</f>
        <v/>
      </c>
      <c r="P1304">
        <f>IFERROR(VLOOKUP(C1304,Customers!$A:$C,3,FALSE()),"")</f>
        <v>26</v>
      </c>
      <c r="Q1304" t="str">
        <f t="shared" si="20"/>
        <v>Mar-24</v>
      </c>
      <c r="R1304">
        <f>IFERROR((VLOOKUP(D1304,Products!$A:$E,5,FALSE())-VLOOKUP(D1304,Products!$A:$E,4,FALSE()))/VLOOKUP(D1304,Products!$A:$E,5,FALSE()),"")</f>
        <v>0.43694581280788175</v>
      </c>
    </row>
    <row r="1305" spans="1:18" x14ac:dyDescent="0.3">
      <c r="A1305" s="22" t="s">
        <v>3081</v>
      </c>
      <c r="B1305" s="23">
        <v>45316</v>
      </c>
      <c r="C1305" s="22" t="s">
        <v>833</v>
      </c>
      <c r="D1305" s="22" t="s">
        <v>293</v>
      </c>
      <c r="E1305" s="22" t="s">
        <v>3082</v>
      </c>
      <c r="F1305" s="24">
        <v>1</v>
      </c>
      <c r="G1305" s="24">
        <v>3870</v>
      </c>
      <c r="H1305" s="24">
        <v>29.6</v>
      </c>
      <c r="I1305" s="24">
        <v>2724.48</v>
      </c>
      <c r="J1305" s="22" t="s">
        <v>104</v>
      </c>
      <c r="K1305" s="22" t="s">
        <v>134</v>
      </c>
      <c r="L1305" t="str">
        <f>VLOOKUP(D1305,Products!A:F,3,FALSE())</f>
        <v>Electronics</v>
      </c>
      <c r="M1305" t="str">
        <f>VLOOKUP(C1305,Customers!A:F,5,FALSE())</f>
        <v>Corporate</v>
      </c>
      <c r="O1305" t="str">
        <f>IFERROR(VLOOKUP(E1305,Sales_Reps!$A:$C,3,FALSE()),"")</f>
        <v/>
      </c>
      <c r="P1305">
        <f>IFERROR(VLOOKUP(C1305,Customers!$A:$C,3,FALSE()),"")</f>
        <v>26</v>
      </c>
      <c r="Q1305" t="str">
        <f t="shared" si="20"/>
        <v>Jan-24</v>
      </c>
      <c r="R1305">
        <f>IFERROR((VLOOKUP(D1305,Products!$A:$E,5,FALSE())-VLOOKUP(D1305,Products!$A:$E,4,FALSE()))/VLOOKUP(D1305,Products!$A:$E,5,FALSE()),"")</f>
        <v>0.59715762273901807</v>
      </c>
    </row>
    <row r="1306" spans="1:18" x14ac:dyDescent="0.3">
      <c r="A1306" s="22" t="s">
        <v>3083</v>
      </c>
      <c r="B1306" s="23">
        <v>45324</v>
      </c>
      <c r="C1306" s="22" t="s">
        <v>1243</v>
      </c>
      <c r="D1306" s="22" t="s">
        <v>216</v>
      </c>
      <c r="E1306" s="22" t="s">
        <v>3084</v>
      </c>
      <c r="F1306" s="24">
        <v>5</v>
      </c>
      <c r="G1306" s="24">
        <v>3570</v>
      </c>
      <c r="H1306" s="24">
        <v>11.8</v>
      </c>
      <c r="I1306" s="24">
        <v>15743.7</v>
      </c>
      <c r="J1306" s="22" t="s">
        <v>164</v>
      </c>
      <c r="K1306" s="22" t="s">
        <v>134</v>
      </c>
      <c r="L1306" t="str">
        <f>VLOOKUP(D1306,Products!A:F,3,FALSE())</f>
        <v>Electronics</v>
      </c>
      <c r="M1306" t="str">
        <f>VLOOKUP(C1306,Customers!A:F,5,FALSE())</f>
        <v>Retail</v>
      </c>
      <c r="O1306" t="str">
        <f>IFERROR(VLOOKUP(E1306,Sales_Reps!$A:$C,3,FALSE()),"")</f>
        <v/>
      </c>
      <c r="P1306">
        <f>IFERROR(VLOOKUP(C1306,Customers!$A:$C,3,FALSE()),"")</f>
        <v>52</v>
      </c>
      <c r="Q1306" t="str">
        <f t="shared" si="20"/>
        <v>Feb-24</v>
      </c>
      <c r="R1306">
        <f>IFERROR((VLOOKUP(D1306,Products!$A:$E,5,FALSE())-VLOOKUP(D1306,Products!$A:$E,4,FALSE()))/VLOOKUP(D1306,Products!$A:$E,5,FALSE()),"")</f>
        <v>0.53361344537815125</v>
      </c>
    </row>
    <row r="1307" spans="1:18" x14ac:dyDescent="0.3">
      <c r="A1307" s="22" t="s">
        <v>3085</v>
      </c>
      <c r="B1307" s="23">
        <v>45650</v>
      </c>
      <c r="C1307" s="22" t="s">
        <v>1734</v>
      </c>
      <c r="D1307" s="22" t="s">
        <v>455</v>
      </c>
      <c r="E1307" s="22" t="s">
        <v>3086</v>
      </c>
      <c r="F1307" s="24">
        <v>7</v>
      </c>
      <c r="G1307" s="24">
        <v>5330</v>
      </c>
      <c r="H1307" s="24">
        <v>8.1999999999999993</v>
      </c>
      <c r="I1307" s="24">
        <v>34250.58</v>
      </c>
      <c r="J1307" s="22" t="s">
        <v>104</v>
      </c>
      <c r="K1307" s="22" t="s">
        <v>134</v>
      </c>
      <c r="L1307" t="str">
        <f>VLOOKUP(D1307,Products!A:F,3,FALSE())</f>
        <v>Electronics</v>
      </c>
      <c r="M1307" t="str">
        <f>VLOOKUP(C1307,Customers!A:F,5,FALSE())</f>
        <v>Corporate</v>
      </c>
      <c r="O1307" t="str">
        <f>IFERROR(VLOOKUP(E1307,Sales_Reps!$A:$C,3,FALSE()),"")</f>
        <v/>
      </c>
      <c r="P1307">
        <f>IFERROR(VLOOKUP(C1307,Customers!$A:$C,3,FALSE()),"")</f>
        <v>31</v>
      </c>
      <c r="Q1307" t="str">
        <f t="shared" si="20"/>
        <v>Dec-24</v>
      </c>
      <c r="R1307">
        <f>IFERROR((VLOOKUP(D1307,Products!$A:$E,5,FALSE())-VLOOKUP(D1307,Products!$A:$E,4,FALSE()))/VLOOKUP(D1307,Products!$A:$E,5,FALSE()),"")</f>
        <v>0.54878048780487809</v>
      </c>
    </row>
    <row r="1308" spans="1:18" x14ac:dyDescent="0.3">
      <c r="A1308" s="22" t="s">
        <v>3087</v>
      </c>
      <c r="B1308" s="23">
        <v>45564</v>
      </c>
      <c r="C1308" s="22" t="s">
        <v>1192</v>
      </c>
      <c r="D1308" s="22" t="s">
        <v>319</v>
      </c>
      <c r="E1308" s="22" t="s">
        <v>3088</v>
      </c>
      <c r="F1308" s="24">
        <v>5</v>
      </c>
      <c r="G1308" s="24">
        <v>1220</v>
      </c>
      <c r="H1308" s="24">
        <v>17.8</v>
      </c>
      <c r="I1308" s="24">
        <v>5014.2</v>
      </c>
      <c r="J1308" s="22" t="s">
        <v>164</v>
      </c>
      <c r="K1308" s="22" t="s">
        <v>105</v>
      </c>
      <c r="L1308" t="str">
        <f>VLOOKUP(D1308,Products!A:F,3,FALSE())</f>
        <v>Electronics</v>
      </c>
      <c r="M1308" t="str">
        <f>VLOOKUP(C1308,Customers!A:F,5,FALSE())</f>
        <v>Retail</v>
      </c>
      <c r="O1308" t="str">
        <f>IFERROR(VLOOKUP(E1308,Sales_Reps!$A:$C,3,FALSE()),"")</f>
        <v/>
      </c>
      <c r="P1308">
        <f>IFERROR(VLOOKUP(C1308,Customers!$A:$C,3,FALSE()),"")</f>
        <v>36</v>
      </c>
      <c r="Q1308" t="str">
        <f t="shared" si="20"/>
        <v>Sep-24</v>
      </c>
      <c r="R1308">
        <f>IFERROR((VLOOKUP(D1308,Products!$A:$E,5,FALSE())-VLOOKUP(D1308,Products!$A:$E,4,FALSE()))/VLOOKUP(D1308,Products!$A:$E,5,FALSE()),"")</f>
        <v>0.57622950819672136</v>
      </c>
    </row>
    <row r="1309" spans="1:18" x14ac:dyDescent="0.3">
      <c r="A1309" s="22" t="s">
        <v>3089</v>
      </c>
      <c r="B1309" s="23">
        <v>45587</v>
      </c>
      <c r="C1309" s="22" t="s">
        <v>185</v>
      </c>
      <c r="D1309" s="22" t="s">
        <v>591</v>
      </c>
      <c r="E1309" s="22" t="s">
        <v>3090</v>
      </c>
      <c r="F1309" s="24">
        <v>7</v>
      </c>
      <c r="G1309" s="24">
        <v>3450</v>
      </c>
      <c r="H1309" s="24">
        <v>29.3</v>
      </c>
      <c r="I1309" s="24">
        <v>17074.05</v>
      </c>
      <c r="J1309" s="22" t="s">
        <v>104</v>
      </c>
      <c r="K1309" s="22" t="s">
        <v>111</v>
      </c>
      <c r="L1309" t="str">
        <f>VLOOKUP(D1309,Products!A:F,3,FALSE())</f>
        <v>Apparel</v>
      </c>
      <c r="M1309" t="str">
        <f>VLOOKUP(C1309,Customers!A:F,5,FALSE())</f>
        <v>Retail</v>
      </c>
      <c r="O1309" t="str">
        <f>IFERROR(VLOOKUP(E1309,Sales_Reps!$A:$C,3,FALSE()),"")</f>
        <v/>
      </c>
      <c r="P1309">
        <f>IFERROR(VLOOKUP(C1309,Customers!$A:$C,3,FALSE()),"")</f>
        <v>49</v>
      </c>
      <c r="Q1309" t="str">
        <f t="shared" si="20"/>
        <v>Oct-24</v>
      </c>
      <c r="R1309">
        <f>IFERROR((VLOOKUP(D1309,Products!$A:$E,5,FALSE())-VLOOKUP(D1309,Products!$A:$E,4,FALSE()))/VLOOKUP(D1309,Products!$A:$E,5,FALSE()),"")</f>
        <v>0.49333333333333335</v>
      </c>
    </row>
    <row r="1310" spans="1:18" x14ac:dyDescent="0.3">
      <c r="A1310" s="22" t="s">
        <v>3091</v>
      </c>
      <c r="B1310" s="23">
        <v>45538</v>
      </c>
      <c r="C1310" s="22" t="s">
        <v>861</v>
      </c>
      <c r="D1310" s="22" t="s">
        <v>935</v>
      </c>
      <c r="E1310" s="22" t="s">
        <v>3092</v>
      </c>
      <c r="F1310" s="24">
        <v>6</v>
      </c>
      <c r="G1310" s="24">
        <v>3560</v>
      </c>
      <c r="H1310" s="24">
        <v>9.4</v>
      </c>
      <c r="I1310" s="24">
        <v>19352.16</v>
      </c>
      <c r="J1310" s="22" t="s">
        <v>110</v>
      </c>
      <c r="K1310" s="22" t="s">
        <v>129</v>
      </c>
      <c r="L1310" t="str">
        <f>VLOOKUP(D1310,Products!A:F,3,FALSE())</f>
        <v>Apparel</v>
      </c>
      <c r="M1310" t="str">
        <f>VLOOKUP(C1310,Customers!A:F,5,FALSE())</f>
        <v>SMB</v>
      </c>
      <c r="O1310" t="str">
        <f>IFERROR(VLOOKUP(E1310,Sales_Reps!$A:$C,3,FALSE()),"")</f>
        <v/>
      </c>
      <c r="P1310">
        <f>IFERROR(VLOOKUP(C1310,Customers!$A:$C,3,FALSE()),"")</f>
        <v>65</v>
      </c>
      <c r="Q1310" t="str">
        <f t="shared" si="20"/>
        <v>Sep-24</v>
      </c>
      <c r="R1310">
        <f>IFERROR((VLOOKUP(D1310,Products!$A:$E,5,FALSE())-VLOOKUP(D1310,Products!$A:$E,4,FALSE()))/VLOOKUP(D1310,Products!$A:$E,5,FALSE()),"")</f>
        <v>0.26151685393258428</v>
      </c>
    </row>
    <row r="1311" spans="1:18" x14ac:dyDescent="0.3">
      <c r="A1311" s="22" t="s">
        <v>3093</v>
      </c>
      <c r="B1311" s="23">
        <v>45385</v>
      </c>
      <c r="C1311" s="22" t="s">
        <v>677</v>
      </c>
      <c r="D1311" s="22" t="s">
        <v>127</v>
      </c>
      <c r="E1311" s="22" t="s">
        <v>3094</v>
      </c>
      <c r="F1311" s="24">
        <v>4</v>
      </c>
      <c r="G1311" s="24">
        <v>370</v>
      </c>
      <c r="H1311" s="24">
        <v>4.9000000000000004</v>
      </c>
      <c r="I1311" s="24">
        <v>1407.48</v>
      </c>
      <c r="J1311" s="22" t="s">
        <v>104</v>
      </c>
      <c r="K1311" s="22" t="s">
        <v>134</v>
      </c>
      <c r="L1311" t="str">
        <f>VLOOKUP(D1311,Products!A:F,3,FALSE())</f>
        <v>Home</v>
      </c>
      <c r="M1311" t="str">
        <f>VLOOKUP(C1311,Customers!A:F,5,FALSE())</f>
        <v>Corporate</v>
      </c>
      <c r="O1311" t="str">
        <f>IFERROR(VLOOKUP(E1311,Sales_Reps!$A:$C,3,FALSE()),"")</f>
        <v/>
      </c>
      <c r="P1311">
        <f>IFERROR(VLOOKUP(C1311,Customers!$A:$C,3,FALSE()),"")</f>
        <v>36</v>
      </c>
      <c r="Q1311" t="str">
        <f t="shared" si="20"/>
        <v>Apr-24</v>
      </c>
      <c r="R1311">
        <f>IFERROR((VLOOKUP(D1311,Products!$A:$E,5,FALSE())-VLOOKUP(D1311,Products!$A:$E,4,FALSE()))/VLOOKUP(D1311,Products!$A:$E,5,FALSE()),"")</f>
        <v>0.22162162162162163</v>
      </c>
    </row>
    <row r="1312" spans="1:18" x14ac:dyDescent="0.3">
      <c r="A1312" s="22" t="s">
        <v>3095</v>
      </c>
      <c r="B1312" s="23">
        <v>45647</v>
      </c>
      <c r="C1312" s="22" t="s">
        <v>1041</v>
      </c>
      <c r="D1312" s="22" t="s">
        <v>319</v>
      </c>
      <c r="E1312" s="22" t="s">
        <v>3096</v>
      </c>
      <c r="F1312" s="24">
        <v>1</v>
      </c>
      <c r="G1312" s="24">
        <v>1220</v>
      </c>
      <c r="H1312" s="24">
        <v>15.2</v>
      </c>
      <c r="I1312" s="24">
        <v>1034.56</v>
      </c>
      <c r="J1312" s="22" t="s">
        <v>104</v>
      </c>
      <c r="K1312" s="22" t="s">
        <v>105</v>
      </c>
      <c r="L1312" t="str">
        <f>VLOOKUP(D1312,Products!A:F,3,FALSE())</f>
        <v>Electronics</v>
      </c>
      <c r="M1312" t="str">
        <f>VLOOKUP(C1312,Customers!A:F,5,FALSE())</f>
        <v>Retail</v>
      </c>
      <c r="O1312" t="str">
        <f>IFERROR(VLOOKUP(E1312,Sales_Reps!$A:$C,3,FALSE()),"")</f>
        <v/>
      </c>
      <c r="P1312">
        <f>IFERROR(VLOOKUP(C1312,Customers!$A:$C,3,FALSE()),"")</f>
        <v>48</v>
      </c>
      <c r="Q1312" t="str">
        <f t="shared" si="20"/>
        <v>Dec-24</v>
      </c>
      <c r="R1312">
        <f>IFERROR((VLOOKUP(D1312,Products!$A:$E,5,FALSE())-VLOOKUP(D1312,Products!$A:$E,4,FALSE()))/VLOOKUP(D1312,Products!$A:$E,5,FALSE()),"")</f>
        <v>0.57622950819672136</v>
      </c>
    </row>
    <row r="1313" spans="1:18" x14ac:dyDescent="0.3">
      <c r="A1313" s="22" t="s">
        <v>3097</v>
      </c>
      <c r="B1313" s="23">
        <v>45466</v>
      </c>
      <c r="C1313" s="22" t="s">
        <v>1183</v>
      </c>
      <c r="D1313" s="22" t="s">
        <v>279</v>
      </c>
      <c r="E1313" s="22" t="s">
        <v>3098</v>
      </c>
      <c r="F1313" s="24">
        <v>3</v>
      </c>
      <c r="G1313" s="24">
        <v>3640</v>
      </c>
      <c r="H1313" s="24">
        <v>12.3</v>
      </c>
      <c r="I1313" s="24">
        <v>9576.84</v>
      </c>
      <c r="J1313" s="22" t="s">
        <v>110</v>
      </c>
      <c r="K1313" s="22" t="s">
        <v>111</v>
      </c>
      <c r="L1313" t="str">
        <f>VLOOKUP(D1313,Products!A:F,3,FALSE())</f>
        <v>Apparel</v>
      </c>
      <c r="M1313" t="str">
        <f>VLOOKUP(C1313,Customers!A:F,5,FALSE())</f>
        <v>SMB</v>
      </c>
      <c r="O1313" t="str">
        <f>IFERROR(VLOOKUP(E1313,Sales_Reps!$A:$C,3,FALSE()),"")</f>
        <v/>
      </c>
      <c r="P1313">
        <f>IFERROR(VLOOKUP(C1313,Customers!$A:$C,3,FALSE()),"")</f>
        <v>39</v>
      </c>
      <c r="Q1313" t="str">
        <f t="shared" si="20"/>
        <v>Jun-24</v>
      </c>
      <c r="R1313">
        <f>IFERROR((VLOOKUP(D1313,Products!$A:$E,5,FALSE())-VLOOKUP(D1313,Products!$A:$E,4,FALSE()))/VLOOKUP(D1313,Products!$A:$E,5,FALSE()),"")</f>
        <v>0.28269230769230769</v>
      </c>
    </row>
    <row r="1314" spans="1:18" x14ac:dyDescent="0.3">
      <c r="A1314" s="22" t="s">
        <v>3099</v>
      </c>
      <c r="B1314" s="23">
        <v>45559</v>
      </c>
      <c r="C1314" s="22" t="s">
        <v>1309</v>
      </c>
      <c r="D1314" s="22" t="s">
        <v>330</v>
      </c>
      <c r="E1314" s="22" t="s">
        <v>3100</v>
      </c>
      <c r="F1314" s="24">
        <v>8</v>
      </c>
      <c r="G1314" s="24">
        <v>3020</v>
      </c>
      <c r="H1314" s="24">
        <v>28.2</v>
      </c>
      <c r="I1314" s="24">
        <v>17346.88</v>
      </c>
      <c r="J1314" s="22" t="s">
        <v>110</v>
      </c>
      <c r="K1314" s="22" t="s">
        <v>129</v>
      </c>
      <c r="L1314" t="str">
        <f>VLOOKUP(D1314,Products!A:F,3,FALSE())</f>
        <v>Beauty</v>
      </c>
      <c r="M1314" t="str">
        <f>VLOOKUP(C1314,Customers!A:F,5,FALSE())</f>
        <v>Corporate</v>
      </c>
      <c r="O1314" t="str">
        <f>IFERROR(VLOOKUP(E1314,Sales_Reps!$A:$C,3,FALSE()),"")</f>
        <v/>
      </c>
      <c r="P1314">
        <f>IFERROR(VLOOKUP(C1314,Customers!$A:$C,3,FALSE()),"")</f>
        <v>62</v>
      </c>
      <c r="Q1314" t="str">
        <f t="shared" si="20"/>
        <v>Sep-24</v>
      </c>
      <c r="R1314">
        <f>IFERROR((VLOOKUP(D1314,Products!$A:$E,5,FALSE())-VLOOKUP(D1314,Products!$A:$E,4,FALSE()))/VLOOKUP(D1314,Products!$A:$E,5,FALSE()),"")</f>
        <v>0.46158940397350995</v>
      </c>
    </row>
    <row r="1315" spans="1:18" x14ac:dyDescent="0.3">
      <c r="A1315" s="22" t="s">
        <v>3101</v>
      </c>
      <c r="B1315" s="23">
        <v>45469</v>
      </c>
      <c r="C1315" s="22" t="s">
        <v>928</v>
      </c>
      <c r="D1315" s="22" t="s">
        <v>220</v>
      </c>
      <c r="E1315" s="22" t="s">
        <v>3102</v>
      </c>
      <c r="F1315" s="24">
        <v>3</v>
      </c>
      <c r="G1315" s="24">
        <v>5100</v>
      </c>
      <c r="H1315" s="24">
        <v>7.8</v>
      </c>
      <c r="I1315" s="24">
        <v>14106.6</v>
      </c>
      <c r="J1315" s="22" t="s">
        <v>104</v>
      </c>
      <c r="K1315" s="22" t="s">
        <v>151</v>
      </c>
      <c r="L1315" t="str">
        <f>VLOOKUP(D1315,Products!A:F,3,FALSE())</f>
        <v>Beauty</v>
      </c>
      <c r="M1315" t="str">
        <f>VLOOKUP(C1315,Customers!A:F,5,FALSE())</f>
        <v>Retail</v>
      </c>
      <c r="O1315" t="str">
        <f>IFERROR(VLOOKUP(E1315,Sales_Reps!$A:$C,3,FALSE()),"")</f>
        <v/>
      </c>
      <c r="P1315">
        <f>IFERROR(VLOOKUP(C1315,Customers!$A:$C,3,FALSE()),"")</f>
        <v>27</v>
      </c>
      <c r="Q1315" t="str">
        <f t="shared" si="20"/>
        <v>Jun-24</v>
      </c>
      <c r="R1315">
        <f>IFERROR((VLOOKUP(D1315,Products!$A:$E,5,FALSE())-VLOOKUP(D1315,Products!$A:$E,4,FALSE()))/VLOOKUP(D1315,Products!$A:$E,5,FALSE()),"")</f>
        <v>0.56137254901960787</v>
      </c>
    </row>
    <row r="1316" spans="1:18" x14ac:dyDescent="0.3">
      <c r="A1316" s="22" t="s">
        <v>3103</v>
      </c>
      <c r="B1316" s="23">
        <v>45407</v>
      </c>
      <c r="C1316" s="22" t="s">
        <v>645</v>
      </c>
      <c r="D1316" s="22" t="s">
        <v>338</v>
      </c>
      <c r="E1316" s="22" t="s">
        <v>3104</v>
      </c>
      <c r="F1316" s="24">
        <v>9</v>
      </c>
      <c r="G1316" s="24">
        <v>300</v>
      </c>
      <c r="H1316" s="24">
        <v>19</v>
      </c>
      <c r="I1316" s="24">
        <v>2187</v>
      </c>
      <c r="J1316" s="22" t="s">
        <v>104</v>
      </c>
      <c r="K1316" s="22" t="s">
        <v>105</v>
      </c>
      <c r="L1316" t="str">
        <f>VLOOKUP(D1316,Products!A:F,3,FALSE())</f>
        <v>Electronics</v>
      </c>
      <c r="M1316" t="str">
        <f>VLOOKUP(C1316,Customers!A:F,5,FALSE())</f>
        <v>Retail</v>
      </c>
      <c r="O1316" t="str">
        <f>IFERROR(VLOOKUP(E1316,Sales_Reps!$A:$C,3,FALSE()),"")</f>
        <v/>
      </c>
      <c r="P1316">
        <f>IFERROR(VLOOKUP(C1316,Customers!$A:$C,3,FALSE()),"")</f>
        <v>49</v>
      </c>
      <c r="Q1316" t="str">
        <f t="shared" si="20"/>
        <v>Apr-24</v>
      </c>
      <c r="R1316">
        <f>IFERROR((VLOOKUP(D1316,Products!$A:$E,5,FALSE())-VLOOKUP(D1316,Products!$A:$E,4,FALSE()))/VLOOKUP(D1316,Products!$A:$E,5,FALSE()),"")</f>
        <v>0.57333333333333336</v>
      </c>
    </row>
    <row r="1317" spans="1:18" x14ac:dyDescent="0.3">
      <c r="A1317" s="22" t="s">
        <v>3105</v>
      </c>
      <c r="B1317" s="23">
        <v>45634</v>
      </c>
      <c r="C1317" s="22" t="s">
        <v>223</v>
      </c>
      <c r="D1317" s="22" t="s">
        <v>488</v>
      </c>
      <c r="E1317" s="22" t="s">
        <v>3106</v>
      </c>
      <c r="F1317" s="24">
        <v>10</v>
      </c>
      <c r="G1317" s="24">
        <v>2290</v>
      </c>
      <c r="H1317" s="24">
        <v>27.7</v>
      </c>
      <c r="I1317" s="24">
        <v>16556.7</v>
      </c>
      <c r="J1317" s="22" t="s">
        <v>104</v>
      </c>
      <c r="K1317" s="22" t="s">
        <v>105</v>
      </c>
      <c r="L1317" t="str">
        <f>VLOOKUP(D1317,Products!A:F,3,FALSE())</f>
        <v>Beauty</v>
      </c>
      <c r="M1317" t="str">
        <f>VLOOKUP(C1317,Customers!A:F,5,FALSE())</f>
        <v>SMB</v>
      </c>
      <c r="O1317" t="str">
        <f>IFERROR(VLOOKUP(E1317,Sales_Reps!$A:$C,3,FALSE()),"")</f>
        <v/>
      </c>
      <c r="P1317">
        <f>IFERROR(VLOOKUP(C1317,Customers!$A:$C,3,FALSE()),"")</f>
        <v>44</v>
      </c>
      <c r="Q1317" t="str">
        <f t="shared" si="20"/>
        <v>Dec-24</v>
      </c>
      <c r="R1317">
        <f>IFERROR((VLOOKUP(D1317,Products!$A:$E,5,FALSE())-VLOOKUP(D1317,Products!$A:$E,4,FALSE()))/VLOOKUP(D1317,Products!$A:$E,5,FALSE()),"")</f>
        <v>0.46768558951965067</v>
      </c>
    </row>
    <row r="1318" spans="1:18" x14ac:dyDescent="0.3">
      <c r="A1318" s="22" t="s">
        <v>3107</v>
      </c>
      <c r="B1318" s="23">
        <v>45454</v>
      </c>
      <c r="C1318" s="22" t="s">
        <v>204</v>
      </c>
      <c r="D1318" s="22" t="s">
        <v>279</v>
      </c>
      <c r="E1318" s="22" t="s">
        <v>3108</v>
      </c>
      <c r="F1318" s="24">
        <v>9</v>
      </c>
      <c r="G1318" s="24">
        <v>3640</v>
      </c>
      <c r="H1318" s="24">
        <v>20.100000000000001</v>
      </c>
      <c r="I1318" s="24">
        <v>26175.24</v>
      </c>
      <c r="J1318" s="22" t="s">
        <v>104</v>
      </c>
      <c r="K1318" s="22" t="s">
        <v>111</v>
      </c>
      <c r="L1318" t="str">
        <f>VLOOKUP(D1318,Products!A:F,3,FALSE())</f>
        <v>Apparel</v>
      </c>
      <c r="M1318" t="str">
        <f>VLOOKUP(C1318,Customers!A:F,5,FALSE())</f>
        <v>Corporate</v>
      </c>
      <c r="O1318" t="str">
        <f>IFERROR(VLOOKUP(E1318,Sales_Reps!$A:$C,3,FALSE()),"")</f>
        <v/>
      </c>
      <c r="P1318">
        <f>IFERROR(VLOOKUP(C1318,Customers!$A:$C,3,FALSE()),"")</f>
        <v>55</v>
      </c>
      <c r="Q1318" t="str">
        <f t="shared" si="20"/>
        <v>Jun-24</v>
      </c>
      <c r="R1318">
        <f>IFERROR((VLOOKUP(D1318,Products!$A:$E,5,FALSE())-VLOOKUP(D1318,Products!$A:$E,4,FALSE()))/VLOOKUP(D1318,Products!$A:$E,5,FALSE()),"")</f>
        <v>0.28269230769230769</v>
      </c>
    </row>
    <row r="1319" spans="1:18" x14ac:dyDescent="0.3">
      <c r="A1319" s="22" t="s">
        <v>3109</v>
      </c>
      <c r="B1319" s="23">
        <v>45565</v>
      </c>
      <c r="C1319" s="22" t="s">
        <v>844</v>
      </c>
      <c r="D1319" s="22" t="s">
        <v>108</v>
      </c>
      <c r="E1319" s="22" t="s">
        <v>3110</v>
      </c>
      <c r="F1319" s="24">
        <v>4</v>
      </c>
      <c r="G1319" s="24">
        <v>820</v>
      </c>
      <c r="H1319" s="24">
        <v>7.6</v>
      </c>
      <c r="I1319" s="24">
        <v>3030.72</v>
      </c>
      <c r="J1319" s="22" t="s">
        <v>104</v>
      </c>
      <c r="K1319" s="22" t="s">
        <v>129</v>
      </c>
      <c r="L1319" t="str">
        <f>VLOOKUP(D1319,Products!A:F,3,FALSE())</f>
        <v>Apparel</v>
      </c>
      <c r="M1319" t="str">
        <f>VLOOKUP(C1319,Customers!A:F,5,FALSE())</f>
        <v>Retail</v>
      </c>
      <c r="O1319" t="str">
        <f>IFERROR(VLOOKUP(E1319,Sales_Reps!$A:$C,3,FALSE()),"")</f>
        <v/>
      </c>
      <c r="P1319">
        <f>IFERROR(VLOOKUP(C1319,Customers!$A:$C,3,FALSE()),"")</f>
        <v>52</v>
      </c>
      <c r="Q1319" t="str">
        <f t="shared" si="20"/>
        <v>Sep-24</v>
      </c>
      <c r="R1319">
        <f>IFERROR((VLOOKUP(D1319,Products!$A:$E,5,FALSE())-VLOOKUP(D1319,Products!$A:$E,4,FALSE()))/VLOOKUP(D1319,Products!$A:$E,5,FALSE()),"")</f>
        <v>0.52317073170731709</v>
      </c>
    </row>
    <row r="1320" spans="1:18" x14ac:dyDescent="0.3">
      <c r="A1320" s="22" t="s">
        <v>3111</v>
      </c>
      <c r="B1320" s="23">
        <v>45443</v>
      </c>
      <c r="C1320" s="22" t="s">
        <v>2222</v>
      </c>
      <c r="D1320" s="22" t="s">
        <v>145</v>
      </c>
      <c r="E1320" s="22" t="s">
        <v>3112</v>
      </c>
      <c r="F1320" s="24">
        <v>1</v>
      </c>
      <c r="G1320" s="24">
        <v>970</v>
      </c>
      <c r="H1320" s="24">
        <v>1.7</v>
      </c>
      <c r="I1320" s="24">
        <v>953.51</v>
      </c>
      <c r="J1320" s="22" t="s">
        <v>104</v>
      </c>
      <c r="K1320" s="22" t="s">
        <v>129</v>
      </c>
      <c r="L1320" t="str">
        <f>VLOOKUP(D1320,Products!A:F,3,FALSE())</f>
        <v>Grocery</v>
      </c>
      <c r="M1320" t="str">
        <f>VLOOKUP(C1320,Customers!A:F,5,FALSE())</f>
        <v>Corporate</v>
      </c>
      <c r="O1320" t="str">
        <f>IFERROR(VLOOKUP(E1320,Sales_Reps!$A:$C,3,FALSE()),"")</f>
        <v/>
      </c>
      <c r="P1320">
        <f>IFERROR(VLOOKUP(C1320,Customers!$A:$C,3,FALSE()),"")</f>
        <v>42</v>
      </c>
      <c r="Q1320" t="str">
        <f t="shared" si="20"/>
        <v>May-24</v>
      </c>
      <c r="R1320">
        <f>IFERROR((VLOOKUP(D1320,Products!$A:$E,5,FALSE())-VLOOKUP(D1320,Products!$A:$E,4,FALSE()))/VLOOKUP(D1320,Products!$A:$E,5,FALSE()),"")</f>
        <v>0.5525773195876289</v>
      </c>
    </row>
    <row r="1321" spans="1:18" x14ac:dyDescent="0.3">
      <c r="A1321" s="22" t="s">
        <v>3113</v>
      </c>
      <c r="B1321" s="23">
        <v>45318</v>
      </c>
      <c r="C1321" s="22" t="s">
        <v>148</v>
      </c>
      <c r="D1321" s="22" t="s">
        <v>935</v>
      </c>
      <c r="E1321" s="22" t="s">
        <v>3114</v>
      </c>
      <c r="F1321" s="24">
        <v>5</v>
      </c>
      <c r="G1321" s="24">
        <v>3560</v>
      </c>
      <c r="H1321" s="24">
        <v>10.5</v>
      </c>
      <c r="I1321" s="24">
        <v>15931</v>
      </c>
      <c r="J1321" s="22" t="s">
        <v>104</v>
      </c>
      <c r="K1321" s="22" t="s">
        <v>151</v>
      </c>
      <c r="L1321" t="str">
        <f>VLOOKUP(D1321,Products!A:F,3,FALSE())</f>
        <v>Apparel</v>
      </c>
      <c r="M1321" t="str">
        <f>VLOOKUP(C1321,Customers!A:F,5,FALSE())</f>
        <v>Retail</v>
      </c>
      <c r="O1321" t="str">
        <f>IFERROR(VLOOKUP(E1321,Sales_Reps!$A:$C,3,FALSE()),"")</f>
        <v/>
      </c>
      <c r="P1321">
        <f>IFERROR(VLOOKUP(C1321,Customers!$A:$C,3,FALSE()),"")</f>
        <v>60</v>
      </c>
      <c r="Q1321" t="str">
        <f t="shared" si="20"/>
        <v>Jan-24</v>
      </c>
      <c r="R1321">
        <f>IFERROR((VLOOKUP(D1321,Products!$A:$E,5,FALSE())-VLOOKUP(D1321,Products!$A:$E,4,FALSE()))/VLOOKUP(D1321,Products!$A:$E,5,FALSE()),"")</f>
        <v>0.26151685393258428</v>
      </c>
    </row>
    <row r="1322" spans="1:18" x14ac:dyDescent="0.3">
      <c r="A1322" s="22" t="s">
        <v>3115</v>
      </c>
      <c r="B1322" s="23">
        <v>45308</v>
      </c>
      <c r="C1322" s="22" t="s">
        <v>439</v>
      </c>
      <c r="D1322" s="22" t="s">
        <v>674</v>
      </c>
      <c r="E1322" s="22" t="s">
        <v>3116</v>
      </c>
      <c r="F1322" s="24">
        <v>6</v>
      </c>
      <c r="G1322" s="24">
        <v>1090</v>
      </c>
      <c r="H1322" s="24">
        <v>2.4</v>
      </c>
      <c r="I1322" s="24">
        <v>6383.04</v>
      </c>
      <c r="J1322" s="22" t="s">
        <v>110</v>
      </c>
      <c r="K1322" s="22" t="s">
        <v>111</v>
      </c>
      <c r="L1322" t="str">
        <f>VLOOKUP(D1322,Products!A:F,3,FALSE())</f>
        <v>Home</v>
      </c>
      <c r="M1322" t="str">
        <f>VLOOKUP(C1322,Customers!A:F,5,FALSE())</f>
        <v>Retail</v>
      </c>
      <c r="O1322" t="str">
        <f>IFERROR(VLOOKUP(E1322,Sales_Reps!$A:$C,3,FALSE()),"")</f>
        <v/>
      </c>
      <c r="P1322">
        <f>IFERROR(VLOOKUP(C1322,Customers!$A:$C,3,FALSE()),"")</f>
        <v>60</v>
      </c>
      <c r="Q1322" t="str">
        <f t="shared" si="20"/>
        <v>Jan-24</v>
      </c>
      <c r="R1322">
        <f>IFERROR((VLOOKUP(D1322,Products!$A:$E,5,FALSE())-VLOOKUP(D1322,Products!$A:$E,4,FALSE()))/VLOOKUP(D1322,Products!$A:$E,5,FALSE()),"")</f>
        <v>0.57431192660550456</v>
      </c>
    </row>
    <row r="1323" spans="1:18" x14ac:dyDescent="0.3">
      <c r="A1323" s="22" t="s">
        <v>3117</v>
      </c>
      <c r="B1323" s="23">
        <v>45306</v>
      </c>
      <c r="C1323" s="22" t="s">
        <v>1018</v>
      </c>
      <c r="D1323" s="22" t="s">
        <v>334</v>
      </c>
      <c r="E1323" s="22" t="s">
        <v>3118</v>
      </c>
      <c r="F1323" s="24">
        <v>6</v>
      </c>
      <c r="G1323" s="24">
        <v>2660</v>
      </c>
      <c r="H1323" s="24">
        <v>6.4</v>
      </c>
      <c r="I1323" s="24">
        <v>14938.56</v>
      </c>
      <c r="J1323" s="22" t="s">
        <v>104</v>
      </c>
      <c r="K1323" s="22" t="s">
        <v>129</v>
      </c>
      <c r="L1323" t="str">
        <f>VLOOKUP(D1323,Products!A:F,3,FALSE())</f>
        <v>Electronics</v>
      </c>
      <c r="M1323" t="str">
        <f>VLOOKUP(C1323,Customers!A:F,5,FALSE())</f>
        <v>Retail</v>
      </c>
      <c r="O1323" t="str">
        <f>IFERROR(VLOOKUP(E1323,Sales_Reps!$A:$C,3,FALSE()),"")</f>
        <v/>
      </c>
      <c r="P1323">
        <f>IFERROR(VLOOKUP(C1323,Customers!$A:$C,3,FALSE()),"")</f>
        <v>33</v>
      </c>
      <c r="Q1323" t="str">
        <f t="shared" si="20"/>
        <v>Jan-24</v>
      </c>
      <c r="R1323">
        <f>IFERROR((VLOOKUP(D1323,Products!$A:$E,5,FALSE())-VLOOKUP(D1323,Products!$A:$E,4,FALSE()))/VLOOKUP(D1323,Products!$A:$E,5,FALSE()),"")</f>
        <v>0.52669172932330832</v>
      </c>
    </row>
    <row r="1324" spans="1:18" x14ac:dyDescent="0.3">
      <c r="A1324" s="22" t="s">
        <v>3119</v>
      </c>
      <c r="B1324" s="23">
        <v>45432</v>
      </c>
      <c r="C1324" s="22" t="s">
        <v>398</v>
      </c>
      <c r="D1324" s="22" t="s">
        <v>521</v>
      </c>
      <c r="E1324" s="22" t="s">
        <v>3120</v>
      </c>
      <c r="F1324" s="24">
        <v>5</v>
      </c>
      <c r="G1324" s="24">
        <v>3970</v>
      </c>
      <c r="H1324" s="24">
        <v>18.8</v>
      </c>
      <c r="I1324" s="24">
        <v>16118.2</v>
      </c>
      <c r="J1324" s="22" t="s">
        <v>110</v>
      </c>
      <c r="K1324" s="22" t="s">
        <v>151</v>
      </c>
      <c r="L1324" t="str">
        <f>VLOOKUP(D1324,Products!A:F,3,FALSE())</f>
        <v>Electronics</v>
      </c>
      <c r="M1324" t="str">
        <f>VLOOKUP(C1324,Customers!A:F,5,FALSE())</f>
        <v>Retail</v>
      </c>
      <c r="O1324" t="str">
        <f>IFERROR(VLOOKUP(E1324,Sales_Reps!$A:$C,3,FALSE()),"")</f>
        <v/>
      </c>
      <c r="P1324">
        <f>IFERROR(VLOOKUP(C1324,Customers!$A:$C,3,FALSE()),"")</f>
        <v>28</v>
      </c>
      <c r="Q1324" t="str">
        <f t="shared" si="20"/>
        <v>May-24</v>
      </c>
      <c r="R1324">
        <f>IFERROR((VLOOKUP(D1324,Products!$A:$E,5,FALSE())-VLOOKUP(D1324,Products!$A:$E,4,FALSE()))/VLOOKUP(D1324,Products!$A:$E,5,FALSE()),"")</f>
        <v>0.27833753148614609</v>
      </c>
    </row>
    <row r="1325" spans="1:18" x14ac:dyDescent="0.3">
      <c r="A1325" s="22" t="s">
        <v>3121</v>
      </c>
      <c r="B1325" s="23">
        <v>45369</v>
      </c>
      <c r="C1325" s="22" t="s">
        <v>416</v>
      </c>
      <c r="D1325" s="22" t="s">
        <v>695</v>
      </c>
      <c r="E1325" s="22" t="s">
        <v>3122</v>
      </c>
      <c r="F1325" s="24">
        <v>7</v>
      </c>
      <c r="G1325" s="24">
        <v>6940</v>
      </c>
      <c r="H1325" s="24">
        <v>23.8</v>
      </c>
      <c r="I1325" s="24">
        <v>37017.96</v>
      </c>
      <c r="J1325" s="22" t="s">
        <v>164</v>
      </c>
      <c r="K1325" s="22" t="s">
        <v>129</v>
      </c>
      <c r="L1325" t="str">
        <f>VLOOKUP(D1325,Products!A:F,3,FALSE())</f>
        <v>Sports</v>
      </c>
      <c r="M1325" t="str">
        <f>VLOOKUP(C1325,Customers!A:F,5,FALSE())</f>
        <v>Retail</v>
      </c>
      <c r="O1325" t="str">
        <f>IFERROR(VLOOKUP(E1325,Sales_Reps!$A:$C,3,FALSE()),"")</f>
        <v/>
      </c>
      <c r="P1325">
        <f>IFERROR(VLOOKUP(C1325,Customers!$A:$C,3,FALSE()),"")</f>
        <v>49</v>
      </c>
      <c r="Q1325" t="str">
        <f t="shared" si="20"/>
        <v>Mar-24</v>
      </c>
      <c r="R1325">
        <f>IFERROR((VLOOKUP(D1325,Products!$A:$E,5,FALSE())-VLOOKUP(D1325,Products!$A:$E,4,FALSE()))/VLOOKUP(D1325,Products!$A:$E,5,FALSE()),"")</f>
        <v>0.5926512968299712</v>
      </c>
    </row>
    <row r="1326" spans="1:18" x14ac:dyDescent="0.3">
      <c r="A1326" s="22" t="s">
        <v>3123</v>
      </c>
      <c r="B1326" s="23">
        <v>45544</v>
      </c>
      <c r="C1326" s="22" t="s">
        <v>906</v>
      </c>
      <c r="D1326" s="22" t="s">
        <v>171</v>
      </c>
      <c r="E1326" s="22" t="s">
        <v>3124</v>
      </c>
      <c r="F1326" s="24">
        <v>3</v>
      </c>
      <c r="G1326" s="24">
        <v>2400</v>
      </c>
      <c r="H1326" s="24">
        <v>9.8000000000000007</v>
      </c>
      <c r="I1326" s="24">
        <v>6494.4</v>
      </c>
      <c r="J1326" s="22" t="s">
        <v>104</v>
      </c>
      <c r="K1326" s="22" t="s">
        <v>129</v>
      </c>
      <c r="L1326" t="str">
        <f>VLOOKUP(D1326,Products!A:F,3,FALSE())</f>
        <v>Sports</v>
      </c>
      <c r="M1326" t="str">
        <f>VLOOKUP(C1326,Customers!A:F,5,FALSE())</f>
        <v>SMB</v>
      </c>
      <c r="O1326" t="str">
        <f>IFERROR(VLOOKUP(E1326,Sales_Reps!$A:$C,3,FALSE()),"")</f>
        <v/>
      </c>
      <c r="P1326">
        <f>IFERROR(VLOOKUP(C1326,Customers!$A:$C,3,FALSE()),"")</f>
        <v>27</v>
      </c>
      <c r="Q1326" t="str">
        <f t="shared" si="20"/>
        <v>Sep-24</v>
      </c>
      <c r="R1326">
        <f>IFERROR((VLOOKUP(D1326,Products!$A:$E,5,FALSE())-VLOOKUP(D1326,Products!$A:$E,4,FALSE()))/VLOOKUP(D1326,Products!$A:$E,5,FALSE()),"")</f>
        <v>0.59416666666666662</v>
      </c>
    </row>
    <row r="1327" spans="1:18" x14ac:dyDescent="0.3">
      <c r="A1327" s="22" t="s">
        <v>3125</v>
      </c>
      <c r="B1327" s="23">
        <v>45395</v>
      </c>
      <c r="C1327" s="22" t="s">
        <v>2015</v>
      </c>
      <c r="D1327" s="22" t="s">
        <v>182</v>
      </c>
      <c r="E1327" s="22" t="s">
        <v>3126</v>
      </c>
      <c r="F1327" s="24">
        <v>8</v>
      </c>
      <c r="G1327" s="24">
        <v>3450</v>
      </c>
      <c r="H1327" s="24">
        <v>26.6</v>
      </c>
      <c r="I1327" s="24">
        <v>20258.400000000001</v>
      </c>
      <c r="J1327" s="22" t="s">
        <v>159</v>
      </c>
      <c r="K1327" s="22" t="s">
        <v>105</v>
      </c>
      <c r="L1327" t="str">
        <f>VLOOKUP(D1327,Products!A:F,3,FALSE())</f>
        <v>Sports</v>
      </c>
      <c r="M1327" t="str">
        <f>VLOOKUP(C1327,Customers!A:F,5,FALSE())</f>
        <v>Retail</v>
      </c>
      <c r="O1327" t="str">
        <f>IFERROR(VLOOKUP(E1327,Sales_Reps!$A:$C,3,FALSE()),"")</f>
        <v/>
      </c>
      <c r="P1327">
        <f>IFERROR(VLOOKUP(C1327,Customers!$A:$C,3,FALSE()),"")</f>
        <v>44</v>
      </c>
      <c r="Q1327" t="str">
        <f t="shared" si="20"/>
        <v>Apr-24</v>
      </c>
      <c r="R1327">
        <f>IFERROR((VLOOKUP(D1327,Products!$A:$E,5,FALSE())-VLOOKUP(D1327,Products!$A:$E,4,FALSE()))/VLOOKUP(D1327,Products!$A:$E,5,FALSE()),"")</f>
        <v>0.28492753623188405</v>
      </c>
    </row>
    <row r="1328" spans="1:18" x14ac:dyDescent="0.3">
      <c r="A1328" s="22" t="s">
        <v>3127</v>
      </c>
      <c r="B1328" s="23">
        <v>45389</v>
      </c>
      <c r="C1328" s="22" t="s">
        <v>573</v>
      </c>
      <c r="D1328" s="22" t="s">
        <v>319</v>
      </c>
      <c r="E1328" s="22" t="s">
        <v>3128</v>
      </c>
      <c r="F1328" s="24">
        <v>4</v>
      </c>
      <c r="G1328" s="24">
        <v>1220</v>
      </c>
      <c r="H1328" s="24">
        <v>5.5</v>
      </c>
      <c r="I1328" s="24">
        <v>4611.6000000000004</v>
      </c>
      <c r="J1328" s="22" t="s">
        <v>104</v>
      </c>
      <c r="K1328" s="22" t="s">
        <v>105</v>
      </c>
      <c r="L1328" t="str">
        <f>VLOOKUP(D1328,Products!A:F,3,FALSE())</f>
        <v>Electronics</v>
      </c>
      <c r="M1328" t="str">
        <f>VLOOKUP(C1328,Customers!A:F,5,FALSE())</f>
        <v>SMB</v>
      </c>
      <c r="O1328" t="str">
        <f>IFERROR(VLOOKUP(E1328,Sales_Reps!$A:$C,3,FALSE()),"")</f>
        <v/>
      </c>
      <c r="P1328">
        <f>IFERROR(VLOOKUP(C1328,Customers!$A:$C,3,FALSE()),"")</f>
        <v>30</v>
      </c>
      <c r="Q1328" t="str">
        <f t="shared" si="20"/>
        <v>Apr-24</v>
      </c>
      <c r="R1328">
        <f>IFERROR((VLOOKUP(D1328,Products!$A:$E,5,FALSE())-VLOOKUP(D1328,Products!$A:$E,4,FALSE()))/VLOOKUP(D1328,Products!$A:$E,5,FALSE()),"")</f>
        <v>0.57622950819672136</v>
      </c>
    </row>
    <row r="1329" spans="1:18" x14ac:dyDescent="0.3">
      <c r="A1329" s="22" t="s">
        <v>3129</v>
      </c>
      <c r="B1329" s="23">
        <v>45536</v>
      </c>
      <c r="C1329" s="22" t="s">
        <v>3130</v>
      </c>
      <c r="D1329" s="22" t="s">
        <v>352</v>
      </c>
      <c r="E1329" s="22" t="s">
        <v>3131</v>
      </c>
      <c r="F1329" s="24">
        <v>1</v>
      </c>
      <c r="G1329" s="24">
        <v>620</v>
      </c>
      <c r="H1329" s="24">
        <v>22.3</v>
      </c>
      <c r="I1329" s="24">
        <v>481.74</v>
      </c>
      <c r="J1329" s="22" t="s">
        <v>110</v>
      </c>
      <c r="K1329" s="22" t="s">
        <v>116</v>
      </c>
      <c r="L1329" t="str">
        <f>VLOOKUP(D1329,Products!A:F,3,FALSE())</f>
        <v>Apparel</v>
      </c>
      <c r="M1329" t="str">
        <f>VLOOKUP(C1329,Customers!A:F,5,FALSE())</f>
        <v>Retail</v>
      </c>
      <c r="O1329" t="str">
        <f>IFERROR(VLOOKUP(E1329,Sales_Reps!$A:$C,3,FALSE()),"")</f>
        <v/>
      </c>
      <c r="P1329">
        <f>IFERROR(VLOOKUP(C1329,Customers!$A:$C,3,FALSE()),"")</f>
        <v>62</v>
      </c>
      <c r="Q1329" t="str">
        <f t="shared" si="20"/>
        <v>Sep-24</v>
      </c>
      <c r="R1329">
        <f>IFERROR((VLOOKUP(D1329,Products!$A:$E,5,FALSE())-VLOOKUP(D1329,Products!$A:$E,4,FALSE()))/VLOOKUP(D1329,Products!$A:$E,5,FALSE()),"")</f>
        <v>0.36129032258064514</v>
      </c>
    </row>
    <row r="1330" spans="1:18" x14ac:dyDescent="0.3">
      <c r="A1330" s="22" t="s">
        <v>3132</v>
      </c>
      <c r="B1330" s="23">
        <v>45348</v>
      </c>
      <c r="C1330" s="22" t="s">
        <v>271</v>
      </c>
      <c r="D1330" s="22" t="s">
        <v>338</v>
      </c>
      <c r="E1330" s="22" t="s">
        <v>3133</v>
      </c>
      <c r="F1330" s="24">
        <v>1</v>
      </c>
      <c r="G1330" s="24">
        <v>300</v>
      </c>
      <c r="H1330" s="24">
        <v>12.5</v>
      </c>
      <c r="I1330" s="24">
        <v>262.5</v>
      </c>
      <c r="J1330" s="22" t="s">
        <v>104</v>
      </c>
      <c r="K1330" s="22" t="s">
        <v>134</v>
      </c>
      <c r="L1330" t="str">
        <f>VLOOKUP(D1330,Products!A:F,3,FALSE())</f>
        <v>Electronics</v>
      </c>
      <c r="M1330" t="str">
        <f>VLOOKUP(C1330,Customers!A:F,5,FALSE())</f>
        <v>SMB</v>
      </c>
      <c r="O1330" t="str">
        <f>IFERROR(VLOOKUP(E1330,Sales_Reps!$A:$C,3,FALSE()),"")</f>
        <v/>
      </c>
      <c r="P1330">
        <f>IFERROR(VLOOKUP(C1330,Customers!$A:$C,3,FALSE()),"")</f>
        <v>64</v>
      </c>
      <c r="Q1330" t="str">
        <f t="shared" si="20"/>
        <v>Feb-24</v>
      </c>
      <c r="R1330">
        <f>IFERROR((VLOOKUP(D1330,Products!$A:$E,5,FALSE())-VLOOKUP(D1330,Products!$A:$E,4,FALSE()))/VLOOKUP(D1330,Products!$A:$E,5,FALSE()),"")</f>
        <v>0.57333333333333336</v>
      </c>
    </row>
    <row r="1331" spans="1:18" x14ac:dyDescent="0.3">
      <c r="A1331" s="22" t="s">
        <v>3134</v>
      </c>
      <c r="B1331" s="23">
        <v>45502</v>
      </c>
      <c r="C1331" s="22" t="s">
        <v>1359</v>
      </c>
      <c r="D1331" s="22" t="s">
        <v>209</v>
      </c>
      <c r="E1331" s="22" t="s">
        <v>3135</v>
      </c>
      <c r="F1331" s="24">
        <v>3</v>
      </c>
      <c r="G1331" s="24">
        <v>1010</v>
      </c>
      <c r="H1331" s="24">
        <v>14.1</v>
      </c>
      <c r="I1331" s="24">
        <v>2602.77</v>
      </c>
      <c r="J1331" s="22" t="s">
        <v>104</v>
      </c>
      <c r="K1331" s="22" t="s">
        <v>134</v>
      </c>
      <c r="L1331" t="str">
        <f>VLOOKUP(D1331,Products!A:F,3,FALSE())</f>
        <v>Sports</v>
      </c>
      <c r="M1331" t="str">
        <f>VLOOKUP(C1331,Customers!A:F,5,FALSE())</f>
        <v>Retail</v>
      </c>
      <c r="O1331" t="str">
        <f>IFERROR(VLOOKUP(E1331,Sales_Reps!$A:$C,3,FALSE()),"")</f>
        <v/>
      </c>
      <c r="P1331">
        <f>IFERROR(VLOOKUP(C1331,Customers!$A:$C,3,FALSE()),"")</f>
        <v>35</v>
      </c>
      <c r="Q1331" t="str">
        <f t="shared" si="20"/>
        <v>Jul-24</v>
      </c>
      <c r="R1331">
        <f>IFERROR((VLOOKUP(D1331,Products!$A:$E,5,FALSE())-VLOOKUP(D1331,Products!$A:$E,4,FALSE()))/VLOOKUP(D1331,Products!$A:$E,5,FALSE()),"")</f>
        <v>0.4891089108910891</v>
      </c>
    </row>
    <row r="1332" spans="1:18" x14ac:dyDescent="0.3">
      <c r="A1332" s="22" t="s">
        <v>3136</v>
      </c>
      <c r="B1332" s="23">
        <v>45600</v>
      </c>
      <c r="C1332" s="22" t="s">
        <v>1175</v>
      </c>
      <c r="D1332" s="22" t="s">
        <v>577</v>
      </c>
      <c r="E1332" s="22" t="s">
        <v>3137</v>
      </c>
      <c r="F1332" s="24">
        <v>2</v>
      </c>
      <c r="G1332" s="24">
        <v>5080</v>
      </c>
      <c r="H1332" s="24">
        <v>16.8</v>
      </c>
      <c r="I1332" s="24">
        <v>8453.1200000000008</v>
      </c>
      <c r="J1332" s="22" t="s">
        <v>104</v>
      </c>
      <c r="K1332" s="22" t="s">
        <v>116</v>
      </c>
      <c r="L1332" t="str">
        <f>VLOOKUP(D1332,Products!A:F,3,FALSE())</f>
        <v>Home</v>
      </c>
      <c r="M1332" t="str">
        <f>VLOOKUP(C1332,Customers!A:F,5,FALSE())</f>
        <v>Retail</v>
      </c>
      <c r="O1332" t="str">
        <f>IFERROR(VLOOKUP(E1332,Sales_Reps!$A:$C,3,FALSE()),"")</f>
        <v/>
      </c>
      <c r="P1332">
        <f>IFERROR(VLOOKUP(C1332,Customers!$A:$C,3,FALSE()),"")</f>
        <v>63</v>
      </c>
      <c r="Q1332" t="str">
        <f t="shared" si="20"/>
        <v>Nov-24</v>
      </c>
      <c r="R1332">
        <f>IFERROR((VLOOKUP(D1332,Products!$A:$E,5,FALSE())-VLOOKUP(D1332,Products!$A:$E,4,FALSE()))/VLOOKUP(D1332,Products!$A:$E,5,FALSE()),"")</f>
        <v>0.51594488188976373</v>
      </c>
    </row>
    <row r="1333" spans="1:18" x14ac:dyDescent="0.3">
      <c r="A1333" s="22" t="s">
        <v>3138</v>
      </c>
      <c r="B1333" s="23">
        <v>45416</v>
      </c>
      <c r="C1333" s="22" t="s">
        <v>200</v>
      </c>
      <c r="D1333" s="22" t="s">
        <v>123</v>
      </c>
      <c r="E1333" s="22" t="s">
        <v>3139</v>
      </c>
      <c r="F1333" s="24">
        <v>2</v>
      </c>
      <c r="G1333" s="24">
        <v>3160</v>
      </c>
      <c r="H1333" s="24">
        <v>21.4</v>
      </c>
      <c r="I1333" s="24">
        <v>4967.5200000000004</v>
      </c>
      <c r="J1333" s="22" t="s">
        <v>104</v>
      </c>
      <c r="K1333" s="22" t="s">
        <v>3140</v>
      </c>
      <c r="L1333" t="str">
        <f>VLOOKUP(D1333,Products!A:F,3,FALSE())</f>
        <v>Apparel</v>
      </c>
      <c r="M1333" t="str">
        <f>VLOOKUP(C1333,Customers!A:F,5,FALSE())</f>
        <v>SMB</v>
      </c>
      <c r="O1333" t="str">
        <f>IFERROR(VLOOKUP(E1333,Sales_Reps!$A:$C,3,FALSE()),"")</f>
        <v/>
      </c>
      <c r="P1333">
        <f>IFERROR(VLOOKUP(C1333,Customers!$A:$C,3,FALSE()),"")</f>
        <v>40</v>
      </c>
      <c r="Q1333" t="str">
        <f t="shared" si="20"/>
        <v>May-24</v>
      </c>
      <c r="R1333">
        <f>IFERROR((VLOOKUP(D1333,Products!$A:$E,5,FALSE())-VLOOKUP(D1333,Products!$A:$E,4,FALSE()))/VLOOKUP(D1333,Products!$A:$E,5,FALSE()),"")</f>
        <v>0.4031645569620253</v>
      </c>
    </row>
    <row r="1334" spans="1:18" x14ac:dyDescent="0.3">
      <c r="A1334" s="22" t="s">
        <v>3141</v>
      </c>
      <c r="B1334" s="23">
        <v>45535</v>
      </c>
      <c r="C1334" s="22" t="s">
        <v>1568</v>
      </c>
      <c r="D1334" s="22" t="s">
        <v>178</v>
      </c>
      <c r="E1334" s="22" t="s">
        <v>3142</v>
      </c>
      <c r="F1334" s="24">
        <v>7</v>
      </c>
      <c r="G1334" s="24">
        <v>3450</v>
      </c>
      <c r="H1334" s="24">
        <v>21.3</v>
      </c>
      <c r="I1334" s="24">
        <v>19006.05</v>
      </c>
      <c r="J1334" s="22" t="s">
        <v>104</v>
      </c>
      <c r="K1334" s="22" t="s">
        <v>134</v>
      </c>
      <c r="L1334" t="str">
        <f>VLOOKUP(D1334,Products!A:F,3,FALSE())</f>
        <v>Beauty</v>
      </c>
      <c r="M1334" t="str">
        <f>VLOOKUP(C1334,Customers!A:F,5,FALSE())</f>
        <v>SMB</v>
      </c>
      <c r="O1334" t="str">
        <f>IFERROR(VLOOKUP(E1334,Sales_Reps!$A:$C,3,FALSE()),"")</f>
        <v/>
      </c>
      <c r="P1334">
        <f>IFERROR(VLOOKUP(C1334,Customers!$A:$C,3,FALSE()),"")</f>
        <v>49</v>
      </c>
      <c r="Q1334" t="str">
        <f t="shared" si="20"/>
        <v>Aug-24</v>
      </c>
      <c r="R1334">
        <f>IFERROR((VLOOKUP(D1334,Products!$A:$E,5,FALSE())-VLOOKUP(D1334,Products!$A:$E,4,FALSE()))/VLOOKUP(D1334,Products!$A:$E,5,FALSE()),"")</f>
        <v>0.29855072463768118</v>
      </c>
    </row>
    <row r="1335" spans="1:18" x14ac:dyDescent="0.3">
      <c r="A1335" s="22" t="s">
        <v>3143</v>
      </c>
      <c r="B1335" s="23">
        <v>45322</v>
      </c>
      <c r="C1335" s="22" t="s">
        <v>783</v>
      </c>
      <c r="D1335" s="22" t="s">
        <v>455</v>
      </c>
      <c r="E1335" s="22" t="s">
        <v>3144</v>
      </c>
      <c r="F1335" s="24">
        <v>2</v>
      </c>
      <c r="G1335" s="24">
        <v>5330</v>
      </c>
      <c r="H1335" s="24">
        <v>4.3</v>
      </c>
      <c r="I1335" s="24">
        <v>10201.620000000001</v>
      </c>
      <c r="J1335" s="22" t="s">
        <v>104</v>
      </c>
      <c r="K1335" s="22" t="s">
        <v>116</v>
      </c>
      <c r="L1335" t="str">
        <f>VLOOKUP(D1335,Products!A:F,3,FALSE())</f>
        <v>Electronics</v>
      </c>
      <c r="M1335" t="str">
        <f>VLOOKUP(C1335,Customers!A:F,5,FALSE())</f>
        <v>Corporate</v>
      </c>
      <c r="O1335" t="str">
        <f>IFERROR(VLOOKUP(E1335,Sales_Reps!$A:$C,3,FALSE()),"")</f>
        <v/>
      </c>
      <c r="P1335">
        <f>IFERROR(VLOOKUP(C1335,Customers!$A:$C,3,FALSE()),"")</f>
        <v>47</v>
      </c>
      <c r="Q1335" t="str">
        <f t="shared" si="20"/>
        <v>Jan-24</v>
      </c>
      <c r="R1335">
        <f>IFERROR((VLOOKUP(D1335,Products!$A:$E,5,FALSE())-VLOOKUP(D1335,Products!$A:$E,4,FALSE()))/VLOOKUP(D1335,Products!$A:$E,5,FALSE()),"")</f>
        <v>0.54878048780487809</v>
      </c>
    </row>
    <row r="1336" spans="1:18" x14ac:dyDescent="0.3">
      <c r="A1336" s="22" t="s">
        <v>3145</v>
      </c>
      <c r="B1336" s="23">
        <v>45626</v>
      </c>
      <c r="C1336" s="22" t="s">
        <v>855</v>
      </c>
      <c r="D1336" s="22" t="s">
        <v>695</v>
      </c>
      <c r="E1336" s="22" t="s">
        <v>3146</v>
      </c>
      <c r="F1336" s="24">
        <v>5</v>
      </c>
      <c r="G1336" s="24">
        <v>6940</v>
      </c>
      <c r="H1336" s="24">
        <v>2.9</v>
      </c>
      <c r="I1336" s="24">
        <v>33693.699999999997</v>
      </c>
      <c r="J1336" s="22" t="s">
        <v>104</v>
      </c>
      <c r="K1336" s="22" t="s">
        <v>129</v>
      </c>
      <c r="L1336" t="str">
        <f>VLOOKUP(D1336,Products!A:F,3,FALSE())</f>
        <v>Sports</v>
      </c>
      <c r="M1336" t="str">
        <f>VLOOKUP(C1336,Customers!A:F,5,FALSE())</f>
        <v>Retail</v>
      </c>
      <c r="O1336" t="str">
        <f>IFERROR(VLOOKUP(E1336,Sales_Reps!$A:$C,3,FALSE()),"")</f>
        <v/>
      </c>
      <c r="P1336">
        <f>IFERROR(VLOOKUP(C1336,Customers!$A:$C,3,FALSE()),"")</f>
        <v>44</v>
      </c>
      <c r="Q1336" t="str">
        <f t="shared" si="20"/>
        <v>Nov-24</v>
      </c>
      <c r="R1336">
        <f>IFERROR((VLOOKUP(D1336,Products!$A:$E,5,FALSE())-VLOOKUP(D1336,Products!$A:$E,4,FALSE()))/VLOOKUP(D1336,Products!$A:$E,5,FALSE()),"")</f>
        <v>0.5926512968299712</v>
      </c>
    </row>
    <row r="1337" spans="1:18" x14ac:dyDescent="0.3">
      <c r="A1337" s="22" t="s">
        <v>3147</v>
      </c>
      <c r="B1337" s="23">
        <v>45534</v>
      </c>
      <c r="C1337" s="22" t="s">
        <v>841</v>
      </c>
      <c r="D1337" s="22" t="s">
        <v>234</v>
      </c>
      <c r="E1337" s="22" t="s">
        <v>3148</v>
      </c>
      <c r="F1337" s="24">
        <v>5</v>
      </c>
      <c r="G1337" s="24">
        <v>660</v>
      </c>
      <c r="H1337" s="24">
        <v>15.8</v>
      </c>
      <c r="I1337" s="24">
        <v>2778.6</v>
      </c>
      <c r="J1337" s="22" t="s">
        <v>104</v>
      </c>
      <c r="K1337" s="22" t="s">
        <v>134</v>
      </c>
      <c r="L1337" t="str">
        <f>VLOOKUP(D1337,Products!A:F,3,FALSE())</f>
        <v>Home</v>
      </c>
      <c r="M1337" t="str">
        <f>VLOOKUP(C1337,Customers!A:F,5,FALSE())</f>
        <v>Retail</v>
      </c>
      <c r="O1337" t="str">
        <f>IFERROR(VLOOKUP(E1337,Sales_Reps!$A:$C,3,FALSE()),"")</f>
        <v/>
      </c>
      <c r="P1337">
        <f>IFERROR(VLOOKUP(C1337,Customers!$A:$C,3,FALSE()),"")</f>
        <v>34</v>
      </c>
      <c r="Q1337" t="str">
        <f t="shared" si="20"/>
        <v>Aug-24</v>
      </c>
      <c r="R1337">
        <f>IFERROR((VLOOKUP(D1337,Products!$A:$E,5,FALSE())-VLOOKUP(D1337,Products!$A:$E,4,FALSE()))/VLOOKUP(D1337,Products!$A:$E,5,FALSE()),"")</f>
        <v>0.50151515151515147</v>
      </c>
    </row>
    <row r="1338" spans="1:18" x14ac:dyDescent="0.3">
      <c r="A1338" s="22" t="s">
        <v>3149</v>
      </c>
      <c r="B1338" s="23">
        <v>45519</v>
      </c>
      <c r="C1338" s="22" t="s">
        <v>1513</v>
      </c>
      <c r="D1338" s="22" t="s">
        <v>220</v>
      </c>
      <c r="E1338" s="22" t="s">
        <v>3150</v>
      </c>
      <c r="F1338" s="24">
        <v>9</v>
      </c>
      <c r="G1338" s="24">
        <v>5100</v>
      </c>
      <c r="H1338" s="24">
        <v>0.4</v>
      </c>
      <c r="I1338" s="24">
        <v>45716.4</v>
      </c>
      <c r="J1338" s="22" t="s">
        <v>104</v>
      </c>
      <c r="K1338" s="22" t="s">
        <v>111</v>
      </c>
      <c r="L1338" t="str">
        <f>VLOOKUP(D1338,Products!A:F,3,FALSE())</f>
        <v>Beauty</v>
      </c>
      <c r="M1338" t="str">
        <f>VLOOKUP(C1338,Customers!A:F,5,FALSE())</f>
        <v>Corporate</v>
      </c>
      <c r="O1338" t="str">
        <f>IFERROR(VLOOKUP(E1338,Sales_Reps!$A:$C,3,FALSE()),"")</f>
        <v/>
      </c>
      <c r="P1338">
        <f>IFERROR(VLOOKUP(C1338,Customers!$A:$C,3,FALSE()),"")</f>
        <v>52</v>
      </c>
      <c r="Q1338" t="str">
        <f t="shared" si="20"/>
        <v>Aug-24</v>
      </c>
      <c r="R1338">
        <f>IFERROR((VLOOKUP(D1338,Products!$A:$E,5,FALSE())-VLOOKUP(D1338,Products!$A:$E,4,FALSE()))/VLOOKUP(D1338,Products!$A:$E,5,FALSE()),"")</f>
        <v>0.56137254901960787</v>
      </c>
    </row>
    <row r="1339" spans="1:18" x14ac:dyDescent="0.3">
      <c r="A1339" s="22" t="s">
        <v>3151</v>
      </c>
      <c r="B1339" s="23">
        <v>45315</v>
      </c>
      <c r="C1339" s="22" t="s">
        <v>3152</v>
      </c>
      <c r="D1339" s="22" t="s">
        <v>201</v>
      </c>
      <c r="E1339" s="22" t="s">
        <v>3153</v>
      </c>
      <c r="F1339" s="24">
        <v>5</v>
      </c>
      <c r="G1339" s="24">
        <v>1650</v>
      </c>
      <c r="H1339" s="24">
        <v>0.8</v>
      </c>
      <c r="I1339" s="24">
        <v>8184</v>
      </c>
      <c r="J1339" s="22" t="s">
        <v>110</v>
      </c>
      <c r="K1339" s="22" t="s">
        <v>111</v>
      </c>
      <c r="L1339" t="str">
        <f>VLOOKUP(D1339,Products!A:F,3,FALSE())</f>
        <v>Beauty</v>
      </c>
      <c r="M1339" t="e">
        <f>VLOOKUP(C1339,Customers!A:F,5,FALSE())</f>
        <v>#N/A</v>
      </c>
      <c r="O1339" t="str">
        <f>IFERROR(VLOOKUP(E1339,Sales_Reps!$A:$C,3,FALSE()),"")</f>
        <v/>
      </c>
      <c r="P1339" t="str">
        <f>IFERROR(VLOOKUP(C1339,Customers!$A:$C,3,FALSE()),"")</f>
        <v/>
      </c>
      <c r="Q1339" t="str">
        <f t="shared" si="20"/>
        <v>Jan-24</v>
      </c>
      <c r="R1339">
        <f>IFERROR((VLOOKUP(D1339,Products!$A:$E,5,FALSE())-VLOOKUP(D1339,Products!$A:$E,4,FALSE()))/VLOOKUP(D1339,Products!$A:$E,5,FALSE()),"")</f>
        <v>0.2593939393939394</v>
      </c>
    </row>
    <row r="1340" spans="1:18" x14ac:dyDescent="0.3">
      <c r="A1340" s="22" t="s">
        <v>3154</v>
      </c>
      <c r="B1340" s="23">
        <v>45566</v>
      </c>
      <c r="C1340" s="22" t="s">
        <v>1035</v>
      </c>
      <c r="D1340" s="22" t="s">
        <v>279</v>
      </c>
      <c r="E1340" s="22" t="s">
        <v>3155</v>
      </c>
      <c r="F1340" s="24">
        <v>7</v>
      </c>
      <c r="G1340" s="24">
        <v>3640</v>
      </c>
      <c r="H1340" s="24">
        <v>25.5</v>
      </c>
      <c r="I1340" s="24">
        <v>18982.599999999999</v>
      </c>
      <c r="J1340" s="22" t="s">
        <v>104</v>
      </c>
      <c r="K1340" s="22" t="s">
        <v>111</v>
      </c>
      <c r="L1340" t="str">
        <f>VLOOKUP(D1340,Products!A:F,3,FALSE())</f>
        <v>Apparel</v>
      </c>
      <c r="M1340" t="str">
        <f>VLOOKUP(C1340,Customers!A:F,5,FALSE())</f>
        <v>Retail</v>
      </c>
      <c r="O1340" t="str">
        <f>IFERROR(VLOOKUP(E1340,Sales_Reps!$A:$C,3,FALSE()),"")</f>
        <v/>
      </c>
      <c r="P1340">
        <f>IFERROR(VLOOKUP(C1340,Customers!$A:$C,3,FALSE()),"")</f>
        <v>24</v>
      </c>
      <c r="Q1340" t="str">
        <f t="shared" si="20"/>
        <v>Oct-24</v>
      </c>
      <c r="R1340">
        <f>IFERROR((VLOOKUP(D1340,Products!$A:$E,5,FALSE())-VLOOKUP(D1340,Products!$A:$E,4,FALSE()))/VLOOKUP(D1340,Products!$A:$E,5,FALSE()),"")</f>
        <v>0.28269230769230769</v>
      </c>
    </row>
    <row r="1341" spans="1:18" x14ac:dyDescent="0.3">
      <c r="A1341" s="22" t="s">
        <v>3156</v>
      </c>
      <c r="B1341" s="23">
        <v>45643</v>
      </c>
      <c r="C1341" s="22" t="s">
        <v>278</v>
      </c>
      <c r="D1341" s="22" t="s">
        <v>212</v>
      </c>
      <c r="E1341" s="22" t="s">
        <v>3157</v>
      </c>
      <c r="F1341" s="24">
        <v>6</v>
      </c>
      <c r="G1341" s="24">
        <v>4880</v>
      </c>
      <c r="H1341" s="24">
        <v>12.6</v>
      </c>
      <c r="I1341" s="24">
        <v>25590.720000000001</v>
      </c>
      <c r="J1341" s="22" t="s">
        <v>159</v>
      </c>
      <c r="K1341" s="22" t="s">
        <v>151</v>
      </c>
      <c r="L1341" t="str">
        <f>VLOOKUP(D1341,Products!A:F,3,FALSE())</f>
        <v>Beauty</v>
      </c>
      <c r="M1341" t="str">
        <f>VLOOKUP(C1341,Customers!A:F,5,FALSE())</f>
        <v>Retail</v>
      </c>
      <c r="O1341" t="str">
        <f>IFERROR(VLOOKUP(E1341,Sales_Reps!$A:$C,3,FALSE()),"")</f>
        <v/>
      </c>
      <c r="P1341">
        <f>IFERROR(VLOOKUP(C1341,Customers!$A:$C,3,FALSE()),"")</f>
        <v>64</v>
      </c>
      <c r="Q1341" t="str">
        <f t="shared" si="20"/>
        <v>Dec-24</v>
      </c>
      <c r="R1341">
        <f>IFERROR((VLOOKUP(D1341,Products!$A:$E,5,FALSE())-VLOOKUP(D1341,Products!$A:$E,4,FALSE()))/VLOOKUP(D1341,Products!$A:$E,5,FALSE()),"")</f>
        <v>0.43278688524590164</v>
      </c>
    </row>
    <row r="1342" spans="1:18" x14ac:dyDescent="0.3">
      <c r="A1342" s="22" t="s">
        <v>3158</v>
      </c>
      <c r="B1342" s="23">
        <v>45422</v>
      </c>
      <c r="C1342" s="22" t="s">
        <v>1359</v>
      </c>
      <c r="D1342" s="22" t="s">
        <v>455</v>
      </c>
      <c r="E1342" s="22" t="s">
        <v>3159</v>
      </c>
      <c r="F1342" s="24">
        <v>4</v>
      </c>
      <c r="G1342" s="24">
        <v>5330</v>
      </c>
      <c r="H1342" s="24">
        <v>16.2</v>
      </c>
      <c r="I1342" s="24">
        <v>17866.16</v>
      </c>
      <c r="J1342" s="22" t="s">
        <v>104</v>
      </c>
      <c r="K1342" s="22" t="s">
        <v>134</v>
      </c>
      <c r="L1342" t="str">
        <f>VLOOKUP(D1342,Products!A:F,3,FALSE())</f>
        <v>Electronics</v>
      </c>
      <c r="M1342" t="str">
        <f>VLOOKUP(C1342,Customers!A:F,5,FALSE())</f>
        <v>Retail</v>
      </c>
      <c r="O1342" t="str">
        <f>IFERROR(VLOOKUP(E1342,Sales_Reps!$A:$C,3,FALSE()),"")</f>
        <v/>
      </c>
      <c r="P1342">
        <f>IFERROR(VLOOKUP(C1342,Customers!$A:$C,3,FALSE()),"")</f>
        <v>35</v>
      </c>
      <c r="Q1342" t="str">
        <f t="shared" si="20"/>
        <v>May-24</v>
      </c>
      <c r="R1342">
        <f>IFERROR((VLOOKUP(D1342,Products!$A:$E,5,FALSE())-VLOOKUP(D1342,Products!$A:$E,4,FALSE()))/VLOOKUP(D1342,Products!$A:$E,5,FALSE()),"")</f>
        <v>0.54878048780487809</v>
      </c>
    </row>
    <row r="1343" spans="1:18" x14ac:dyDescent="0.3">
      <c r="A1343" s="22" t="s">
        <v>3160</v>
      </c>
      <c r="B1343" s="23">
        <v>45400</v>
      </c>
      <c r="C1343" s="22" t="s">
        <v>635</v>
      </c>
      <c r="D1343" s="22" t="s">
        <v>141</v>
      </c>
      <c r="E1343" s="22" t="s">
        <v>3161</v>
      </c>
      <c r="F1343" s="24">
        <v>3</v>
      </c>
      <c r="G1343" s="24">
        <v>5490</v>
      </c>
      <c r="H1343" s="24">
        <v>26.7</v>
      </c>
      <c r="I1343" s="24">
        <v>12072.51</v>
      </c>
      <c r="J1343" s="22" t="s">
        <v>104</v>
      </c>
      <c r="K1343" s="22" t="s">
        <v>105</v>
      </c>
      <c r="L1343" t="str">
        <f>VLOOKUP(D1343,Products!A:F,3,FALSE())</f>
        <v>Home</v>
      </c>
      <c r="M1343" t="str">
        <f>VLOOKUP(C1343,Customers!A:F,5,FALSE())</f>
        <v>SMB</v>
      </c>
      <c r="O1343" t="str">
        <f>IFERROR(VLOOKUP(E1343,Sales_Reps!$A:$C,3,FALSE()),"")</f>
        <v/>
      </c>
      <c r="P1343">
        <f>IFERROR(VLOOKUP(C1343,Customers!$A:$C,3,FALSE()),"")</f>
        <v>49</v>
      </c>
      <c r="Q1343" t="str">
        <f t="shared" si="20"/>
        <v>Apr-24</v>
      </c>
      <c r="R1343">
        <f>IFERROR((VLOOKUP(D1343,Products!$A:$E,5,FALSE())-VLOOKUP(D1343,Products!$A:$E,4,FALSE()))/VLOOKUP(D1343,Products!$A:$E,5,FALSE()),"")</f>
        <v>0.53570127504553733</v>
      </c>
    </row>
    <row r="1344" spans="1:18" x14ac:dyDescent="0.3">
      <c r="A1344" s="22" t="s">
        <v>3162</v>
      </c>
      <c r="B1344" s="23">
        <v>45564</v>
      </c>
      <c r="C1344" s="22" t="s">
        <v>204</v>
      </c>
      <c r="D1344" s="22" t="s">
        <v>167</v>
      </c>
      <c r="E1344" s="22" t="s">
        <v>3163</v>
      </c>
      <c r="F1344" s="24">
        <v>7</v>
      </c>
      <c r="G1344" s="24">
        <v>190</v>
      </c>
      <c r="H1344" s="24">
        <v>11.6</v>
      </c>
      <c r="I1344" s="24">
        <v>1175.72</v>
      </c>
      <c r="J1344" s="22" t="s">
        <v>104</v>
      </c>
      <c r="K1344" s="22" t="s">
        <v>111</v>
      </c>
      <c r="L1344" t="str">
        <f>VLOOKUP(D1344,Products!A:F,3,FALSE())</f>
        <v>Sports</v>
      </c>
      <c r="M1344" t="str">
        <f>VLOOKUP(C1344,Customers!A:F,5,FALSE())</f>
        <v>Corporate</v>
      </c>
      <c r="O1344" t="str">
        <f>IFERROR(VLOOKUP(E1344,Sales_Reps!$A:$C,3,FALSE()),"")</f>
        <v/>
      </c>
      <c r="P1344">
        <f>IFERROR(VLOOKUP(C1344,Customers!$A:$C,3,FALSE()),"")</f>
        <v>55</v>
      </c>
      <c r="Q1344" t="str">
        <f t="shared" si="20"/>
        <v>Sep-24</v>
      </c>
      <c r="R1344">
        <f>IFERROR((VLOOKUP(D1344,Products!$A:$E,5,FALSE())-VLOOKUP(D1344,Products!$A:$E,4,FALSE()))/VLOOKUP(D1344,Products!$A:$E,5,FALSE()),"")</f>
        <v>0.22631578947368422</v>
      </c>
    </row>
    <row r="1345" spans="1:18" x14ac:dyDescent="0.3">
      <c r="A1345" s="22" t="s">
        <v>3164</v>
      </c>
      <c r="B1345" s="23">
        <v>45437</v>
      </c>
      <c r="C1345" s="22" t="s">
        <v>131</v>
      </c>
      <c r="D1345" s="22" t="s">
        <v>123</v>
      </c>
      <c r="E1345" s="22" t="s">
        <v>3165</v>
      </c>
      <c r="F1345" s="24">
        <v>5</v>
      </c>
      <c r="G1345" s="24">
        <v>3160</v>
      </c>
      <c r="H1345" s="24">
        <v>24.1</v>
      </c>
      <c r="I1345" s="24">
        <v>11992.2</v>
      </c>
      <c r="J1345" s="22" t="s">
        <v>104</v>
      </c>
      <c r="K1345" s="22" t="s">
        <v>134</v>
      </c>
      <c r="L1345" t="str">
        <f>VLOOKUP(D1345,Products!A:F,3,FALSE())</f>
        <v>Apparel</v>
      </c>
      <c r="M1345" t="str">
        <f>VLOOKUP(C1345,Customers!A:F,5,FALSE())</f>
        <v>Retail</v>
      </c>
      <c r="O1345" t="str">
        <f>IFERROR(VLOOKUP(E1345,Sales_Reps!$A:$C,3,FALSE()),"")</f>
        <v/>
      </c>
      <c r="P1345">
        <f>IFERROR(VLOOKUP(C1345,Customers!$A:$C,3,FALSE()),"")</f>
        <v>27</v>
      </c>
      <c r="Q1345" t="str">
        <f t="shared" si="20"/>
        <v>May-24</v>
      </c>
      <c r="R1345">
        <f>IFERROR((VLOOKUP(D1345,Products!$A:$E,5,FALSE())-VLOOKUP(D1345,Products!$A:$E,4,FALSE()))/VLOOKUP(D1345,Products!$A:$E,5,FALSE()),"")</f>
        <v>0.4031645569620253</v>
      </c>
    </row>
    <row r="1346" spans="1:18" x14ac:dyDescent="0.3">
      <c r="A1346" s="22" t="s">
        <v>3166</v>
      </c>
      <c r="B1346" s="23">
        <v>45395</v>
      </c>
      <c r="C1346" s="22" t="s">
        <v>487</v>
      </c>
      <c r="D1346" s="22" t="s">
        <v>674</v>
      </c>
      <c r="E1346" s="22" t="s">
        <v>3167</v>
      </c>
      <c r="F1346" s="24">
        <v>1</v>
      </c>
      <c r="G1346" s="24">
        <v>1090</v>
      </c>
      <c r="H1346" s="24">
        <v>9.6</v>
      </c>
      <c r="I1346" s="24">
        <v>985.36</v>
      </c>
      <c r="J1346" s="22" t="s">
        <v>164</v>
      </c>
      <c r="K1346" s="22" t="s">
        <v>134</v>
      </c>
      <c r="L1346" t="str">
        <f>VLOOKUP(D1346,Products!A:F,3,FALSE())</f>
        <v>Home</v>
      </c>
      <c r="M1346" t="str">
        <f>VLOOKUP(C1346,Customers!A:F,5,FALSE())</f>
        <v>Retail</v>
      </c>
      <c r="O1346" t="str">
        <f>IFERROR(VLOOKUP(E1346,Sales_Reps!$A:$C,3,FALSE()),"")</f>
        <v/>
      </c>
      <c r="P1346">
        <f>IFERROR(VLOOKUP(C1346,Customers!$A:$C,3,FALSE()),"")</f>
        <v>23</v>
      </c>
      <c r="Q1346" t="str">
        <f t="shared" ref="Q1346:Q1409" si="21">TEXT(B1346,"mmm-yy")</f>
        <v>Apr-24</v>
      </c>
      <c r="R1346">
        <f>IFERROR((VLOOKUP(D1346,Products!$A:$E,5,FALSE())-VLOOKUP(D1346,Products!$A:$E,4,FALSE()))/VLOOKUP(D1346,Products!$A:$E,5,FALSE()),"")</f>
        <v>0.57431192660550456</v>
      </c>
    </row>
    <row r="1347" spans="1:18" x14ac:dyDescent="0.3">
      <c r="A1347" s="22" t="s">
        <v>3168</v>
      </c>
      <c r="B1347" s="23">
        <v>45447</v>
      </c>
      <c r="C1347" s="22" t="s">
        <v>482</v>
      </c>
      <c r="D1347" s="22" t="s">
        <v>127</v>
      </c>
      <c r="E1347" s="22" t="s">
        <v>3169</v>
      </c>
      <c r="F1347" s="24">
        <v>9</v>
      </c>
      <c r="G1347" s="24">
        <v>370</v>
      </c>
      <c r="H1347" s="24">
        <v>4</v>
      </c>
      <c r="I1347" s="24">
        <v>3196.8</v>
      </c>
      <c r="J1347" s="22" t="s">
        <v>104</v>
      </c>
      <c r="K1347" s="22" t="s">
        <v>116</v>
      </c>
      <c r="L1347" t="str">
        <f>VLOOKUP(D1347,Products!A:F,3,FALSE())</f>
        <v>Home</v>
      </c>
      <c r="M1347" t="str">
        <f>VLOOKUP(C1347,Customers!A:F,5,FALSE())</f>
        <v>Corporate</v>
      </c>
      <c r="O1347" t="str">
        <f>IFERROR(VLOOKUP(E1347,Sales_Reps!$A:$C,3,FALSE()),"")</f>
        <v/>
      </c>
      <c r="P1347">
        <f>IFERROR(VLOOKUP(C1347,Customers!$A:$C,3,FALSE()),"")</f>
        <v>27</v>
      </c>
      <c r="Q1347" t="str">
        <f t="shared" si="21"/>
        <v>Jun-24</v>
      </c>
      <c r="R1347">
        <f>IFERROR((VLOOKUP(D1347,Products!$A:$E,5,FALSE())-VLOOKUP(D1347,Products!$A:$E,4,FALSE()))/VLOOKUP(D1347,Products!$A:$E,5,FALSE()),"")</f>
        <v>0.22162162162162163</v>
      </c>
    </row>
    <row r="1348" spans="1:18" x14ac:dyDescent="0.3">
      <c r="A1348" s="22" t="s">
        <v>3170</v>
      </c>
      <c r="B1348" s="23">
        <v>45300</v>
      </c>
      <c r="C1348" s="22" t="s">
        <v>252</v>
      </c>
      <c r="D1348" s="22" t="s">
        <v>334</v>
      </c>
      <c r="E1348" s="22" t="s">
        <v>3171</v>
      </c>
      <c r="F1348" s="24">
        <v>5</v>
      </c>
      <c r="G1348" s="24">
        <v>2660</v>
      </c>
      <c r="H1348" s="24">
        <v>24.6</v>
      </c>
      <c r="I1348" s="24">
        <v>10028.200000000001</v>
      </c>
      <c r="J1348" s="22" t="s">
        <v>159</v>
      </c>
      <c r="K1348" s="22" t="s">
        <v>111</v>
      </c>
      <c r="L1348" t="str">
        <f>VLOOKUP(D1348,Products!A:F,3,FALSE())</f>
        <v>Electronics</v>
      </c>
      <c r="M1348" t="str">
        <f>VLOOKUP(C1348,Customers!A:F,5,FALSE())</f>
        <v>Retail</v>
      </c>
      <c r="O1348" t="str">
        <f>IFERROR(VLOOKUP(E1348,Sales_Reps!$A:$C,3,FALSE()),"")</f>
        <v/>
      </c>
      <c r="P1348">
        <f>IFERROR(VLOOKUP(C1348,Customers!$A:$C,3,FALSE()),"")</f>
        <v>51</v>
      </c>
      <c r="Q1348" t="str">
        <f t="shared" si="21"/>
        <v>Jan-24</v>
      </c>
      <c r="R1348">
        <f>IFERROR((VLOOKUP(D1348,Products!$A:$E,5,FALSE())-VLOOKUP(D1348,Products!$A:$E,4,FALSE()))/VLOOKUP(D1348,Products!$A:$E,5,FALSE()),"")</f>
        <v>0.52669172932330832</v>
      </c>
    </row>
    <row r="1349" spans="1:18" x14ac:dyDescent="0.3">
      <c r="A1349" s="22" t="s">
        <v>3172</v>
      </c>
      <c r="B1349" s="23">
        <v>45327</v>
      </c>
      <c r="C1349" s="22" t="s">
        <v>2227</v>
      </c>
      <c r="D1349" s="22" t="s">
        <v>935</v>
      </c>
      <c r="E1349" s="22" t="s">
        <v>3173</v>
      </c>
      <c r="F1349" s="24">
        <v>4</v>
      </c>
      <c r="G1349" s="24">
        <v>3560</v>
      </c>
      <c r="H1349" s="24">
        <v>25.7</v>
      </c>
      <c r="I1349" s="24">
        <v>10580.32</v>
      </c>
      <c r="J1349" s="22" t="s">
        <v>104</v>
      </c>
      <c r="K1349" s="22" t="s">
        <v>111</v>
      </c>
      <c r="L1349" t="str">
        <f>VLOOKUP(D1349,Products!A:F,3,FALSE())</f>
        <v>Apparel</v>
      </c>
      <c r="M1349" t="str">
        <f>VLOOKUP(C1349,Customers!A:F,5,FALSE())</f>
        <v>Retail</v>
      </c>
      <c r="O1349" t="str">
        <f>IFERROR(VLOOKUP(E1349,Sales_Reps!$A:$C,3,FALSE()),"")</f>
        <v/>
      </c>
      <c r="P1349">
        <f>IFERROR(VLOOKUP(C1349,Customers!$A:$C,3,FALSE()),"")</f>
        <v>34</v>
      </c>
      <c r="Q1349" t="str">
        <f t="shared" si="21"/>
        <v>Feb-24</v>
      </c>
      <c r="R1349">
        <f>IFERROR((VLOOKUP(D1349,Products!$A:$E,5,FALSE())-VLOOKUP(D1349,Products!$A:$E,4,FALSE()))/VLOOKUP(D1349,Products!$A:$E,5,FALSE()),"")</f>
        <v>0.26151685393258428</v>
      </c>
    </row>
    <row r="1350" spans="1:18" x14ac:dyDescent="0.3">
      <c r="A1350" s="22" t="s">
        <v>3174</v>
      </c>
      <c r="B1350" s="23">
        <v>45410</v>
      </c>
      <c r="C1350" s="22" t="s">
        <v>1513</v>
      </c>
      <c r="D1350" s="22" t="s">
        <v>479</v>
      </c>
      <c r="E1350" s="22" t="s">
        <v>3175</v>
      </c>
      <c r="F1350" s="24">
        <v>8</v>
      </c>
      <c r="G1350" s="24">
        <v>960</v>
      </c>
      <c r="H1350" s="24">
        <v>0.1</v>
      </c>
      <c r="I1350" s="24">
        <v>7672.32</v>
      </c>
      <c r="J1350" s="22" t="s">
        <v>104</v>
      </c>
      <c r="K1350" s="22" t="s">
        <v>111</v>
      </c>
      <c r="L1350" t="str">
        <f>VLOOKUP(D1350,Products!A:F,3,FALSE())</f>
        <v>Beauty</v>
      </c>
      <c r="M1350" t="str">
        <f>VLOOKUP(C1350,Customers!A:F,5,FALSE())</f>
        <v>Corporate</v>
      </c>
      <c r="O1350" t="str">
        <f>IFERROR(VLOOKUP(E1350,Sales_Reps!$A:$C,3,FALSE()),"")</f>
        <v/>
      </c>
      <c r="P1350">
        <f>IFERROR(VLOOKUP(C1350,Customers!$A:$C,3,FALSE()),"")</f>
        <v>52</v>
      </c>
      <c r="Q1350" t="str">
        <f t="shared" si="21"/>
        <v>Apr-24</v>
      </c>
      <c r="R1350">
        <f>IFERROR((VLOOKUP(D1350,Products!$A:$E,5,FALSE())-VLOOKUP(D1350,Products!$A:$E,4,FALSE()))/VLOOKUP(D1350,Products!$A:$E,5,FALSE()),"")</f>
        <v>0.296875</v>
      </c>
    </row>
    <row r="1351" spans="1:18" x14ac:dyDescent="0.3">
      <c r="A1351" s="22" t="s">
        <v>3176</v>
      </c>
      <c r="B1351" s="23">
        <v>45644</v>
      </c>
      <c r="C1351" s="22" t="s">
        <v>264</v>
      </c>
      <c r="D1351" s="22" t="s">
        <v>127</v>
      </c>
      <c r="E1351" s="22" t="s">
        <v>3177</v>
      </c>
      <c r="F1351" s="24">
        <v>10</v>
      </c>
      <c r="G1351" s="24">
        <v>370</v>
      </c>
      <c r="H1351" s="24">
        <v>16.399999999999999</v>
      </c>
      <c r="I1351" s="24">
        <v>3093.2</v>
      </c>
      <c r="J1351" s="22" t="s">
        <v>159</v>
      </c>
      <c r="K1351" s="22" t="s">
        <v>111</v>
      </c>
      <c r="L1351" t="str">
        <f>VLOOKUP(D1351,Products!A:F,3,FALSE())</f>
        <v>Home</v>
      </c>
      <c r="M1351" t="str">
        <f>VLOOKUP(C1351,Customers!A:F,5,FALSE())</f>
        <v>Retail</v>
      </c>
      <c r="O1351" t="str">
        <f>IFERROR(VLOOKUP(E1351,Sales_Reps!$A:$C,3,FALSE()),"")</f>
        <v/>
      </c>
      <c r="P1351">
        <f>IFERROR(VLOOKUP(C1351,Customers!$A:$C,3,FALSE()),"")</f>
        <v>37</v>
      </c>
      <c r="Q1351" t="str">
        <f t="shared" si="21"/>
        <v>Dec-24</v>
      </c>
      <c r="R1351">
        <f>IFERROR((VLOOKUP(D1351,Products!$A:$E,5,FALSE())-VLOOKUP(D1351,Products!$A:$E,4,FALSE()))/VLOOKUP(D1351,Products!$A:$E,5,FALSE()),"")</f>
        <v>0.22162162162162163</v>
      </c>
    </row>
    <row r="1352" spans="1:18" x14ac:dyDescent="0.3">
      <c r="A1352" s="22" t="s">
        <v>3178</v>
      </c>
      <c r="B1352" s="23">
        <v>45399</v>
      </c>
      <c r="C1352" s="22" t="s">
        <v>1246</v>
      </c>
      <c r="D1352" s="22" t="s">
        <v>197</v>
      </c>
      <c r="E1352" s="22" t="s">
        <v>3179</v>
      </c>
      <c r="F1352" s="24">
        <v>4</v>
      </c>
      <c r="G1352" s="24">
        <v>2720</v>
      </c>
      <c r="H1352" s="24">
        <v>3.1</v>
      </c>
      <c r="I1352" s="24">
        <v>10542.72</v>
      </c>
      <c r="J1352" s="22" t="s">
        <v>104</v>
      </c>
      <c r="K1352" s="22" t="s">
        <v>134</v>
      </c>
      <c r="L1352" t="str">
        <f>VLOOKUP(D1352,Products!A:F,3,FALSE())</f>
        <v>Apparel</v>
      </c>
      <c r="M1352" t="str">
        <f>VLOOKUP(C1352,Customers!A:F,5,FALSE())</f>
        <v>Retail</v>
      </c>
      <c r="O1352" t="str">
        <f>IFERROR(VLOOKUP(E1352,Sales_Reps!$A:$C,3,FALSE()),"")</f>
        <v/>
      </c>
      <c r="P1352">
        <f>IFERROR(VLOOKUP(C1352,Customers!$A:$C,3,FALSE()),"")</f>
        <v>37</v>
      </c>
      <c r="Q1352" t="str">
        <f t="shared" si="21"/>
        <v>Apr-24</v>
      </c>
      <c r="R1352">
        <f>IFERROR((VLOOKUP(D1352,Products!$A:$E,5,FALSE())-VLOOKUP(D1352,Products!$A:$E,4,FALSE()))/VLOOKUP(D1352,Products!$A:$E,5,FALSE()),"")</f>
        <v>0.2786764705882353</v>
      </c>
    </row>
    <row r="1353" spans="1:18" x14ac:dyDescent="0.3">
      <c r="A1353" s="22" t="s">
        <v>3180</v>
      </c>
      <c r="B1353" s="23">
        <v>45441</v>
      </c>
      <c r="C1353" s="22" t="s">
        <v>517</v>
      </c>
      <c r="D1353" s="22" t="s">
        <v>577</v>
      </c>
      <c r="E1353" s="22" t="s">
        <v>3181</v>
      </c>
      <c r="F1353" s="24">
        <v>10</v>
      </c>
      <c r="G1353" s="24">
        <v>5080</v>
      </c>
      <c r="H1353" s="24">
        <v>6.8</v>
      </c>
      <c r="I1353" s="24">
        <v>47345.599999999999</v>
      </c>
      <c r="J1353" s="22" t="s">
        <v>104</v>
      </c>
      <c r="K1353" s="22" t="s">
        <v>111</v>
      </c>
      <c r="L1353" t="str">
        <f>VLOOKUP(D1353,Products!A:F,3,FALSE())</f>
        <v>Home</v>
      </c>
      <c r="M1353" t="str">
        <f>VLOOKUP(C1353,Customers!A:F,5,FALSE())</f>
        <v>Corporate</v>
      </c>
      <c r="O1353" t="str">
        <f>IFERROR(VLOOKUP(E1353,Sales_Reps!$A:$C,3,FALSE()),"")</f>
        <v/>
      </c>
      <c r="P1353">
        <f>IFERROR(VLOOKUP(C1353,Customers!$A:$C,3,FALSE()),"")</f>
        <v>24</v>
      </c>
      <c r="Q1353" t="str">
        <f t="shared" si="21"/>
        <v>May-24</v>
      </c>
      <c r="R1353">
        <f>IFERROR((VLOOKUP(D1353,Products!$A:$E,5,FALSE())-VLOOKUP(D1353,Products!$A:$E,4,FALSE()))/VLOOKUP(D1353,Products!$A:$E,5,FALSE()),"")</f>
        <v>0.51594488188976373</v>
      </c>
    </row>
    <row r="1354" spans="1:18" x14ac:dyDescent="0.3">
      <c r="A1354" s="22" t="s">
        <v>3182</v>
      </c>
      <c r="B1354" s="23">
        <v>45379</v>
      </c>
      <c r="C1354" s="22" t="s">
        <v>2569</v>
      </c>
      <c r="D1354" s="22" t="s">
        <v>488</v>
      </c>
      <c r="E1354" s="22" t="s">
        <v>3183</v>
      </c>
      <c r="F1354" s="24">
        <v>6</v>
      </c>
      <c r="G1354" s="24">
        <v>2290</v>
      </c>
      <c r="H1354" s="24">
        <v>22.6</v>
      </c>
      <c r="I1354" s="24">
        <v>10634.76</v>
      </c>
      <c r="J1354" s="22" t="s">
        <v>104</v>
      </c>
      <c r="K1354" s="22" t="s">
        <v>151</v>
      </c>
      <c r="L1354" t="str">
        <f>VLOOKUP(D1354,Products!A:F,3,FALSE())</f>
        <v>Beauty</v>
      </c>
      <c r="M1354" t="str">
        <f>VLOOKUP(C1354,Customers!A:F,5,FALSE())</f>
        <v>Corporate</v>
      </c>
      <c r="O1354" t="str">
        <f>IFERROR(VLOOKUP(E1354,Sales_Reps!$A:$C,3,FALSE()),"")</f>
        <v/>
      </c>
      <c r="P1354">
        <f>IFERROR(VLOOKUP(C1354,Customers!$A:$C,3,FALSE()),"")</f>
        <v>25</v>
      </c>
      <c r="Q1354" t="str">
        <f t="shared" si="21"/>
        <v>Mar-24</v>
      </c>
      <c r="R1354">
        <f>IFERROR((VLOOKUP(D1354,Products!$A:$E,5,FALSE())-VLOOKUP(D1354,Products!$A:$E,4,FALSE()))/VLOOKUP(D1354,Products!$A:$E,5,FALSE()),"")</f>
        <v>0.46768558951965067</v>
      </c>
    </row>
    <row r="1355" spans="1:18" x14ac:dyDescent="0.3">
      <c r="A1355" s="22" t="s">
        <v>3184</v>
      </c>
      <c r="B1355" s="23">
        <v>45502</v>
      </c>
      <c r="C1355" s="22" t="s">
        <v>1124</v>
      </c>
      <c r="D1355" s="22" t="s">
        <v>231</v>
      </c>
      <c r="E1355" s="22" t="s">
        <v>3185</v>
      </c>
      <c r="F1355" s="24">
        <v>4</v>
      </c>
      <c r="G1355" s="24">
        <v>2760</v>
      </c>
      <c r="H1355" s="24">
        <v>27.2</v>
      </c>
      <c r="I1355" s="24">
        <v>8037.12</v>
      </c>
      <c r="J1355" s="22" t="s">
        <v>164</v>
      </c>
      <c r="K1355" s="22" t="s">
        <v>105</v>
      </c>
      <c r="L1355" t="str">
        <f>VLOOKUP(D1355,Products!A:F,3,FALSE())</f>
        <v>Grocery</v>
      </c>
      <c r="M1355" t="str">
        <f>VLOOKUP(C1355,Customers!A:F,5,FALSE())</f>
        <v>Corporate</v>
      </c>
      <c r="O1355" t="str">
        <f>IFERROR(VLOOKUP(E1355,Sales_Reps!$A:$C,3,FALSE()),"")</f>
        <v/>
      </c>
      <c r="P1355">
        <f>IFERROR(VLOOKUP(C1355,Customers!$A:$C,3,FALSE()),"")</f>
        <v>42</v>
      </c>
      <c r="Q1355" t="str">
        <f t="shared" si="21"/>
        <v>Jul-24</v>
      </c>
      <c r="R1355">
        <f>IFERROR((VLOOKUP(D1355,Products!$A:$E,5,FALSE())-VLOOKUP(D1355,Products!$A:$E,4,FALSE()))/VLOOKUP(D1355,Products!$A:$E,5,FALSE()),"")</f>
        <v>0.48007246376811596</v>
      </c>
    </row>
    <row r="1356" spans="1:18" x14ac:dyDescent="0.3">
      <c r="A1356" s="22" t="s">
        <v>3186</v>
      </c>
      <c r="B1356" s="23">
        <v>45466</v>
      </c>
      <c r="C1356" s="22" t="s">
        <v>576</v>
      </c>
      <c r="D1356" s="22" t="s">
        <v>149</v>
      </c>
      <c r="E1356" s="22" t="s">
        <v>3187</v>
      </c>
      <c r="F1356" s="24">
        <v>9</v>
      </c>
      <c r="G1356" s="24">
        <v>2270</v>
      </c>
      <c r="H1356" s="24">
        <v>5.2</v>
      </c>
      <c r="I1356" s="24">
        <v>19367.64</v>
      </c>
      <c r="J1356" s="22" t="s">
        <v>104</v>
      </c>
      <c r="K1356" s="22" t="s">
        <v>105</v>
      </c>
      <c r="L1356" t="str">
        <f>VLOOKUP(D1356,Products!A:F,3,FALSE())</f>
        <v>Grocery</v>
      </c>
      <c r="M1356" t="str">
        <f>VLOOKUP(C1356,Customers!A:F,5,FALSE())</f>
        <v>Retail</v>
      </c>
      <c r="O1356" t="str">
        <f>IFERROR(VLOOKUP(E1356,Sales_Reps!$A:$C,3,FALSE()),"")</f>
        <v/>
      </c>
      <c r="P1356">
        <f>IFERROR(VLOOKUP(C1356,Customers!$A:$C,3,FALSE()),"")</f>
        <v>65</v>
      </c>
      <c r="Q1356" t="str">
        <f t="shared" si="21"/>
        <v>Jun-24</v>
      </c>
      <c r="R1356">
        <f>IFERROR((VLOOKUP(D1356,Products!$A:$E,5,FALSE())-VLOOKUP(D1356,Products!$A:$E,4,FALSE()))/VLOOKUP(D1356,Products!$A:$E,5,FALSE()),"")</f>
        <v>0.47004405286343615</v>
      </c>
    </row>
    <row r="1357" spans="1:18" x14ac:dyDescent="0.3">
      <c r="A1357" s="22" t="s">
        <v>3188</v>
      </c>
      <c r="B1357" s="23">
        <v>45500</v>
      </c>
      <c r="C1357" s="22" t="s">
        <v>476</v>
      </c>
      <c r="D1357" s="22" t="s">
        <v>442</v>
      </c>
      <c r="E1357" s="22" t="s">
        <v>3189</v>
      </c>
      <c r="F1357" s="24">
        <v>3</v>
      </c>
      <c r="G1357" s="24">
        <v>2510</v>
      </c>
      <c r="H1357" s="24">
        <v>16.399999999999999</v>
      </c>
      <c r="I1357" s="24">
        <v>6295.08</v>
      </c>
      <c r="J1357" s="22" t="s">
        <v>104</v>
      </c>
      <c r="K1357" s="22" t="s">
        <v>111</v>
      </c>
      <c r="L1357" t="str">
        <f>VLOOKUP(D1357,Products!A:F,3,FALSE())</f>
        <v>Apparel</v>
      </c>
      <c r="M1357" t="str">
        <f>VLOOKUP(C1357,Customers!A:F,5,FALSE())</f>
        <v>SMB</v>
      </c>
      <c r="O1357" t="str">
        <f>IFERROR(VLOOKUP(E1357,Sales_Reps!$A:$C,3,FALSE()),"")</f>
        <v/>
      </c>
      <c r="P1357">
        <f>IFERROR(VLOOKUP(C1357,Customers!$A:$C,3,FALSE()),"")</f>
        <v>53</v>
      </c>
      <c r="Q1357" t="str">
        <f t="shared" si="21"/>
        <v>Jul-24</v>
      </c>
      <c r="R1357">
        <f>IFERROR((VLOOKUP(D1357,Products!$A:$E,5,FALSE())-VLOOKUP(D1357,Products!$A:$E,4,FALSE()))/VLOOKUP(D1357,Products!$A:$E,5,FALSE()),"")</f>
        <v>0.57171314741035861</v>
      </c>
    </row>
    <row r="1358" spans="1:18" x14ac:dyDescent="0.3">
      <c r="A1358" s="22" t="s">
        <v>3190</v>
      </c>
      <c r="B1358" s="23">
        <v>45337</v>
      </c>
      <c r="C1358" s="22" t="s">
        <v>380</v>
      </c>
      <c r="D1358" s="22" t="s">
        <v>459</v>
      </c>
      <c r="E1358" s="22" t="s">
        <v>3191</v>
      </c>
      <c r="F1358" s="24">
        <v>1</v>
      </c>
      <c r="G1358" s="24">
        <v>2380</v>
      </c>
      <c r="H1358" s="24">
        <v>23.5</v>
      </c>
      <c r="I1358" s="24">
        <v>1820.7</v>
      </c>
      <c r="J1358" s="22" t="s">
        <v>104</v>
      </c>
      <c r="K1358" s="22" t="s">
        <v>151</v>
      </c>
      <c r="L1358" t="str">
        <f>VLOOKUP(D1358,Products!A:F,3,FALSE())</f>
        <v>Grocery</v>
      </c>
      <c r="M1358" t="str">
        <f>VLOOKUP(C1358,Customers!A:F,5,FALSE())</f>
        <v>Retail</v>
      </c>
      <c r="O1358" t="str">
        <f>IFERROR(VLOOKUP(E1358,Sales_Reps!$A:$C,3,FALSE()),"")</f>
        <v/>
      </c>
      <c r="P1358">
        <f>IFERROR(VLOOKUP(C1358,Customers!$A:$C,3,FALSE()),"")</f>
        <v>46</v>
      </c>
      <c r="Q1358" t="str">
        <f t="shared" si="21"/>
        <v>Feb-24</v>
      </c>
      <c r="R1358">
        <f>IFERROR((VLOOKUP(D1358,Products!$A:$E,5,FALSE())-VLOOKUP(D1358,Products!$A:$E,4,FALSE()))/VLOOKUP(D1358,Products!$A:$E,5,FALSE()),"")</f>
        <v>0.50336134453781511</v>
      </c>
    </row>
    <row r="1359" spans="1:18" x14ac:dyDescent="0.3">
      <c r="A1359" s="22" t="s">
        <v>3192</v>
      </c>
      <c r="B1359" s="23">
        <v>45447</v>
      </c>
      <c r="C1359" s="22" t="s">
        <v>1246</v>
      </c>
      <c r="D1359" s="22" t="s">
        <v>605</v>
      </c>
      <c r="E1359" s="22" t="s">
        <v>3193</v>
      </c>
      <c r="F1359" s="24">
        <v>2</v>
      </c>
      <c r="G1359" s="24">
        <v>3780</v>
      </c>
      <c r="H1359" s="24">
        <v>29.1</v>
      </c>
      <c r="I1359" s="24">
        <v>5360.04</v>
      </c>
      <c r="J1359" s="22" t="s">
        <v>104</v>
      </c>
      <c r="K1359" s="22" t="s">
        <v>134</v>
      </c>
      <c r="L1359" t="str">
        <f>VLOOKUP(D1359,Products!A:F,3,FALSE())</f>
        <v>Sports</v>
      </c>
      <c r="M1359" t="str">
        <f>VLOOKUP(C1359,Customers!A:F,5,FALSE())</f>
        <v>Retail</v>
      </c>
      <c r="O1359" t="str">
        <f>IFERROR(VLOOKUP(E1359,Sales_Reps!$A:$C,3,FALSE()),"")</f>
        <v/>
      </c>
      <c r="P1359">
        <f>IFERROR(VLOOKUP(C1359,Customers!$A:$C,3,FALSE()),"")</f>
        <v>37</v>
      </c>
      <c r="Q1359" t="str">
        <f t="shared" si="21"/>
        <v>Jun-24</v>
      </c>
      <c r="R1359">
        <f>IFERROR((VLOOKUP(D1359,Products!$A:$E,5,FALSE())-VLOOKUP(D1359,Products!$A:$E,4,FALSE()))/VLOOKUP(D1359,Products!$A:$E,5,FALSE()),"")</f>
        <v>0.50793650793650791</v>
      </c>
    </row>
    <row r="1360" spans="1:18" x14ac:dyDescent="0.3">
      <c r="A1360" s="22" t="s">
        <v>3194</v>
      </c>
      <c r="B1360" s="23">
        <v>45546</v>
      </c>
      <c r="C1360" s="22" t="s">
        <v>1454</v>
      </c>
      <c r="D1360" s="22" t="s">
        <v>591</v>
      </c>
      <c r="E1360" s="22" t="s">
        <v>3195</v>
      </c>
      <c r="F1360" s="24">
        <v>1</v>
      </c>
      <c r="G1360" s="24">
        <v>3450</v>
      </c>
      <c r="H1360" s="24">
        <v>17.8</v>
      </c>
      <c r="I1360" s="24">
        <v>2835.9</v>
      </c>
      <c r="J1360" s="22" t="s">
        <v>104</v>
      </c>
      <c r="K1360" s="22" t="s">
        <v>151</v>
      </c>
      <c r="L1360" t="str">
        <f>VLOOKUP(D1360,Products!A:F,3,FALSE())</f>
        <v>Apparel</v>
      </c>
      <c r="M1360" t="str">
        <f>VLOOKUP(C1360,Customers!A:F,5,FALSE())</f>
        <v>Retail</v>
      </c>
      <c r="O1360" t="str">
        <f>IFERROR(VLOOKUP(E1360,Sales_Reps!$A:$C,3,FALSE()),"")</f>
        <v/>
      </c>
      <c r="P1360">
        <f>IFERROR(VLOOKUP(C1360,Customers!$A:$C,3,FALSE()),"")</f>
        <v>35</v>
      </c>
      <c r="Q1360" t="str">
        <f t="shared" si="21"/>
        <v>Sep-24</v>
      </c>
      <c r="R1360">
        <f>IFERROR((VLOOKUP(D1360,Products!$A:$E,5,FALSE())-VLOOKUP(D1360,Products!$A:$E,4,FALSE()))/VLOOKUP(D1360,Products!$A:$E,5,FALSE()),"")</f>
        <v>0.49333333333333335</v>
      </c>
    </row>
    <row r="1361" spans="1:18" x14ac:dyDescent="0.3">
      <c r="A1361" s="22" t="s">
        <v>3196</v>
      </c>
      <c r="B1361" s="23">
        <v>45451</v>
      </c>
      <c r="C1361" s="22" t="s">
        <v>491</v>
      </c>
      <c r="D1361" s="22" t="s">
        <v>212</v>
      </c>
      <c r="E1361" s="22" t="s">
        <v>3197</v>
      </c>
      <c r="F1361" s="24">
        <v>6</v>
      </c>
      <c r="G1361" s="24">
        <v>4880</v>
      </c>
      <c r="H1361" s="24">
        <v>15.6</v>
      </c>
      <c r="I1361" s="24">
        <v>24712.32</v>
      </c>
      <c r="J1361" s="22" t="s">
        <v>110</v>
      </c>
      <c r="K1361" s="22" t="s">
        <v>151</v>
      </c>
      <c r="L1361" t="str">
        <f>VLOOKUP(D1361,Products!A:F,3,FALSE())</f>
        <v>Beauty</v>
      </c>
      <c r="M1361" t="str">
        <f>VLOOKUP(C1361,Customers!A:F,5,FALSE())</f>
        <v>Retail</v>
      </c>
      <c r="O1361" t="str">
        <f>IFERROR(VLOOKUP(E1361,Sales_Reps!$A:$C,3,FALSE()),"")</f>
        <v/>
      </c>
      <c r="P1361">
        <f>IFERROR(VLOOKUP(C1361,Customers!$A:$C,3,FALSE()),"")</f>
        <v>44</v>
      </c>
      <c r="Q1361" t="str">
        <f t="shared" si="21"/>
        <v>Jun-24</v>
      </c>
      <c r="R1361">
        <f>IFERROR((VLOOKUP(D1361,Products!$A:$E,5,FALSE())-VLOOKUP(D1361,Products!$A:$E,4,FALSE()))/VLOOKUP(D1361,Products!$A:$E,5,FALSE()),"")</f>
        <v>0.43278688524590164</v>
      </c>
    </row>
    <row r="1362" spans="1:18" x14ac:dyDescent="0.3">
      <c r="A1362" s="22" t="s">
        <v>3198</v>
      </c>
      <c r="B1362" s="23">
        <v>45427</v>
      </c>
      <c r="C1362" s="22" t="s">
        <v>200</v>
      </c>
      <c r="D1362" s="22" t="s">
        <v>479</v>
      </c>
      <c r="E1362" s="22" t="s">
        <v>3199</v>
      </c>
      <c r="F1362" s="24">
        <v>6</v>
      </c>
      <c r="G1362" s="24">
        <v>960</v>
      </c>
      <c r="H1362" s="24">
        <v>7.5</v>
      </c>
      <c r="I1362" s="24">
        <v>5328</v>
      </c>
      <c r="J1362" s="22" t="s">
        <v>110</v>
      </c>
      <c r="K1362" s="22" t="s">
        <v>151</v>
      </c>
      <c r="L1362" t="str">
        <f>VLOOKUP(D1362,Products!A:F,3,FALSE())</f>
        <v>Beauty</v>
      </c>
      <c r="M1362" t="str">
        <f>VLOOKUP(C1362,Customers!A:F,5,FALSE())</f>
        <v>SMB</v>
      </c>
      <c r="O1362" t="str">
        <f>IFERROR(VLOOKUP(E1362,Sales_Reps!$A:$C,3,FALSE()),"")</f>
        <v/>
      </c>
      <c r="P1362">
        <f>IFERROR(VLOOKUP(C1362,Customers!$A:$C,3,FALSE()),"")</f>
        <v>40</v>
      </c>
      <c r="Q1362" t="str">
        <f t="shared" si="21"/>
        <v>May-24</v>
      </c>
      <c r="R1362">
        <f>IFERROR((VLOOKUP(D1362,Products!$A:$E,5,FALSE())-VLOOKUP(D1362,Products!$A:$E,4,FALSE()))/VLOOKUP(D1362,Products!$A:$E,5,FALSE()),"")</f>
        <v>0.296875</v>
      </c>
    </row>
    <row r="1363" spans="1:18" x14ac:dyDescent="0.3">
      <c r="A1363" s="22" t="s">
        <v>3200</v>
      </c>
      <c r="B1363" s="23">
        <v>45532</v>
      </c>
      <c r="C1363" s="22" t="s">
        <v>529</v>
      </c>
      <c r="D1363" s="22" t="s">
        <v>935</v>
      </c>
      <c r="E1363" s="22" t="s">
        <v>3201</v>
      </c>
      <c r="F1363" s="24">
        <v>1</v>
      </c>
      <c r="G1363" s="24">
        <v>3560</v>
      </c>
      <c r="H1363" s="24">
        <v>12.9</v>
      </c>
      <c r="I1363" s="24">
        <v>3100.76</v>
      </c>
      <c r="J1363" s="22" t="s">
        <v>104</v>
      </c>
      <c r="K1363" s="22" t="s">
        <v>105</v>
      </c>
      <c r="L1363" t="str">
        <f>VLOOKUP(D1363,Products!A:F,3,FALSE())</f>
        <v>Apparel</v>
      </c>
      <c r="M1363" t="str">
        <f>VLOOKUP(C1363,Customers!A:F,5,FALSE())</f>
        <v>Retail</v>
      </c>
      <c r="O1363" t="str">
        <f>IFERROR(VLOOKUP(E1363,Sales_Reps!$A:$C,3,FALSE()),"")</f>
        <v/>
      </c>
      <c r="P1363">
        <f>IFERROR(VLOOKUP(C1363,Customers!$A:$C,3,FALSE()),"")</f>
        <v>22</v>
      </c>
      <c r="Q1363" t="str">
        <f t="shared" si="21"/>
        <v>Aug-24</v>
      </c>
      <c r="R1363">
        <f>IFERROR((VLOOKUP(D1363,Products!$A:$E,5,FALSE())-VLOOKUP(D1363,Products!$A:$E,4,FALSE()))/VLOOKUP(D1363,Products!$A:$E,5,FALSE()),"")</f>
        <v>0.26151685393258428</v>
      </c>
    </row>
    <row r="1364" spans="1:18" x14ac:dyDescent="0.3">
      <c r="A1364" s="22" t="s">
        <v>3202</v>
      </c>
      <c r="B1364" s="23">
        <v>45466</v>
      </c>
      <c r="C1364" s="22" t="s">
        <v>810</v>
      </c>
      <c r="D1364" s="22" t="s">
        <v>436</v>
      </c>
      <c r="E1364" s="22" t="s">
        <v>3203</v>
      </c>
      <c r="F1364" s="24">
        <v>5</v>
      </c>
      <c r="G1364" s="24">
        <v>4060</v>
      </c>
      <c r="H1364" s="24">
        <v>18.100000000000001</v>
      </c>
      <c r="I1364" s="24">
        <v>16625.7</v>
      </c>
      <c r="J1364" s="22" t="s">
        <v>110</v>
      </c>
      <c r="K1364" s="22" t="s">
        <v>111</v>
      </c>
      <c r="L1364" t="str">
        <f>VLOOKUP(D1364,Products!A:F,3,FALSE())</f>
        <v>Grocery</v>
      </c>
      <c r="M1364" t="str">
        <f>VLOOKUP(C1364,Customers!A:F,5,FALSE())</f>
        <v>Retail</v>
      </c>
      <c r="O1364" t="str">
        <f>IFERROR(VLOOKUP(E1364,Sales_Reps!$A:$C,3,FALSE()),"")</f>
        <v/>
      </c>
      <c r="P1364">
        <f>IFERROR(VLOOKUP(C1364,Customers!$A:$C,3,FALSE()),"")</f>
        <v>26</v>
      </c>
      <c r="Q1364" t="str">
        <f t="shared" si="21"/>
        <v>Jun-24</v>
      </c>
      <c r="R1364">
        <f>IFERROR((VLOOKUP(D1364,Products!$A:$E,5,FALSE())-VLOOKUP(D1364,Products!$A:$E,4,FALSE()))/VLOOKUP(D1364,Products!$A:$E,5,FALSE()),"")</f>
        <v>0.28300492610837441</v>
      </c>
    </row>
    <row r="1365" spans="1:18" x14ac:dyDescent="0.3">
      <c r="A1365" s="22" t="s">
        <v>3204</v>
      </c>
      <c r="B1365" s="23">
        <v>45545</v>
      </c>
      <c r="C1365" s="22" t="s">
        <v>118</v>
      </c>
      <c r="D1365" s="22" t="s">
        <v>197</v>
      </c>
      <c r="E1365" s="22" t="s">
        <v>3205</v>
      </c>
      <c r="F1365" s="24">
        <v>10</v>
      </c>
      <c r="G1365" s="24">
        <v>2720</v>
      </c>
      <c r="H1365" s="24">
        <v>23.2</v>
      </c>
      <c r="I1365" s="24">
        <v>20889.599999999999</v>
      </c>
      <c r="J1365" s="22" t="s">
        <v>104</v>
      </c>
      <c r="K1365" s="22" t="s">
        <v>116</v>
      </c>
      <c r="L1365" t="str">
        <f>VLOOKUP(D1365,Products!A:F,3,FALSE())</f>
        <v>Apparel</v>
      </c>
      <c r="M1365" t="str">
        <f>VLOOKUP(C1365,Customers!A:F,5,FALSE())</f>
        <v>Corporate</v>
      </c>
      <c r="O1365" t="str">
        <f>IFERROR(VLOOKUP(E1365,Sales_Reps!$A:$C,3,FALSE()),"")</f>
        <v/>
      </c>
      <c r="P1365">
        <f>IFERROR(VLOOKUP(C1365,Customers!$A:$C,3,FALSE()),"")</f>
        <v>46</v>
      </c>
      <c r="Q1365" t="str">
        <f t="shared" si="21"/>
        <v>Sep-24</v>
      </c>
      <c r="R1365">
        <f>IFERROR((VLOOKUP(D1365,Products!$A:$E,5,FALSE())-VLOOKUP(D1365,Products!$A:$E,4,FALSE()))/VLOOKUP(D1365,Products!$A:$E,5,FALSE()),"")</f>
        <v>0.2786764705882353</v>
      </c>
    </row>
    <row r="1366" spans="1:18" x14ac:dyDescent="0.3">
      <c r="A1366" s="22" t="s">
        <v>2956</v>
      </c>
      <c r="B1366" s="23">
        <v>45547</v>
      </c>
      <c r="C1366" s="22" t="s">
        <v>769</v>
      </c>
      <c r="D1366" s="22" t="s">
        <v>419</v>
      </c>
      <c r="E1366" s="22" t="s">
        <v>3206</v>
      </c>
      <c r="F1366" s="24">
        <v>1</v>
      </c>
      <c r="G1366" s="24">
        <v>2210</v>
      </c>
      <c r="H1366" s="24">
        <v>5.8</v>
      </c>
      <c r="I1366" s="24">
        <v>2081.8200000000002</v>
      </c>
      <c r="J1366" s="22" t="s">
        <v>110</v>
      </c>
      <c r="K1366" s="22" t="s">
        <v>151</v>
      </c>
      <c r="L1366" t="str">
        <f>VLOOKUP(D1366,Products!A:F,3,FALSE())</f>
        <v>Grocery</v>
      </c>
      <c r="M1366" t="str">
        <f>VLOOKUP(C1366,Customers!A:F,5,FALSE())</f>
        <v>SMB</v>
      </c>
      <c r="O1366" t="str">
        <f>IFERROR(VLOOKUP(E1366,Sales_Reps!$A:$C,3,FALSE()),"")</f>
        <v/>
      </c>
      <c r="P1366">
        <f>IFERROR(VLOOKUP(C1366,Customers!$A:$C,3,FALSE()),"")</f>
        <v>43</v>
      </c>
      <c r="Q1366" t="str">
        <f t="shared" si="21"/>
        <v>Sep-24</v>
      </c>
      <c r="R1366">
        <f>IFERROR((VLOOKUP(D1366,Products!$A:$E,5,FALSE())-VLOOKUP(D1366,Products!$A:$E,4,FALSE()))/VLOOKUP(D1366,Products!$A:$E,5,FALSE()),"")</f>
        <v>0.54298642533936647</v>
      </c>
    </row>
    <row r="1367" spans="1:18" x14ac:dyDescent="0.3">
      <c r="A1367" s="22" t="s">
        <v>3207</v>
      </c>
      <c r="B1367" s="23">
        <v>45547</v>
      </c>
      <c r="C1367" s="22" t="s">
        <v>181</v>
      </c>
      <c r="D1367" s="22" t="s">
        <v>178</v>
      </c>
      <c r="E1367" s="22" t="s">
        <v>3208</v>
      </c>
      <c r="F1367" s="24">
        <v>5</v>
      </c>
      <c r="G1367" s="24">
        <v>3450</v>
      </c>
      <c r="H1367" s="24">
        <v>27.9</v>
      </c>
      <c r="I1367" s="24">
        <v>12437.25</v>
      </c>
      <c r="J1367" s="22" t="s">
        <v>110</v>
      </c>
      <c r="K1367" s="22" t="s">
        <v>129</v>
      </c>
      <c r="L1367" t="str">
        <f>VLOOKUP(D1367,Products!A:F,3,FALSE())</f>
        <v>Beauty</v>
      </c>
      <c r="M1367" t="str">
        <f>VLOOKUP(C1367,Customers!A:F,5,FALSE())</f>
        <v>Retail</v>
      </c>
      <c r="O1367" t="str">
        <f>IFERROR(VLOOKUP(E1367,Sales_Reps!$A:$C,3,FALSE()),"")</f>
        <v/>
      </c>
      <c r="P1367">
        <f>IFERROR(VLOOKUP(C1367,Customers!$A:$C,3,FALSE()),"")</f>
        <v>54</v>
      </c>
      <c r="Q1367" t="str">
        <f t="shared" si="21"/>
        <v>Sep-24</v>
      </c>
      <c r="R1367">
        <f>IFERROR((VLOOKUP(D1367,Products!$A:$E,5,FALSE())-VLOOKUP(D1367,Products!$A:$E,4,FALSE()))/VLOOKUP(D1367,Products!$A:$E,5,FALSE()),"")</f>
        <v>0.29855072463768118</v>
      </c>
    </row>
    <row r="1368" spans="1:18" x14ac:dyDescent="0.3">
      <c r="A1368" s="22" t="s">
        <v>3209</v>
      </c>
      <c r="B1368" s="23">
        <v>45550</v>
      </c>
      <c r="C1368" s="22" t="s">
        <v>246</v>
      </c>
      <c r="D1368" s="22" t="s">
        <v>459</v>
      </c>
      <c r="E1368" s="22" t="s">
        <v>3210</v>
      </c>
      <c r="F1368" s="24">
        <v>9</v>
      </c>
      <c r="G1368" s="24">
        <v>2380</v>
      </c>
      <c r="H1368" s="24">
        <v>15.2</v>
      </c>
      <c r="I1368" s="24">
        <v>18164.16</v>
      </c>
      <c r="J1368" s="22" t="s">
        <v>164</v>
      </c>
      <c r="K1368" s="22" t="s">
        <v>129</v>
      </c>
      <c r="L1368" t="str">
        <f>VLOOKUP(D1368,Products!A:F,3,FALSE())</f>
        <v>Grocery</v>
      </c>
      <c r="M1368" t="str">
        <f>VLOOKUP(C1368,Customers!A:F,5,FALSE())</f>
        <v>SMB</v>
      </c>
      <c r="O1368" t="str">
        <f>IFERROR(VLOOKUP(E1368,Sales_Reps!$A:$C,3,FALSE()),"")</f>
        <v/>
      </c>
      <c r="P1368">
        <f>IFERROR(VLOOKUP(C1368,Customers!$A:$C,3,FALSE()),"")</f>
        <v>36</v>
      </c>
      <c r="Q1368" t="str">
        <f t="shared" si="21"/>
        <v>Sep-24</v>
      </c>
      <c r="R1368">
        <f>IFERROR((VLOOKUP(D1368,Products!$A:$E,5,FALSE())-VLOOKUP(D1368,Products!$A:$E,4,FALSE()))/VLOOKUP(D1368,Products!$A:$E,5,FALSE()),"")</f>
        <v>0.50336134453781511</v>
      </c>
    </row>
    <row r="1369" spans="1:18" x14ac:dyDescent="0.3">
      <c r="A1369" s="22" t="s">
        <v>3211</v>
      </c>
      <c r="B1369" s="23">
        <v>45551</v>
      </c>
      <c r="C1369" s="22" t="s">
        <v>508</v>
      </c>
      <c r="D1369" s="22" t="s">
        <v>459</v>
      </c>
      <c r="E1369" s="22" t="s">
        <v>3212</v>
      </c>
      <c r="F1369" s="24">
        <v>2</v>
      </c>
      <c r="G1369" s="24">
        <v>2380</v>
      </c>
      <c r="H1369" s="24">
        <v>24.3</v>
      </c>
      <c r="I1369" s="24">
        <v>3603.32</v>
      </c>
      <c r="J1369" s="22" t="s">
        <v>104</v>
      </c>
      <c r="K1369" s="22" t="s">
        <v>116</v>
      </c>
      <c r="L1369" t="str">
        <f>VLOOKUP(D1369,Products!A:F,3,FALSE())</f>
        <v>Grocery</v>
      </c>
      <c r="M1369" t="str">
        <f>VLOOKUP(C1369,Customers!A:F,5,FALSE())</f>
        <v>SMB</v>
      </c>
      <c r="O1369" t="str">
        <f>IFERROR(VLOOKUP(E1369,Sales_Reps!$A:$C,3,FALSE()),"")</f>
        <v/>
      </c>
      <c r="P1369">
        <f>IFERROR(VLOOKUP(C1369,Customers!$A:$C,3,FALSE()),"")</f>
        <v>53</v>
      </c>
      <c r="Q1369" t="str">
        <f t="shared" si="21"/>
        <v>Sep-24</v>
      </c>
      <c r="R1369">
        <f>IFERROR((VLOOKUP(D1369,Products!$A:$E,5,FALSE())-VLOOKUP(D1369,Products!$A:$E,4,FALSE()))/VLOOKUP(D1369,Products!$A:$E,5,FALSE()),"")</f>
        <v>0.50336134453781511</v>
      </c>
    </row>
    <row r="1370" spans="1:18" x14ac:dyDescent="0.3">
      <c r="A1370" s="22" t="s">
        <v>3213</v>
      </c>
      <c r="B1370" s="23">
        <v>45560</v>
      </c>
      <c r="C1370" s="22" t="s">
        <v>118</v>
      </c>
      <c r="D1370" s="22" t="s">
        <v>935</v>
      </c>
      <c r="E1370" s="22" t="s">
        <v>3214</v>
      </c>
      <c r="F1370" s="24">
        <v>9</v>
      </c>
      <c r="G1370" s="24">
        <v>3560</v>
      </c>
      <c r="H1370" s="24">
        <v>6.6</v>
      </c>
      <c r="I1370" s="24">
        <v>29925.360000000001</v>
      </c>
      <c r="J1370" s="22" t="s">
        <v>164</v>
      </c>
      <c r="K1370" s="22" t="s">
        <v>116</v>
      </c>
      <c r="L1370" t="str">
        <f>VLOOKUP(D1370,Products!A:F,3,FALSE())</f>
        <v>Apparel</v>
      </c>
      <c r="M1370" t="str">
        <f>VLOOKUP(C1370,Customers!A:F,5,FALSE())</f>
        <v>Corporate</v>
      </c>
      <c r="O1370" t="str">
        <f>IFERROR(VLOOKUP(E1370,Sales_Reps!$A:$C,3,FALSE()),"")</f>
        <v/>
      </c>
      <c r="P1370">
        <f>IFERROR(VLOOKUP(C1370,Customers!$A:$C,3,FALSE()),"")</f>
        <v>46</v>
      </c>
      <c r="Q1370" t="str">
        <f t="shared" si="21"/>
        <v>Sep-24</v>
      </c>
      <c r="R1370">
        <f>IFERROR((VLOOKUP(D1370,Products!$A:$E,5,FALSE())-VLOOKUP(D1370,Products!$A:$E,4,FALSE()))/VLOOKUP(D1370,Products!$A:$E,5,FALSE()),"")</f>
        <v>0.26151685393258428</v>
      </c>
    </row>
    <row r="1371" spans="1:18" x14ac:dyDescent="0.3">
      <c r="A1371" s="22" t="s">
        <v>3215</v>
      </c>
      <c r="B1371" s="23">
        <v>45330</v>
      </c>
      <c r="C1371" s="22" t="s">
        <v>623</v>
      </c>
      <c r="D1371" s="22" t="s">
        <v>319</v>
      </c>
      <c r="E1371" s="22" t="s">
        <v>3216</v>
      </c>
      <c r="F1371" s="24">
        <v>7</v>
      </c>
      <c r="G1371" s="24">
        <v>1220</v>
      </c>
      <c r="H1371" s="24">
        <v>29.4</v>
      </c>
      <c r="I1371" s="24">
        <v>6029.24</v>
      </c>
      <c r="J1371" s="22" t="s">
        <v>104</v>
      </c>
      <c r="K1371" s="22" t="s">
        <v>111</v>
      </c>
      <c r="L1371" t="str">
        <f>VLOOKUP(D1371,Products!A:F,3,FALSE())</f>
        <v>Electronics</v>
      </c>
      <c r="M1371" t="str">
        <f>VLOOKUP(C1371,Customers!A:F,5,FALSE())</f>
        <v>Corporate</v>
      </c>
      <c r="O1371" t="str">
        <f>IFERROR(VLOOKUP(E1371,Sales_Reps!$A:$C,3,FALSE()),"")</f>
        <v/>
      </c>
      <c r="P1371">
        <f>IFERROR(VLOOKUP(C1371,Customers!$A:$C,3,FALSE()),"")</f>
        <v>35</v>
      </c>
      <c r="Q1371" t="str">
        <f t="shared" si="21"/>
        <v>Feb-24</v>
      </c>
      <c r="R1371">
        <f>IFERROR((VLOOKUP(D1371,Products!$A:$E,5,FALSE())-VLOOKUP(D1371,Products!$A:$E,4,FALSE()))/VLOOKUP(D1371,Products!$A:$E,5,FALSE()),"")</f>
        <v>0.57622950819672136</v>
      </c>
    </row>
    <row r="1372" spans="1:18" x14ac:dyDescent="0.3">
      <c r="A1372" s="22" t="s">
        <v>3217</v>
      </c>
      <c r="B1372" s="23">
        <v>45560</v>
      </c>
      <c r="C1372" s="22" t="s">
        <v>760</v>
      </c>
      <c r="D1372" s="22" t="s">
        <v>695</v>
      </c>
      <c r="E1372" s="22" t="s">
        <v>3218</v>
      </c>
      <c r="F1372" s="24">
        <v>7</v>
      </c>
      <c r="G1372" s="24">
        <v>6940</v>
      </c>
      <c r="H1372" s="24">
        <v>9.6</v>
      </c>
      <c r="I1372" s="24">
        <v>43916.32</v>
      </c>
      <c r="J1372" s="22" t="s">
        <v>104</v>
      </c>
      <c r="K1372" s="22" t="s">
        <v>129</v>
      </c>
      <c r="L1372" t="str">
        <f>VLOOKUP(D1372,Products!A:F,3,FALSE())</f>
        <v>Sports</v>
      </c>
      <c r="M1372" t="str">
        <f>VLOOKUP(C1372,Customers!A:F,5,FALSE())</f>
        <v>Retail</v>
      </c>
      <c r="O1372" t="str">
        <f>IFERROR(VLOOKUP(E1372,Sales_Reps!$A:$C,3,FALSE()),"")</f>
        <v/>
      </c>
      <c r="P1372">
        <f>IFERROR(VLOOKUP(C1372,Customers!$A:$C,3,FALSE()),"")</f>
        <v>37</v>
      </c>
      <c r="Q1372" t="str">
        <f t="shared" si="21"/>
        <v>Sep-24</v>
      </c>
      <c r="R1372">
        <f>IFERROR((VLOOKUP(D1372,Products!$A:$E,5,FALSE())-VLOOKUP(D1372,Products!$A:$E,4,FALSE()))/VLOOKUP(D1372,Products!$A:$E,5,FALSE()),"")</f>
        <v>0.5926512968299712</v>
      </c>
    </row>
    <row r="1373" spans="1:18" x14ac:dyDescent="0.3">
      <c r="A1373" s="22" t="s">
        <v>3219</v>
      </c>
      <c r="B1373" s="23">
        <v>45395</v>
      </c>
      <c r="C1373" s="22" t="s">
        <v>1367</v>
      </c>
      <c r="D1373" s="22" t="s">
        <v>674</v>
      </c>
      <c r="E1373" s="22" t="s">
        <v>3220</v>
      </c>
      <c r="F1373" s="24">
        <v>2</v>
      </c>
      <c r="G1373" s="24">
        <v>1090</v>
      </c>
      <c r="H1373" s="24">
        <v>17</v>
      </c>
      <c r="I1373" s="24">
        <v>1809.4</v>
      </c>
      <c r="J1373" s="22" t="s">
        <v>104</v>
      </c>
      <c r="K1373" s="22" t="s">
        <v>129</v>
      </c>
      <c r="L1373" t="str">
        <f>VLOOKUP(D1373,Products!A:F,3,FALSE())</f>
        <v>Home</v>
      </c>
      <c r="M1373" t="str">
        <f>VLOOKUP(C1373,Customers!A:F,5,FALSE())</f>
        <v>SMB</v>
      </c>
      <c r="O1373" t="str">
        <f>IFERROR(VLOOKUP(E1373,Sales_Reps!$A:$C,3,FALSE()),"")</f>
        <v/>
      </c>
      <c r="P1373">
        <f>IFERROR(VLOOKUP(C1373,Customers!$A:$C,3,FALSE()),"")</f>
        <v>43</v>
      </c>
      <c r="Q1373" t="str">
        <f t="shared" si="21"/>
        <v>Apr-24</v>
      </c>
      <c r="R1373">
        <f>IFERROR((VLOOKUP(D1373,Products!$A:$E,5,FALSE())-VLOOKUP(D1373,Products!$A:$E,4,FALSE()))/VLOOKUP(D1373,Products!$A:$E,5,FALSE()),"")</f>
        <v>0.57431192660550456</v>
      </c>
    </row>
    <row r="1374" spans="1:18" x14ac:dyDescent="0.3">
      <c r="A1374" s="22" t="s">
        <v>3221</v>
      </c>
      <c r="B1374" s="23">
        <v>45486</v>
      </c>
      <c r="C1374" s="22" t="s">
        <v>1154</v>
      </c>
      <c r="D1374" s="22" t="s">
        <v>459</v>
      </c>
      <c r="E1374" s="22" t="s">
        <v>3222</v>
      </c>
      <c r="F1374" s="24">
        <v>4</v>
      </c>
      <c r="G1374" s="24">
        <v>2380</v>
      </c>
      <c r="H1374" s="24">
        <v>18.899999999999999</v>
      </c>
      <c r="I1374" s="24">
        <v>7720.72</v>
      </c>
      <c r="J1374" s="22" t="s">
        <v>110</v>
      </c>
      <c r="K1374" s="22" t="s">
        <v>105</v>
      </c>
      <c r="L1374" t="str">
        <f>VLOOKUP(D1374,Products!A:F,3,FALSE())</f>
        <v>Grocery</v>
      </c>
      <c r="M1374" t="str">
        <f>VLOOKUP(C1374,Customers!A:F,5,FALSE())</f>
        <v>Retail</v>
      </c>
      <c r="O1374" t="str">
        <f>IFERROR(VLOOKUP(E1374,Sales_Reps!$A:$C,3,FALSE()),"")</f>
        <v/>
      </c>
      <c r="P1374">
        <f>IFERROR(VLOOKUP(C1374,Customers!$A:$C,3,FALSE()),"")</f>
        <v>31</v>
      </c>
      <c r="Q1374" t="str">
        <f t="shared" si="21"/>
        <v>Jul-24</v>
      </c>
      <c r="R1374">
        <f>IFERROR((VLOOKUP(D1374,Products!$A:$E,5,FALSE())-VLOOKUP(D1374,Products!$A:$E,4,FALSE()))/VLOOKUP(D1374,Products!$A:$E,5,FALSE()),"")</f>
        <v>0.50336134453781511</v>
      </c>
    </row>
    <row r="1375" spans="1:18" x14ac:dyDescent="0.3">
      <c r="A1375" s="22" t="s">
        <v>3223</v>
      </c>
      <c r="B1375" s="23">
        <v>45578</v>
      </c>
      <c r="C1375" s="22" t="s">
        <v>1367</v>
      </c>
      <c r="D1375" s="22" t="s">
        <v>149</v>
      </c>
      <c r="E1375" s="22" t="s">
        <v>3224</v>
      </c>
      <c r="F1375" s="24">
        <v>6</v>
      </c>
      <c r="G1375" s="24">
        <v>2270</v>
      </c>
      <c r="H1375" s="24">
        <v>20.9</v>
      </c>
      <c r="I1375" s="24">
        <v>10773.42</v>
      </c>
      <c r="J1375" s="22" t="s">
        <v>110</v>
      </c>
      <c r="K1375" s="22" t="s">
        <v>129</v>
      </c>
      <c r="L1375" t="str">
        <f>VLOOKUP(D1375,Products!A:F,3,FALSE())</f>
        <v>Grocery</v>
      </c>
      <c r="M1375" t="str">
        <f>VLOOKUP(C1375,Customers!A:F,5,FALSE())</f>
        <v>SMB</v>
      </c>
      <c r="O1375" t="str">
        <f>IFERROR(VLOOKUP(E1375,Sales_Reps!$A:$C,3,FALSE()),"")</f>
        <v/>
      </c>
      <c r="P1375">
        <f>IFERROR(VLOOKUP(C1375,Customers!$A:$C,3,FALSE()),"")</f>
        <v>43</v>
      </c>
      <c r="Q1375" t="str">
        <f t="shared" si="21"/>
        <v>Oct-24</v>
      </c>
      <c r="R1375">
        <f>IFERROR((VLOOKUP(D1375,Products!$A:$E,5,FALSE())-VLOOKUP(D1375,Products!$A:$E,4,FALSE()))/VLOOKUP(D1375,Products!$A:$E,5,FALSE()),"")</f>
        <v>0.47004405286343615</v>
      </c>
    </row>
    <row r="1376" spans="1:18" x14ac:dyDescent="0.3">
      <c r="A1376" s="22" t="s">
        <v>3225</v>
      </c>
      <c r="B1376" s="23">
        <v>45581</v>
      </c>
      <c r="C1376" s="22" t="s">
        <v>1208</v>
      </c>
      <c r="D1376" s="22" t="s">
        <v>356</v>
      </c>
      <c r="E1376" s="22" t="s">
        <v>3226</v>
      </c>
      <c r="F1376" s="24">
        <v>10</v>
      </c>
      <c r="G1376" s="24">
        <v>2030</v>
      </c>
      <c r="H1376" s="24">
        <v>25</v>
      </c>
      <c r="I1376" s="24">
        <v>15225</v>
      </c>
      <c r="J1376" s="22" t="s">
        <v>104</v>
      </c>
      <c r="K1376" s="22" t="s">
        <v>105</v>
      </c>
      <c r="L1376" t="str">
        <f>VLOOKUP(D1376,Products!A:F,3,FALSE())</f>
        <v>Home</v>
      </c>
      <c r="M1376" t="str">
        <f>VLOOKUP(C1376,Customers!A:F,5,FALSE())</f>
        <v>Retail</v>
      </c>
      <c r="O1376" t="str">
        <f>IFERROR(VLOOKUP(E1376,Sales_Reps!$A:$C,3,FALSE()),"")</f>
        <v/>
      </c>
      <c r="P1376">
        <f>IFERROR(VLOOKUP(C1376,Customers!$A:$C,3,FALSE()),"")</f>
        <v>36</v>
      </c>
      <c r="Q1376" t="str">
        <f t="shared" si="21"/>
        <v>Oct-24</v>
      </c>
      <c r="R1376">
        <f>IFERROR((VLOOKUP(D1376,Products!$A:$E,5,FALSE())-VLOOKUP(D1376,Products!$A:$E,4,FALSE()))/VLOOKUP(D1376,Products!$A:$E,5,FALSE()),"")</f>
        <v>0.43694581280788175</v>
      </c>
    </row>
    <row r="1377" spans="1:18" x14ac:dyDescent="0.3">
      <c r="A1377" s="22" t="s">
        <v>3227</v>
      </c>
      <c r="B1377" s="23">
        <v>45508</v>
      </c>
      <c r="C1377" s="22" t="s">
        <v>494</v>
      </c>
      <c r="D1377" s="22" t="s">
        <v>674</v>
      </c>
      <c r="E1377" s="22" t="s">
        <v>3228</v>
      </c>
      <c r="F1377" s="24">
        <v>3</v>
      </c>
      <c r="G1377" s="24">
        <v>1090</v>
      </c>
      <c r="H1377" s="24">
        <v>12.1</v>
      </c>
      <c r="I1377" s="24">
        <v>2874.33</v>
      </c>
      <c r="J1377" s="22" t="s">
        <v>104</v>
      </c>
      <c r="K1377" s="22" t="s">
        <v>105</v>
      </c>
      <c r="L1377" t="str">
        <f>VLOOKUP(D1377,Products!A:F,3,FALSE())</f>
        <v>Home</v>
      </c>
      <c r="M1377" t="str">
        <f>VLOOKUP(C1377,Customers!A:F,5,FALSE())</f>
        <v>SMB</v>
      </c>
      <c r="O1377" t="str">
        <f>IFERROR(VLOOKUP(E1377,Sales_Reps!$A:$C,3,FALSE()),"")</f>
        <v/>
      </c>
      <c r="P1377">
        <f>IFERROR(VLOOKUP(C1377,Customers!$A:$C,3,FALSE()),"")</f>
        <v>54</v>
      </c>
      <c r="Q1377" t="str">
        <f t="shared" si="21"/>
        <v>Aug-24</v>
      </c>
      <c r="R1377">
        <f>IFERROR((VLOOKUP(D1377,Products!$A:$E,5,FALSE())-VLOOKUP(D1377,Products!$A:$E,4,FALSE()))/VLOOKUP(D1377,Products!$A:$E,5,FALSE()),"")</f>
        <v>0.57431192660550456</v>
      </c>
    </row>
    <row r="1378" spans="1:18" x14ac:dyDescent="0.3">
      <c r="A1378" s="22" t="s">
        <v>3229</v>
      </c>
      <c r="B1378" s="23">
        <v>45303</v>
      </c>
      <c r="C1378" s="22" t="s">
        <v>1367</v>
      </c>
      <c r="D1378" s="22" t="s">
        <v>442</v>
      </c>
      <c r="E1378" s="22" t="s">
        <v>3230</v>
      </c>
      <c r="F1378" s="24">
        <v>3</v>
      </c>
      <c r="G1378" s="24">
        <v>2510</v>
      </c>
      <c r="H1378" s="24">
        <v>28.7</v>
      </c>
      <c r="I1378" s="24">
        <v>5368.89</v>
      </c>
      <c r="J1378" s="22" t="s">
        <v>104</v>
      </c>
      <c r="K1378" s="22" t="s">
        <v>129</v>
      </c>
      <c r="L1378" t="str">
        <f>VLOOKUP(D1378,Products!A:F,3,FALSE())</f>
        <v>Apparel</v>
      </c>
      <c r="M1378" t="str">
        <f>VLOOKUP(C1378,Customers!A:F,5,FALSE())</f>
        <v>SMB</v>
      </c>
      <c r="O1378" t="str">
        <f>IFERROR(VLOOKUP(E1378,Sales_Reps!$A:$C,3,FALSE()),"")</f>
        <v/>
      </c>
      <c r="P1378">
        <f>IFERROR(VLOOKUP(C1378,Customers!$A:$C,3,FALSE()),"")</f>
        <v>43</v>
      </c>
      <c r="Q1378" t="str">
        <f t="shared" si="21"/>
        <v>Jan-24</v>
      </c>
      <c r="R1378">
        <f>IFERROR((VLOOKUP(D1378,Products!$A:$E,5,FALSE())-VLOOKUP(D1378,Products!$A:$E,4,FALSE()))/VLOOKUP(D1378,Products!$A:$E,5,FALSE()),"")</f>
        <v>0.57171314741035861</v>
      </c>
    </row>
    <row r="1379" spans="1:18" x14ac:dyDescent="0.3">
      <c r="A1379" s="22" t="s">
        <v>3231</v>
      </c>
      <c r="B1379" s="23">
        <v>45412</v>
      </c>
      <c r="C1379" s="22" t="s">
        <v>2746</v>
      </c>
      <c r="D1379" s="22" t="s">
        <v>149</v>
      </c>
      <c r="E1379" s="22" t="s">
        <v>3232</v>
      </c>
      <c r="F1379" s="24">
        <v>9</v>
      </c>
      <c r="G1379" s="24">
        <v>2270</v>
      </c>
      <c r="H1379" s="24">
        <v>25.4</v>
      </c>
      <c r="I1379" s="24">
        <v>15240.78</v>
      </c>
      <c r="J1379" s="22" t="s">
        <v>110</v>
      </c>
      <c r="K1379" s="22" t="s">
        <v>134</v>
      </c>
      <c r="L1379" t="str">
        <f>VLOOKUP(D1379,Products!A:F,3,FALSE())</f>
        <v>Grocery</v>
      </c>
      <c r="M1379" t="str">
        <f>VLOOKUP(C1379,Customers!A:F,5,FALSE())</f>
        <v>Retail</v>
      </c>
      <c r="O1379" t="str">
        <f>IFERROR(VLOOKUP(E1379,Sales_Reps!$A:$C,3,FALSE()),"")</f>
        <v/>
      </c>
      <c r="P1379">
        <f>IFERROR(VLOOKUP(C1379,Customers!$A:$C,3,FALSE()),"")</f>
        <v>53</v>
      </c>
      <c r="Q1379" t="str">
        <f t="shared" si="21"/>
        <v>Apr-24</v>
      </c>
      <c r="R1379">
        <f>IFERROR((VLOOKUP(D1379,Products!$A:$E,5,FALSE())-VLOOKUP(D1379,Products!$A:$E,4,FALSE()))/VLOOKUP(D1379,Products!$A:$E,5,FALSE()),"")</f>
        <v>0.47004405286343615</v>
      </c>
    </row>
    <row r="1380" spans="1:18" x14ac:dyDescent="0.3">
      <c r="A1380" s="22" t="s">
        <v>3233</v>
      </c>
      <c r="B1380" s="23">
        <v>45400</v>
      </c>
      <c r="C1380" s="22" t="s">
        <v>118</v>
      </c>
      <c r="D1380" s="22" t="s">
        <v>521</v>
      </c>
      <c r="E1380" s="22" t="s">
        <v>3234</v>
      </c>
      <c r="F1380" s="24">
        <v>9</v>
      </c>
      <c r="G1380" s="24">
        <v>3970</v>
      </c>
      <c r="H1380" s="24">
        <v>10.1</v>
      </c>
      <c r="I1380" s="24">
        <v>32121.27</v>
      </c>
      <c r="J1380" s="22" t="s">
        <v>159</v>
      </c>
      <c r="K1380" s="22" t="s">
        <v>116</v>
      </c>
      <c r="L1380" t="str">
        <f>VLOOKUP(D1380,Products!A:F,3,FALSE())</f>
        <v>Electronics</v>
      </c>
      <c r="M1380" t="str">
        <f>VLOOKUP(C1380,Customers!A:F,5,FALSE())</f>
        <v>Corporate</v>
      </c>
      <c r="O1380" t="str">
        <f>IFERROR(VLOOKUP(E1380,Sales_Reps!$A:$C,3,FALSE()),"")</f>
        <v/>
      </c>
      <c r="P1380">
        <f>IFERROR(VLOOKUP(C1380,Customers!$A:$C,3,FALSE()),"")</f>
        <v>46</v>
      </c>
      <c r="Q1380" t="str">
        <f t="shared" si="21"/>
        <v>Apr-24</v>
      </c>
      <c r="R1380">
        <f>IFERROR((VLOOKUP(D1380,Products!$A:$E,5,FALSE())-VLOOKUP(D1380,Products!$A:$E,4,FALSE()))/VLOOKUP(D1380,Products!$A:$E,5,FALSE()),"")</f>
        <v>0.27833753148614609</v>
      </c>
    </row>
    <row r="1381" spans="1:18" x14ac:dyDescent="0.3">
      <c r="A1381" s="22" t="s">
        <v>3235</v>
      </c>
      <c r="B1381" s="23">
        <v>45570</v>
      </c>
      <c r="C1381" s="22" t="s">
        <v>861</v>
      </c>
      <c r="D1381" s="22" t="s">
        <v>419</v>
      </c>
      <c r="E1381" s="22" t="s">
        <v>3236</v>
      </c>
      <c r="F1381" s="24">
        <v>6</v>
      </c>
      <c r="G1381" s="24">
        <v>2210</v>
      </c>
      <c r="H1381" s="24">
        <v>7.4</v>
      </c>
      <c r="I1381" s="24">
        <v>12278.76</v>
      </c>
      <c r="J1381" s="22" t="s">
        <v>104</v>
      </c>
      <c r="K1381" s="22" t="s">
        <v>129</v>
      </c>
      <c r="L1381" t="str">
        <f>VLOOKUP(D1381,Products!A:F,3,FALSE())</f>
        <v>Grocery</v>
      </c>
      <c r="M1381" t="str">
        <f>VLOOKUP(C1381,Customers!A:F,5,FALSE())</f>
        <v>SMB</v>
      </c>
      <c r="O1381" t="str">
        <f>IFERROR(VLOOKUP(E1381,Sales_Reps!$A:$C,3,FALSE()),"")</f>
        <v/>
      </c>
      <c r="P1381">
        <f>IFERROR(VLOOKUP(C1381,Customers!$A:$C,3,FALSE()),"")</f>
        <v>65</v>
      </c>
      <c r="Q1381" t="str">
        <f t="shared" si="21"/>
        <v>Oct-24</v>
      </c>
      <c r="R1381">
        <f>IFERROR((VLOOKUP(D1381,Products!$A:$E,5,FALSE())-VLOOKUP(D1381,Products!$A:$E,4,FALSE()))/VLOOKUP(D1381,Products!$A:$E,5,FALSE()),"")</f>
        <v>0.54298642533936647</v>
      </c>
    </row>
    <row r="1382" spans="1:18" x14ac:dyDescent="0.3">
      <c r="A1382" s="22" t="s">
        <v>3237</v>
      </c>
      <c r="B1382" s="23">
        <v>45360</v>
      </c>
      <c r="C1382" s="22" t="s">
        <v>329</v>
      </c>
      <c r="D1382" s="22" t="s">
        <v>308</v>
      </c>
      <c r="E1382" s="22" t="s">
        <v>3238</v>
      </c>
      <c r="F1382" s="24">
        <v>7</v>
      </c>
      <c r="G1382" s="24">
        <v>1540</v>
      </c>
      <c r="H1382" s="24">
        <v>20.6</v>
      </c>
      <c r="I1382" s="24">
        <v>8559.32</v>
      </c>
      <c r="J1382" s="22" t="s">
        <v>104</v>
      </c>
      <c r="K1382" s="22" t="s">
        <v>105</v>
      </c>
      <c r="L1382" t="str">
        <f>VLOOKUP(D1382,Products!A:F,3,FALSE())</f>
        <v>Beauty</v>
      </c>
      <c r="M1382" t="str">
        <f>VLOOKUP(C1382,Customers!A:F,5,FALSE())</f>
        <v>Retail</v>
      </c>
      <c r="O1382" t="str">
        <f>IFERROR(VLOOKUP(E1382,Sales_Reps!$A:$C,3,FALSE()),"")</f>
        <v/>
      </c>
      <c r="P1382">
        <f>IFERROR(VLOOKUP(C1382,Customers!$A:$C,3,FALSE()),"")</f>
        <v>44</v>
      </c>
      <c r="Q1382" t="str">
        <f t="shared" si="21"/>
        <v>Mar-24</v>
      </c>
      <c r="R1382">
        <f>IFERROR((VLOOKUP(D1382,Products!$A:$E,5,FALSE())-VLOOKUP(D1382,Products!$A:$E,4,FALSE()))/VLOOKUP(D1382,Products!$A:$E,5,FALSE()),"")</f>
        <v>0.57987012987012987</v>
      </c>
    </row>
    <row r="1383" spans="1:18" x14ac:dyDescent="0.3">
      <c r="A1383" s="22" t="s">
        <v>3239</v>
      </c>
      <c r="B1383" s="23">
        <v>45334</v>
      </c>
      <c r="C1383" s="22" t="s">
        <v>1175</v>
      </c>
      <c r="D1383" s="22" t="s">
        <v>323</v>
      </c>
      <c r="E1383" s="22" t="s">
        <v>3240</v>
      </c>
      <c r="F1383" s="24">
        <v>9</v>
      </c>
      <c r="G1383" s="24">
        <v>4610</v>
      </c>
      <c r="H1383" s="24">
        <v>2.1</v>
      </c>
      <c r="I1383" s="24">
        <v>40618.71</v>
      </c>
      <c r="J1383" s="22" t="s">
        <v>104</v>
      </c>
      <c r="K1383" s="22" t="s">
        <v>116</v>
      </c>
      <c r="L1383" t="str">
        <f>VLOOKUP(D1383,Products!A:F,3,FALSE())</f>
        <v>Home</v>
      </c>
      <c r="M1383" t="str">
        <f>VLOOKUP(C1383,Customers!A:F,5,FALSE())</f>
        <v>Retail</v>
      </c>
      <c r="O1383" t="str">
        <f>IFERROR(VLOOKUP(E1383,Sales_Reps!$A:$C,3,FALSE()),"")</f>
        <v/>
      </c>
      <c r="P1383">
        <f>IFERROR(VLOOKUP(C1383,Customers!$A:$C,3,FALSE()),"")</f>
        <v>63</v>
      </c>
      <c r="Q1383" t="str">
        <f t="shared" si="21"/>
        <v>Feb-24</v>
      </c>
      <c r="R1383">
        <f>IFERROR((VLOOKUP(D1383,Products!$A:$E,5,FALSE())-VLOOKUP(D1383,Products!$A:$E,4,FALSE()))/VLOOKUP(D1383,Products!$A:$E,5,FALSE()),"")</f>
        <v>0.59869848156182215</v>
      </c>
    </row>
    <row r="1384" spans="1:18" x14ac:dyDescent="0.3">
      <c r="A1384" s="22" t="s">
        <v>3241</v>
      </c>
      <c r="B1384" s="23">
        <v>45527</v>
      </c>
      <c r="C1384" s="22" t="s">
        <v>1056</v>
      </c>
      <c r="D1384" s="22" t="s">
        <v>521</v>
      </c>
      <c r="E1384" s="22" t="s">
        <v>3242</v>
      </c>
      <c r="F1384" s="24">
        <v>10</v>
      </c>
      <c r="G1384" s="24">
        <v>3970</v>
      </c>
      <c r="H1384" s="24">
        <v>13.3</v>
      </c>
      <c r="I1384" s="24">
        <v>34419.9</v>
      </c>
      <c r="J1384" s="22" t="s">
        <v>110</v>
      </c>
      <c r="K1384" s="22" t="s">
        <v>129</v>
      </c>
      <c r="L1384" t="str">
        <f>VLOOKUP(D1384,Products!A:F,3,FALSE())</f>
        <v>Electronics</v>
      </c>
      <c r="M1384" t="str">
        <f>VLOOKUP(C1384,Customers!A:F,5,FALSE())</f>
        <v>Retail</v>
      </c>
      <c r="O1384" t="str">
        <f>IFERROR(VLOOKUP(E1384,Sales_Reps!$A:$C,3,FALSE()),"")</f>
        <v/>
      </c>
      <c r="P1384">
        <f>IFERROR(VLOOKUP(C1384,Customers!$A:$C,3,FALSE()),"")</f>
        <v>56</v>
      </c>
      <c r="Q1384" t="str">
        <f t="shared" si="21"/>
        <v>Aug-24</v>
      </c>
      <c r="R1384">
        <f>IFERROR((VLOOKUP(D1384,Products!$A:$E,5,FALSE())-VLOOKUP(D1384,Products!$A:$E,4,FALSE()))/VLOOKUP(D1384,Products!$A:$E,5,FALSE()),"")</f>
        <v>0.27833753148614609</v>
      </c>
    </row>
    <row r="1385" spans="1:18" x14ac:dyDescent="0.3">
      <c r="A1385" s="22" t="s">
        <v>3243</v>
      </c>
      <c r="B1385" s="23">
        <v>45534</v>
      </c>
      <c r="C1385" s="22" t="s">
        <v>979</v>
      </c>
      <c r="D1385" s="22" t="s">
        <v>334</v>
      </c>
      <c r="E1385" s="22" t="s">
        <v>3244</v>
      </c>
      <c r="F1385" s="24">
        <v>8</v>
      </c>
      <c r="G1385" s="24">
        <v>2660</v>
      </c>
      <c r="H1385" s="24">
        <v>16.8</v>
      </c>
      <c r="I1385" s="24">
        <v>17704.96</v>
      </c>
      <c r="J1385" s="22" t="s">
        <v>104</v>
      </c>
      <c r="K1385" s="22" t="s">
        <v>116</v>
      </c>
      <c r="L1385" t="str">
        <f>VLOOKUP(D1385,Products!A:F,3,FALSE())</f>
        <v>Electronics</v>
      </c>
      <c r="M1385" t="str">
        <f>VLOOKUP(C1385,Customers!A:F,5,FALSE())</f>
        <v>Retail</v>
      </c>
      <c r="O1385" t="str">
        <f>IFERROR(VLOOKUP(E1385,Sales_Reps!$A:$C,3,FALSE()),"")</f>
        <v/>
      </c>
      <c r="P1385">
        <f>IFERROR(VLOOKUP(C1385,Customers!$A:$C,3,FALSE()),"")</f>
        <v>41</v>
      </c>
      <c r="Q1385" t="str">
        <f t="shared" si="21"/>
        <v>Aug-24</v>
      </c>
      <c r="R1385">
        <f>IFERROR((VLOOKUP(D1385,Products!$A:$E,5,FALSE())-VLOOKUP(D1385,Products!$A:$E,4,FALSE()))/VLOOKUP(D1385,Products!$A:$E,5,FALSE()),"")</f>
        <v>0.52669172932330832</v>
      </c>
    </row>
    <row r="1386" spans="1:18" x14ac:dyDescent="0.3">
      <c r="A1386" s="22" t="s">
        <v>3245</v>
      </c>
      <c r="B1386" s="23">
        <v>45329</v>
      </c>
      <c r="C1386" s="22" t="s">
        <v>3246</v>
      </c>
      <c r="D1386" s="22" t="s">
        <v>178</v>
      </c>
      <c r="E1386" s="22" t="s">
        <v>3247</v>
      </c>
      <c r="F1386" s="24">
        <v>6</v>
      </c>
      <c r="G1386" s="24">
        <v>3450</v>
      </c>
      <c r="H1386" s="24">
        <v>23.4</v>
      </c>
      <c r="I1386" s="24">
        <v>15856.2</v>
      </c>
      <c r="J1386" s="22" t="s">
        <v>104</v>
      </c>
      <c r="K1386" s="22" t="s">
        <v>111</v>
      </c>
      <c r="L1386" t="str">
        <f>VLOOKUP(D1386,Products!A:F,3,FALSE())</f>
        <v>Beauty</v>
      </c>
      <c r="M1386" t="str">
        <f>VLOOKUP(C1386,Customers!A:F,5,FALSE())</f>
        <v>Corporate</v>
      </c>
      <c r="O1386" t="str">
        <f>IFERROR(VLOOKUP(E1386,Sales_Reps!$A:$C,3,FALSE()),"")</f>
        <v/>
      </c>
      <c r="P1386">
        <f>IFERROR(VLOOKUP(C1386,Customers!$A:$C,3,FALSE()),"")</f>
        <v>54</v>
      </c>
      <c r="Q1386" t="str">
        <f t="shared" si="21"/>
        <v>Feb-24</v>
      </c>
      <c r="R1386">
        <f>IFERROR((VLOOKUP(D1386,Products!$A:$E,5,FALSE())-VLOOKUP(D1386,Products!$A:$E,4,FALSE()))/VLOOKUP(D1386,Products!$A:$E,5,FALSE()),"")</f>
        <v>0.29855072463768118</v>
      </c>
    </row>
    <row r="1387" spans="1:18" x14ac:dyDescent="0.3">
      <c r="A1387" s="22" t="s">
        <v>3248</v>
      </c>
      <c r="B1387" s="23">
        <v>45621</v>
      </c>
      <c r="C1387" s="22" t="s">
        <v>827</v>
      </c>
      <c r="D1387" s="22" t="s">
        <v>114</v>
      </c>
      <c r="E1387" s="22" t="s">
        <v>3249</v>
      </c>
      <c r="F1387" s="24">
        <v>10</v>
      </c>
      <c r="G1387" s="24">
        <v>470</v>
      </c>
      <c r="H1387" s="24">
        <v>21.2</v>
      </c>
      <c r="I1387" s="24">
        <v>3703.6</v>
      </c>
      <c r="J1387" s="22" t="s">
        <v>104</v>
      </c>
      <c r="K1387" s="22" t="s">
        <v>116</v>
      </c>
      <c r="L1387" t="str">
        <f>VLOOKUP(D1387,Products!A:F,3,FALSE())</f>
        <v>Sports</v>
      </c>
      <c r="M1387" t="str">
        <f>VLOOKUP(C1387,Customers!A:F,5,FALSE())</f>
        <v>SMB</v>
      </c>
      <c r="O1387" t="str">
        <f>IFERROR(VLOOKUP(E1387,Sales_Reps!$A:$C,3,FALSE()),"")</f>
        <v/>
      </c>
      <c r="P1387">
        <f>IFERROR(VLOOKUP(C1387,Customers!$A:$C,3,FALSE()),"")</f>
        <v>48</v>
      </c>
      <c r="Q1387" t="str">
        <f t="shared" si="21"/>
        <v>Nov-24</v>
      </c>
      <c r="R1387">
        <f>IFERROR((VLOOKUP(D1387,Products!$A:$E,5,FALSE())-VLOOKUP(D1387,Products!$A:$E,4,FALSE()))/VLOOKUP(D1387,Products!$A:$E,5,FALSE()),"")</f>
        <v>0.35744680851063831</v>
      </c>
    </row>
    <row r="1388" spans="1:18" x14ac:dyDescent="0.3">
      <c r="A1388" s="22" t="s">
        <v>630</v>
      </c>
      <c r="B1388" s="23">
        <v>45334</v>
      </c>
      <c r="C1388" s="22" t="s">
        <v>529</v>
      </c>
      <c r="D1388" s="22" t="s">
        <v>605</v>
      </c>
      <c r="E1388" s="22" t="s">
        <v>3250</v>
      </c>
      <c r="F1388" s="24">
        <v>7</v>
      </c>
      <c r="G1388" s="24">
        <v>3780</v>
      </c>
      <c r="H1388" s="24">
        <v>10.1</v>
      </c>
      <c r="I1388" s="24">
        <v>23787.54</v>
      </c>
      <c r="J1388" s="22" t="s">
        <v>104</v>
      </c>
      <c r="K1388" s="22" t="s">
        <v>105</v>
      </c>
      <c r="L1388" t="str">
        <f>VLOOKUP(D1388,Products!A:F,3,FALSE())</f>
        <v>Sports</v>
      </c>
      <c r="M1388" t="str">
        <f>VLOOKUP(C1388,Customers!A:F,5,FALSE())</f>
        <v>Retail</v>
      </c>
      <c r="O1388" t="str">
        <f>IFERROR(VLOOKUP(E1388,Sales_Reps!$A:$C,3,FALSE()),"")</f>
        <v/>
      </c>
      <c r="P1388">
        <f>IFERROR(VLOOKUP(C1388,Customers!$A:$C,3,FALSE()),"")</f>
        <v>22</v>
      </c>
      <c r="Q1388" t="str">
        <f t="shared" si="21"/>
        <v>Feb-24</v>
      </c>
      <c r="R1388">
        <f>IFERROR((VLOOKUP(D1388,Products!$A:$E,5,FALSE())-VLOOKUP(D1388,Products!$A:$E,4,FALSE()))/VLOOKUP(D1388,Products!$A:$E,5,FALSE()),"")</f>
        <v>0.50793650793650791</v>
      </c>
    </row>
    <row r="1389" spans="1:18" x14ac:dyDescent="0.3">
      <c r="A1389" s="22" t="s">
        <v>3251</v>
      </c>
      <c r="B1389" s="23">
        <v>45324</v>
      </c>
      <c r="C1389" s="22" t="s">
        <v>1508</v>
      </c>
      <c r="D1389" s="22" t="s">
        <v>102</v>
      </c>
      <c r="E1389" s="22" t="s">
        <v>3252</v>
      </c>
      <c r="F1389" s="24">
        <v>3</v>
      </c>
      <c r="G1389" s="24">
        <v>3620</v>
      </c>
      <c r="H1389" s="24">
        <v>4.2</v>
      </c>
      <c r="I1389" s="24">
        <v>10403.879999999999</v>
      </c>
      <c r="J1389" s="22" t="s">
        <v>104</v>
      </c>
      <c r="K1389" s="22" t="s">
        <v>134</v>
      </c>
      <c r="L1389" t="str">
        <f>VLOOKUP(D1389,Products!A:F,3,FALSE())</f>
        <v>Apparel</v>
      </c>
      <c r="M1389" t="str">
        <f>VLOOKUP(C1389,Customers!A:F,5,FALSE())</f>
        <v>SMB</v>
      </c>
      <c r="O1389" t="str">
        <f>IFERROR(VLOOKUP(E1389,Sales_Reps!$A:$C,3,FALSE()),"")</f>
        <v/>
      </c>
      <c r="P1389">
        <f>IFERROR(VLOOKUP(C1389,Customers!$A:$C,3,FALSE()),"")</f>
        <v>36</v>
      </c>
      <c r="Q1389" t="str">
        <f t="shared" si="21"/>
        <v>Feb-24</v>
      </c>
      <c r="R1389">
        <f>IFERROR((VLOOKUP(D1389,Products!$A:$E,5,FALSE())-VLOOKUP(D1389,Products!$A:$E,4,FALSE()))/VLOOKUP(D1389,Products!$A:$E,5,FALSE()),"")</f>
        <v>0.3069060773480663</v>
      </c>
    </row>
    <row r="1390" spans="1:18" x14ac:dyDescent="0.3">
      <c r="A1390" s="22" t="s">
        <v>3253</v>
      </c>
      <c r="B1390" s="23">
        <v>45541</v>
      </c>
      <c r="C1390" s="22" t="s">
        <v>314</v>
      </c>
      <c r="D1390" s="22" t="s">
        <v>479</v>
      </c>
      <c r="E1390" s="22" t="s">
        <v>3254</v>
      </c>
      <c r="F1390" s="24">
        <v>7</v>
      </c>
      <c r="G1390" s="24">
        <v>960</v>
      </c>
      <c r="H1390" s="24">
        <v>9</v>
      </c>
      <c r="I1390" s="24">
        <v>6115.2</v>
      </c>
      <c r="J1390" s="22" t="s">
        <v>104</v>
      </c>
      <c r="K1390" s="22" t="s">
        <v>151</v>
      </c>
      <c r="L1390" t="str">
        <f>VLOOKUP(D1390,Products!A:F,3,FALSE())</f>
        <v>Beauty</v>
      </c>
      <c r="M1390" t="str">
        <f>VLOOKUP(C1390,Customers!A:F,5,FALSE())</f>
        <v>Retail</v>
      </c>
      <c r="O1390" t="str">
        <f>IFERROR(VLOOKUP(E1390,Sales_Reps!$A:$C,3,FALSE()),"")</f>
        <v/>
      </c>
      <c r="P1390">
        <f>IFERROR(VLOOKUP(C1390,Customers!$A:$C,3,FALSE()),"")</f>
        <v>53</v>
      </c>
      <c r="Q1390" t="str">
        <f t="shared" si="21"/>
        <v>Sep-24</v>
      </c>
      <c r="R1390">
        <f>IFERROR((VLOOKUP(D1390,Products!$A:$E,5,FALSE())-VLOOKUP(D1390,Products!$A:$E,4,FALSE()))/VLOOKUP(D1390,Products!$A:$E,5,FALSE()),"")</f>
        <v>0.296875</v>
      </c>
    </row>
    <row r="1391" spans="1:18" x14ac:dyDescent="0.3">
      <c r="A1391" s="22" t="s">
        <v>3255</v>
      </c>
      <c r="B1391" s="23">
        <v>45344</v>
      </c>
      <c r="C1391" s="22" t="s">
        <v>987</v>
      </c>
      <c r="D1391" s="22" t="s">
        <v>205</v>
      </c>
      <c r="E1391" s="22" t="s">
        <v>3256</v>
      </c>
      <c r="F1391" s="24">
        <v>10</v>
      </c>
      <c r="G1391" s="24">
        <v>3350</v>
      </c>
      <c r="H1391" s="24">
        <v>1.2</v>
      </c>
      <c r="I1391" s="24">
        <v>33098</v>
      </c>
      <c r="J1391" s="22" t="s">
        <v>159</v>
      </c>
      <c r="K1391" s="22" t="s">
        <v>151</v>
      </c>
      <c r="L1391" t="str">
        <f>VLOOKUP(D1391,Products!A:F,3,FALSE())</f>
        <v>Beauty</v>
      </c>
      <c r="M1391" t="str">
        <f>VLOOKUP(C1391,Customers!A:F,5,FALSE())</f>
        <v>Retail</v>
      </c>
      <c r="O1391" t="str">
        <f>IFERROR(VLOOKUP(E1391,Sales_Reps!$A:$C,3,FALSE()),"")</f>
        <v/>
      </c>
      <c r="P1391">
        <f>IFERROR(VLOOKUP(C1391,Customers!$A:$C,3,FALSE()),"")</f>
        <v>28</v>
      </c>
      <c r="Q1391" t="str">
        <f t="shared" si="21"/>
        <v>Feb-24</v>
      </c>
      <c r="R1391">
        <f>IFERROR((VLOOKUP(D1391,Products!$A:$E,5,FALSE())-VLOOKUP(D1391,Products!$A:$E,4,FALSE()))/VLOOKUP(D1391,Products!$A:$E,5,FALSE()),"")</f>
        <v>0.48417910447761192</v>
      </c>
    </row>
    <row r="1392" spans="1:18" x14ac:dyDescent="0.3">
      <c r="A1392" s="22" t="s">
        <v>3257</v>
      </c>
      <c r="B1392" s="23">
        <v>45388</v>
      </c>
      <c r="C1392" s="22" t="s">
        <v>448</v>
      </c>
      <c r="D1392" s="22" t="s">
        <v>171</v>
      </c>
      <c r="E1392" s="22" t="s">
        <v>3258</v>
      </c>
      <c r="F1392" s="24">
        <v>3</v>
      </c>
      <c r="G1392" s="24">
        <v>2400</v>
      </c>
      <c r="H1392" s="24">
        <v>15.4</v>
      </c>
      <c r="I1392" s="24">
        <v>6091.2</v>
      </c>
      <c r="J1392" s="22" t="s">
        <v>104</v>
      </c>
      <c r="K1392" s="22" t="s">
        <v>116</v>
      </c>
      <c r="L1392" t="str">
        <f>VLOOKUP(D1392,Products!A:F,3,FALSE())</f>
        <v>Sports</v>
      </c>
      <c r="M1392" t="str">
        <f>VLOOKUP(C1392,Customers!A:F,5,FALSE())</f>
        <v>SMB</v>
      </c>
      <c r="O1392" t="str">
        <f>IFERROR(VLOOKUP(E1392,Sales_Reps!$A:$C,3,FALSE()),"")</f>
        <v/>
      </c>
      <c r="P1392">
        <f>IFERROR(VLOOKUP(C1392,Customers!$A:$C,3,FALSE()),"")</f>
        <v>28</v>
      </c>
      <c r="Q1392" t="str">
        <f t="shared" si="21"/>
        <v>Apr-24</v>
      </c>
      <c r="R1392">
        <f>IFERROR((VLOOKUP(D1392,Products!$A:$E,5,FALSE())-VLOOKUP(D1392,Products!$A:$E,4,FALSE()))/VLOOKUP(D1392,Products!$A:$E,5,FALSE()),"")</f>
        <v>0.59416666666666662</v>
      </c>
    </row>
    <row r="1393" spans="1:18" x14ac:dyDescent="0.3">
      <c r="A1393" s="22" t="s">
        <v>3259</v>
      </c>
      <c r="B1393" s="23">
        <v>45407</v>
      </c>
      <c r="C1393" s="22" t="s">
        <v>1109</v>
      </c>
      <c r="D1393" s="22" t="s">
        <v>224</v>
      </c>
      <c r="E1393" s="22" t="s">
        <v>3260</v>
      </c>
      <c r="F1393" s="24">
        <v>2</v>
      </c>
      <c r="G1393" s="24">
        <v>2860</v>
      </c>
      <c r="H1393" s="24">
        <v>10.5</v>
      </c>
      <c r="I1393" s="24">
        <v>5119.3999999999996</v>
      </c>
      <c r="J1393" s="22" t="s">
        <v>104</v>
      </c>
      <c r="K1393" s="22" t="s">
        <v>134</v>
      </c>
      <c r="L1393" t="str">
        <f>VLOOKUP(D1393,Products!A:F,3,FALSE())</f>
        <v>Sports</v>
      </c>
      <c r="M1393" t="str">
        <f>VLOOKUP(C1393,Customers!A:F,5,FALSE())</f>
        <v>Retail</v>
      </c>
      <c r="O1393" t="str">
        <f>IFERROR(VLOOKUP(E1393,Sales_Reps!$A:$C,3,FALSE()),"")</f>
        <v/>
      </c>
      <c r="P1393">
        <f>IFERROR(VLOOKUP(C1393,Customers!$A:$C,3,FALSE()),"")</f>
        <v>29</v>
      </c>
      <c r="Q1393" t="str">
        <f t="shared" si="21"/>
        <v>Apr-24</v>
      </c>
      <c r="R1393">
        <f>IFERROR((VLOOKUP(D1393,Products!$A:$E,5,FALSE())-VLOOKUP(D1393,Products!$A:$E,4,FALSE()))/VLOOKUP(D1393,Products!$A:$E,5,FALSE()),"")</f>
        <v>0.29090909090909089</v>
      </c>
    </row>
    <row r="1394" spans="1:18" x14ac:dyDescent="0.3">
      <c r="A1394" s="22" t="s">
        <v>3261</v>
      </c>
      <c r="B1394" s="23">
        <v>45620</v>
      </c>
      <c r="C1394" s="22" t="s">
        <v>1007</v>
      </c>
      <c r="D1394" s="22" t="s">
        <v>488</v>
      </c>
      <c r="E1394" s="22" t="s">
        <v>3262</v>
      </c>
      <c r="F1394" s="24">
        <v>4</v>
      </c>
      <c r="G1394" s="24">
        <v>2290</v>
      </c>
      <c r="H1394" s="24">
        <v>5.9</v>
      </c>
      <c r="I1394" s="24">
        <v>8619.56</v>
      </c>
      <c r="J1394" s="22" t="s">
        <v>104</v>
      </c>
      <c r="K1394" s="22" t="s">
        <v>111</v>
      </c>
      <c r="L1394" t="str">
        <f>VLOOKUP(D1394,Products!A:F,3,FALSE())</f>
        <v>Beauty</v>
      </c>
      <c r="M1394" t="str">
        <f>VLOOKUP(C1394,Customers!A:F,5,FALSE())</f>
        <v>SMB</v>
      </c>
      <c r="O1394" t="str">
        <f>IFERROR(VLOOKUP(E1394,Sales_Reps!$A:$C,3,FALSE()),"")</f>
        <v/>
      </c>
      <c r="P1394">
        <f>IFERROR(VLOOKUP(C1394,Customers!$A:$C,3,FALSE()),"")</f>
        <v>46</v>
      </c>
      <c r="Q1394" t="str">
        <f t="shared" si="21"/>
        <v>Nov-24</v>
      </c>
      <c r="R1394">
        <f>IFERROR((VLOOKUP(D1394,Products!$A:$E,5,FALSE())-VLOOKUP(D1394,Products!$A:$E,4,FALSE()))/VLOOKUP(D1394,Products!$A:$E,5,FALSE()),"")</f>
        <v>0.46768558951965067</v>
      </c>
    </row>
    <row r="1395" spans="1:18" x14ac:dyDescent="0.3">
      <c r="A1395" s="22" t="s">
        <v>3263</v>
      </c>
      <c r="B1395" s="23">
        <v>45499</v>
      </c>
      <c r="C1395" s="22" t="s">
        <v>497</v>
      </c>
      <c r="D1395" s="22" t="s">
        <v>455</v>
      </c>
      <c r="E1395" s="22" t="s">
        <v>3264</v>
      </c>
      <c r="F1395" s="24">
        <v>7</v>
      </c>
      <c r="G1395" s="24">
        <v>5330</v>
      </c>
      <c r="H1395" s="24">
        <v>3.5</v>
      </c>
      <c r="I1395" s="24">
        <v>36004.15</v>
      </c>
      <c r="J1395" s="22" t="s">
        <v>159</v>
      </c>
      <c r="K1395" s="22" t="s">
        <v>129</v>
      </c>
      <c r="L1395" t="str">
        <f>VLOOKUP(D1395,Products!A:F,3,FALSE())</f>
        <v>Electronics</v>
      </c>
      <c r="M1395" t="str">
        <f>VLOOKUP(C1395,Customers!A:F,5,FALSE())</f>
        <v>Retail</v>
      </c>
      <c r="O1395" t="str">
        <f>IFERROR(VLOOKUP(E1395,Sales_Reps!$A:$C,3,FALSE()),"")</f>
        <v/>
      </c>
      <c r="P1395">
        <f>IFERROR(VLOOKUP(C1395,Customers!$A:$C,3,FALSE()),"")</f>
        <v>50</v>
      </c>
      <c r="Q1395" t="str">
        <f t="shared" si="21"/>
        <v>Jul-24</v>
      </c>
      <c r="R1395">
        <f>IFERROR((VLOOKUP(D1395,Products!$A:$E,5,FALSE())-VLOOKUP(D1395,Products!$A:$E,4,FALSE()))/VLOOKUP(D1395,Products!$A:$E,5,FALSE()),"")</f>
        <v>0.54878048780487809</v>
      </c>
    </row>
    <row r="1396" spans="1:18" x14ac:dyDescent="0.3">
      <c r="A1396" s="22" t="s">
        <v>3265</v>
      </c>
      <c r="B1396" s="23">
        <v>45585</v>
      </c>
      <c r="C1396" s="22" t="s">
        <v>364</v>
      </c>
      <c r="D1396" s="22" t="s">
        <v>279</v>
      </c>
      <c r="E1396" s="22" t="s">
        <v>3266</v>
      </c>
      <c r="F1396" s="24">
        <v>10</v>
      </c>
      <c r="G1396" s="24">
        <v>3640</v>
      </c>
      <c r="H1396" s="24">
        <v>20.100000000000001</v>
      </c>
      <c r="I1396" s="24">
        <v>29083.599999999999</v>
      </c>
      <c r="J1396" s="22" t="s">
        <v>104</v>
      </c>
      <c r="K1396" s="22" t="s">
        <v>111</v>
      </c>
      <c r="L1396" t="str">
        <f>VLOOKUP(D1396,Products!A:F,3,FALSE())</f>
        <v>Apparel</v>
      </c>
      <c r="M1396" t="str">
        <f>VLOOKUP(C1396,Customers!A:F,5,FALSE())</f>
        <v>Retail</v>
      </c>
      <c r="O1396" t="str">
        <f>IFERROR(VLOOKUP(E1396,Sales_Reps!$A:$C,3,FALSE()),"")</f>
        <v/>
      </c>
      <c r="P1396">
        <f>IFERROR(VLOOKUP(C1396,Customers!$A:$C,3,FALSE()),"")</f>
        <v>41</v>
      </c>
      <c r="Q1396" t="str">
        <f t="shared" si="21"/>
        <v>Oct-24</v>
      </c>
      <c r="R1396">
        <f>IFERROR((VLOOKUP(D1396,Products!$A:$E,5,FALSE())-VLOOKUP(D1396,Products!$A:$E,4,FALSE()))/VLOOKUP(D1396,Products!$A:$E,5,FALSE()),"")</f>
        <v>0.28269230769230769</v>
      </c>
    </row>
    <row r="1397" spans="1:18" x14ac:dyDescent="0.3">
      <c r="A1397" s="22" t="s">
        <v>3267</v>
      </c>
      <c r="B1397" s="23">
        <v>45633</v>
      </c>
      <c r="C1397" s="22" t="s">
        <v>237</v>
      </c>
      <c r="D1397" s="22" t="s">
        <v>577</v>
      </c>
      <c r="E1397" s="22" t="s">
        <v>3268</v>
      </c>
      <c r="F1397" s="24">
        <v>10</v>
      </c>
      <c r="G1397" s="24">
        <v>5080</v>
      </c>
      <c r="H1397" s="24">
        <v>2.1</v>
      </c>
      <c r="I1397" s="24">
        <v>49733.2</v>
      </c>
      <c r="J1397" s="22" t="s">
        <v>104</v>
      </c>
      <c r="K1397" s="22" t="s">
        <v>151</v>
      </c>
      <c r="L1397" t="str">
        <f>VLOOKUP(D1397,Products!A:F,3,FALSE())</f>
        <v>Home</v>
      </c>
      <c r="M1397" t="str">
        <f>VLOOKUP(C1397,Customers!A:F,5,FALSE())</f>
        <v>SMB</v>
      </c>
      <c r="O1397" t="str">
        <f>IFERROR(VLOOKUP(E1397,Sales_Reps!$A:$C,3,FALSE()),"")</f>
        <v/>
      </c>
      <c r="P1397">
        <f>IFERROR(VLOOKUP(C1397,Customers!$A:$C,3,FALSE()),"")</f>
        <v>40</v>
      </c>
      <c r="Q1397" t="str">
        <f t="shared" si="21"/>
        <v>Dec-24</v>
      </c>
      <c r="R1397">
        <f>IFERROR((VLOOKUP(D1397,Products!$A:$E,5,FALSE())-VLOOKUP(D1397,Products!$A:$E,4,FALSE()))/VLOOKUP(D1397,Products!$A:$E,5,FALSE()),"")</f>
        <v>0.51594488188976373</v>
      </c>
    </row>
    <row r="1398" spans="1:18" x14ac:dyDescent="0.3">
      <c r="A1398" s="22" t="s">
        <v>3269</v>
      </c>
      <c r="B1398" s="23">
        <v>45517</v>
      </c>
      <c r="C1398" s="22" t="s">
        <v>1049</v>
      </c>
      <c r="D1398" s="22" t="s">
        <v>674</v>
      </c>
      <c r="E1398" s="22" t="s">
        <v>3270</v>
      </c>
      <c r="F1398" s="24">
        <v>4</v>
      </c>
      <c r="G1398" s="24">
        <v>1090</v>
      </c>
      <c r="H1398" s="24">
        <v>18.5</v>
      </c>
      <c r="I1398" s="24">
        <v>3553.4</v>
      </c>
      <c r="J1398" s="22" t="s">
        <v>164</v>
      </c>
      <c r="K1398" s="22" t="s">
        <v>116</v>
      </c>
      <c r="L1398" t="str">
        <f>VLOOKUP(D1398,Products!A:F,3,FALSE())</f>
        <v>Home</v>
      </c>
      <c r="M1398" t="str">
        <f>VLOOKUP(C1398,Customers!A:F,5,FALSE())</f>
        <v>SMB</v>
      </c>
      <c r="O1398" t="str">
        <f>IFERROR(VLOOKUP(E1398,Sales_Reps!$A:$C,3,FALSE()),"")</f>
        <v/>
      </c>
      <c r="P1398">
        <f>IFERROR(VLOOKUP(C1398,Customers!$A:$C,3,FALSE()),"")</f>
        <v>26</v>
      </c>
      <c r="Q1398" t="str">
        <f t="shared" si="21"/>
        <v>Aug-24</v>
      </c>
      <c r="R1398">
        <f>IFERROR((VLOOKUP(D1398,Products!$A:$E,5,FALSE())-VLOOKUP(D1398,Products!$A:$E,4,FALSE()))/VLOOKUP(D1398,Products!$A:$E,5,FALSE()),"")</f>
        <v>0.57431192660550456</v>
      </c>
    </row>
    <row r="1399" spans="1:18" x14ac:dyDescent="0.3">
      <c r="A1399" s="22" t="s">
        <v>3271</v>
      </c>
      <c r="B1399" s="23">
        <v>45645</v>
      </c>
      <c r="C1399" s="22" t="s">
        <v>783</v>
      </c>
      <c r="D1399" s="22" t="s">
        <v>178</v>
      </c>
      <c r="E1399" s="22" t="s">
        <v>3272</v>
      </c>
      <c r="F1399" s="24">
        <v>10</v>
      </c>
      <c r="G1399" s="24">
        <v>3450</v>
      </c>
      <c r="H1399" s="24">
        <v>26.5</v>
      </c>
      <c r="I1399" s="24">
        <v>25357.5</v>
      </c>
      <c r="J1399" s="22" t="s">
        <v>164</v>
      </c>
      <c r="K1399" s="22" t="s">
        <v>116</v>
      </c>
      <c r="L1399" t="str">
        <f>VLOOKUP(D1399,Products!A:F,3,FALSE())</f>
        <v>Beauty</v>
      </c>
      <c r="M1399" t="str">
        <f>VLOOKUP(C1399,Customers!A:F,5,FALSE())</f>
        <v>Corporate</v>
      </c>
      <c r="O1399" t="str">
        <f>IFERROR(VLOOKUP(E1399,Sales_Reps!$A:$C,3,FALSE()),"")</f>
        <v/>
      </c>
      <c r="P1399">
        <f>IFERROR(VLOOKUP(C1399,Customers!$A:$C,3,FALSE()),"")</f>
        <v>47</v>
      </c>
      <c r="Q1399" t="str">
        <f t="shared" si="21"/>
        <v>Dec-24</v>
      </c>
      <c r="R1399">
        <f>IFERROR((VLOOKUP(D1399,Products!$A:$E,5,FALSE())-VLOOKUP(D1399,Products!$A:$E,4,FALSE()))/VLOOKUP(D1399,Products!$A:$E,5,FALSE()),"")</f>
        <v>0.29855072463768118</v>
      </c>
    </row>
    <row r="1400" spans="1:18" x14ac:dyDescent="0.3">
      <c r="A1400" s="22" t="s">
        <v>3273</v>
      </c>
      <c r="B1400" s="23">
        <v>45483</v>
      </c>
      <c r="C1400" s="22" t="s">
        <v>314</v>
      </c>
      <c r="D1400" s="22" t="s">
        <v>449</v>
      </c>
      <c r="E1400" s="22" t="s">
        <v>3274</v>
      </c>
      <c r="F1400" s="24">
        <v>9</v>
      </c>
      <c r="G1400" s="24">
        <v>5410</v>
      </c>
      <c r="H1400" s="24">
        <v>11.5</v>
      </c>
      <c r="I1400" s="24">
        <v>43090.65</v>
      </c>
      <c r="J1400" s="22" t="s">
        <v>104</v>
      </c>
      <c r="K1400" s="22" t="s">
        <v>151</v>
      </c>
      <c r="L1400" t="str">
        <f>VLOOKUP(D1400,Products!A:F,3,FALSE())</f>
        <v>Sports</v>
      </c>
      <c r="M1400" t="str">
        <f>VLOOKUP(C1400,Customers!A:F,5,FALSE())</f>
        <v>Retail</v>
      </c>
      <c r="O1400" t="str">
        <f>IFERROR(VLOOKUP(E1400,Sales_Reps!$A:$C,3,FALSE()),"")</f>
        <v/>
      </c>
      <c r="P1400">
        <f>IFERROR(VLOOKUP(C1400,Customers!$A:$C,3,FALSE()),"")</f>
        <v>53</v>
      </c>
      <c r="Q1400" t="str">
        <f t="shared" si="21"/>
        <v>Jul-24</v>
      </c>
      <c r="R1400">
        <f>IFERROR((VLOOKUP(D1400,Products!$A:$E,5,FALSE())-VLOOKUP(D1400,Products!$A:$E,4,FALSE()))/VLOOKUP(D1400,Products!$A:$E,5,FALSE()),"")</f>
        <v>0.58133086876155271</v>
      </c>
    </row>
    <row r="1401" spans="1:18" x14ac:dyDescent="0.3">
      <c r="A1401" s="22" t="s">
        <v>3275</v>
      </c>
      <c r="B1401" s="23">
        <v>45445</v>
      </c>
      <c r="C1401" s="22" t="s">
        <v>3276</v>
      </c>
      <c r="D1401" s="22" t="s">
        <v>591</v>
      </c>
      <c r="E1401" s="22" t="s">
        <v>3277</v>
      </c>
      <c r="F1401" s="24">
        <v>9</v>
      </c>
      <c r="G1401" s="24">
        <v>3450</v>
      </c>
      <c r="H1401" s="24">
        <v>0.3</v>
      </c>
      <c r="I1401" s="24">
        <v>30956.85</v>
      </c>
      <c r="J1401" s="22" t="s">
        <v>164</v>
      </c>
      <c r="K1401" s="22" t="s">
        <v>151</v>
      </c>
      <c r="L1401" t="str">
        <f>VLOOKUP(D1401,Products!A:F,3,FALSE())</f>
        <v>Apparel</v>
      </c>
      <c r="M1401" t="str">
        <f>VLOOKUP(C1401,Customers!A:F,5,FALSE())</f>
        <v>SMB</v>
      </c>
      <c r="O1401" t="str">
        <f>IFERROR(VLOOKUP(E1401,Sales_Reps!$A:$C,3,FALSE()),"")</f>
        <v/>
      </c>
      <c r="P1401">
        <f>IFERROR(VLOOKUP(C1401,Customers!$A:$C,3,FALSE()),"")</f>
        <v>34</v>
      </c>
      <c r="Q1401" t="str">
        <f t="shared" si="21"/>
        <v>Jun-24</v>
      </c>
      <c r="R1401">
        <f>IFERROR((VLOOKUP(D1401,Products!$A:$E,5,FALSE())-VLOOKUP(D1401,Products!$A:$E,4,FALSE()))/VLOOKUP(D1401,Products!$A:$E,5,FALSE()),"")</f>
        <v>0.49333333333333335</v>
      </c>
    </row>
    <row r="1402" spans="1:18" x14ac:dyDescent="0.3">
      <c r="A1402" s="22" t="s">
        <v>3278</v>
      </c>
      <c r="B1402" s="23">
        <v>45614</v>
      </c>
      <c r="C1402" s="22" t="s">
        <v>599</v>
      </c>
      <c r="D1402" s="22" t="s">
        <v>123</v>
      </c>
      <c r="E1402" s="22" t="s">
        <v>3279</v>
      </c>
      <c r="F1402" s="24">
        <v>10</v>
      </c>
      <c r="G1402" s="24">
        <v>3160</v>
      </c>
      <c r="H1402" s="24">
        <v>13.6</v>
      </c>
      <c r="I1402" s="24">
        <v>27302.400000000001</v>
      </c>
      <c r="J1402" s="22" t="s">
        <v>104</v>
      </c>
      <c r="K1402" s="22" t="s">
        <v>105</v>
      </c>
      <c r="L1402" t="str">
        <f>VLOOKUP(D1402,Products!A:F,3,FALSE())</f>
        <v>Apparel</v>
      </c>
      <c r="M1402" t="str">
        <f>VLOOKUP(C1402,Customers!A:F,5,FALSE())</f>
        <v>Retail</v>
      </c>
      <c r="O1402" t="str">
        <f>IFERROR(VLOOKUP(E1402,Sales_Reps!$A:$C,3,FALSE()),"")</f>
        <v/>
      </c>
      <c r="P1402">
        <f>IFERROR(VLOOKUP(C1402,Customers!$A:$C,3,FALSE()),"")</f>
        <v>29</v>
      </c>
      <c r="Q1402" t="str">
        <f t="shared" si="21"/>
        <v>Nov-24</v>
      </c>
      <c r="R1402">
        <f>IFERROR((VLOOKUP(D1402,Products!$A:$E,5,FALSE())-VLOOKUP(D1402,Products!$A:$E,4,FALSE()))/VLOOKUP(D1402,Products!$A:$E,5,FALSE()),"")</f>
        <v>0.4031645569620253</v>
      </c>
    </row>
    <row r="1403" spans="1:18" x14ac:dyDescent="0.3">
      <c r="A1403" s="22" t="s">
        <v>3280</v>
      </c>
      <c r="B1403" s="23">
        <v>45433</v>
      </c>
      <c r="C1403" s="22" t="s">
        <v>136</v>
      </c>
      <c r="D1403" s="22" t="s">
        <v>308</v>
      </c>
      <c r="E1403" s="22" t="s">
        <v>3281</v>
      </c>
      <c r="F1403" s="24">
        <v>3</v>
      </c>
      <c r="G1403" s="24">
        <v>1540</v>
      </c>
      <c r="H1403" s="24">
        <v>21.2</v>
      </c>
      <c r="I1403" s="24">
        <v>3640.56</v>
      </c>
      <c r="J1403" s="22" t="s">
        <v>104</v>
      </c>
      <c r="K1403" s="22" t="s">
        <v>134</v>
      </c>
      <c r="L1403" t="str">
        <f>VLOOKUP(D1403,Products!A:F,3,FALSE())</f>
        <v>Beauty</v>
      </c>
      <c r="M1403" t="str">
        <f>VLOOKUP(C1403,Customers!A:F,5,FALSE())</f>
        <v>Corporate</v>
      </c>
      <c r="O1403" t="str">
        <f>IFERROR(VLOOKUP(E1403,Sales_Reps!$A:$C,3,FALSE()),"")</f>
        <v/>
      </c>
      <c r="P1403">
        <f>IFERROR(VLOOKUP(C1403,Customers!$A:$C,3,FALSE()),"")</f>
        <v>57</v>
      </c>
      <c r="Q1403" t="str">
        <f t="shared" si="21"/>
        <v>May-24</v>
      </c>
      <c r="R1403">
        <f>IFERROR((VLOOKUP(D1403,Products!$A:$E,5,FALSE())-VLOOKUP(D1403,Products!$A:$E,4,FALSE()))/VLOOKUP(D1403,Products!$A:$E,5,FALSE()),"")</f>
        <v>0.57987012987012987</v>
      </c>
    </row>
    <row r="1404" spans="1:18" x14ac:dyDescent="0.3">
      <c r="A1404" s="22" t="s">
        <v>3282</v>
      </c>
      <c r="B1404" s="23">
        <v>45402</v>
      </c>
      <c r="C1404" s="22" t="s">
        <v>494</v>
      </c>
      <c r="D1404" s="22" t="s">
        <v>279</v>
      </c>
      <c r="E1404" s="22" t="s">
        <v>3283</v>
      </c>
      <c r="F1404" s="24">
        <v>5</v>
      </c>
      <c r="G1404" s="24">
        <v>3640</v>
      </c>
      <c r="H1404" s="24">
        <v>17.5</v>
      </c>
      <c r="I1404" s="24">
        <v>15015</v>
      </c>
      <c r="J1404" s="22" t="s">
        <v>104</v>
      </c>
      <c r="K1404" s="22" t="s">
        <v>105</v>
      </c>
      <c r="L1404" t="str">
        <f>VLOOKUP(D1404,Products!A:F,3,FALSE())</f>
        <v>Apparel</v>
      </c>
      <c r="M1404" t="str">
        <f>VLOOKUP(C1404,Customers!A:F,5,FALSE())</f>
        <v>SMB</v>
      </c>
      <c r="O1404" t="str">
        <f>IFERROR(VLOOKUP(E1404,Sales_Reps!$A:$C,3,FALSE()),"")</f>
        <v/>
      </c>
      <c r="P1404">
        <f>IFERROR(VLOOKUP(C1404,Customers!$A:$C,3,FALSE()),"")</f>
        <v>54</v>
      </c>
      <c r="Q1404" t="str">
        <f t="shared" si="21"/>
        <v>Apr-24</v>
      </c>
      <c r="R1404">
        <f>IFERROR((VLOOKUP(D1404,Products!$A:$E,5,FALSE())-VLOOKUP(D1404,Products!$A:$E,4,FALSE()))/VLOOKUP(D1404,Products!$A:$E,5,FALSE()),"")</f>
        <v>0.28269230769230769</v>
      </c>
    </row>
    <row r="1405" spans="1:18" x14ac:dyDescent="0.3">
      <c r="A1405" s="22" t="s">
        <v>3284</v>
      </c>
      <c r="B1405" s="23">
        <v>45302</v>
      </c>
      <c r="C1405" s="22" t="s">
        <v>148</v>
      </c>
      <c r="D1405" s="22" t="s">
        <v>605</v>
      </c>
      <c r="E1405" s="22" t="s">
        <v>3285</v>
      </c>
      <c r="F1405" s="24">
        <v>4</v>
      </c>
      <c r="G1405" s="24">
        <v>3780</v>
      </c>
      <c r="H1405" s="24">
        <v>9</v>
      </c>
      <c r="I1405" s="24">
        <v>13759.2</v>
      </c>
      <c r="J1405" s="22" t="s">
        <v>110</v>
      </c>
      <c r="K1405" s="22" t="s">
        <v>151</v>
      </c>
      <c r="L1405" t="str">
        <f>VLOOKUP(D1405,Products!A:F,3,FALSE())</f>
        <v>Sports</v>
      </c>
      <c r="M1405" t="str">
        <f>VLOOKUP(C1405,Customers!A:F,5,FALSE())</f>
        <v>Retail</v>
      </c>
      <c r="O1405" t="str">
        <f>IFERROR(VLOOKUP(E1405,Sales_Reps!$A:$C,3,FALSE()),"")</f>
        <v/>
      </c>
      <c r="P1405">
        <f>IFERROR(VLOOKUP(C1405,Customers!$A:$C,3,FALSE()),"")</f>
        <v>60</v>
      </c>
      <c r="Q1405" t="str">
        <f t="shared" si="21"/>
        <v>Jan-24</v>
      </c>
      <c r="R1405">
        <f>IFERROR((VLOOKUP(D1405,Products!$A:$E,5,FALSE())-VLOOKUP(D1405,Products!$A:$E,4,FALSE()))/VLOOKUP(D1405,Products!$A:$E,5,FALSE()),"")</f>
        <v>0.50793650793650791</v>
      </c>
    </row>
    <row r="1406" spans="1:18" x14ac:dyDescent="0.3">
      <c r="A1406" s="22" t="s">
        <v>3286</v>
      </c>
      <c r="B1406" s="23">
        <v>45526</v>
      </c>
      <c r="C1406" s="22" t="s">
        <v>514</v>
      </c>
      <c r="D1406" s="22" t="s">
        <v>197</v>
      </c>
      <c r="E1406" s="22" t="s">
        <v>3287</v>
      </c>
      <c r="F1406" s="24">
        <v>9</v>
      </c>
      <c r="G1406" s="24">
        <v>2720</v>
      </c>
      <c r="H1406" s="24">
        <v>8.9</v>
      </c>
      <c r="I1406" s="24">
        <v>22301.279999999999</v>
      </c>
      <c r="J1406" s="22" t="s">
        <v>104</v>
      </c>
      <c r="K1406" s="22" t="s">
        <v>134</v>
      </c>
      <c r="L1406" t="str">
        <f>VLOOKUP(D1406,Products!A:F,3,FALSE())</f>
        <v>Apparel</v>
      </c>
      <c r="M1406" t="str">
        <f>VLOOKUP(C1406,Customers!A:F,5,FALSE())</f>
        <v>Retail</v>
      </c>
      <c r="O1406" t="str">
        <f>IFERROR(VLOOKUP(E1406,Sales_Reps!$A:$C,3,FALSE()),"")</f>
        <v/>
      </c>
      <c r="P1406">
        <f>IFERROR(VLOOKUP(C1406,Customers!$A:$C,3,FALSE()),"")</f>
        <v>59</v>
      </c>
      <c r="Q1406" t="str">
        <f t="shared" si="21"/>
        <v>Aug-24</v>
      </c>
      <c r="R1406">
        <f>IFERROR((VLOOKUP(D1406,Products!$A:$E,5,FALSE())-VLOOKUP(D1406,Products!$A:$E,4,FALSE()))/VLOOKUP(D1406,Products!$A:$E,5,FALSE()),"")</f>
        <v>0.2786764705882353</v>
      </c>
    </row>
    <row r="1407" spans="1:18" x14ac:dyDescent="0.3">
      <c r="A1407" s="22" t="s">
        <v>3288</v>
      </c>
      <c r="B1407" s="23">
        <v>45648</v>
      </c>
      <c r="C1407" s="22" t="s">
        <v>1659</v>
      </c>
      <c r="D1407" s="22" t="s">
        <v>102</v>
      </c>
      <c r="E1407" s="22" t="s">
        <v>3289</v>
      </c>
      <c r="F1407" s="24">
        <v>4</v>
      </c>
      <c r="G1407" s="24">
        <v>3620</v>
      </c>
      <c r="H1407" s="24">
        <v>8</v>
      </c>
      <c r="I1407" s="24">
        <v>13321.6</v>
      </c>
      <c r="J1407" s="22" t="s">
        <v>110</v>
      </c>
      <c r="K1407" s="22" t="s">
        <v>111</v>
      </c>
      <c r="L1407" t="str">
        <f>VLOOKUP(D1407,Products!A:F,3,FALSE())</f>
        <v>Apparel</v>
      </c>
      <c r="M1407" t="str">
        <f>VLOOKUP(C1407,Customers!A:F,5,FALSE())</f>
        <v>Retail</v>
      </c>
      <c r="O1407" t="str">
        <f>IFERROR(VLOOKUP(E1407,Sales_Reps!$A:$C,3,FALSE()),"")</f>
        <v/>
      </c>
      <c r="P1407">
        <f>IFERROR(VLOOKUP(C1407,Customers!$A:$C,3,FALSE()),"")</f>
        <v>49</v>
      </c>
      <c r="Q1407" t="str">
        <f t="shared" si="21"/>
        <v>Dec-24</v>
      </c>
      <c r="R1407">
        <f>IFERROR((VLOOKUP(D1407,Products!$A:$E,5,FALSE())-VLOOKUP(D1407,Products!$A:$E,4,FALSE()))/VLOOKUP(D1407,Products!$A:$E,5,FALSE()),"")</f>
        <v>0.3069060773480663</v>
      </c>
    </row>
    <row r="1408" spans="1:18" x14ac:dyDescent="0.3">
      <c r="A1408" s="22" t="s">
        <v>3290</v>
      </c>
      <c r="B1408" s="23">
        <v>45325</v>
      </c>
      <c r="C1408" s="22" t="s">
        <v>690</v>
      </c>
      <c r="D1408" s="22" t="s">
        <v>591</v>
      </c>
      <c r="E1408" s="22" t="s">
        <v>3291</v>
      </c>
      <c r="F1408" s="24">
        <v>1</v>
      </c>
      <c r="G1408" s="24">
        <v>3450</v>
      </c>
      <c r="H1408" s="24">
        <v>0.2</v>
      </c>
      <c r="I1408" s="24">
        <v>3443.1</v>
      </c>
      <c r="J1408" s="22" t="s">
        <v>104</v>
      </c>
      <c r="K1408" s="22" t="s">
        <v>151</v>
      </c>
      <c r="L1408" t="str">
        <f>VLOOKUP(D1408,Products!A:F,3,FALSE())</f>
        <v>Apparel</v>
      </c>
      <c r="M1408" t="str">
        <f>VLOOKUP(C1408,Customers!A:F,5,FALSE())</f>
        <v>Retail</v>
      </c>
      <c r="O1408" t="str">
        <f>IFERROR(VLOOKUP(E1408,Sales_Reps!$A:$C,3,FALSE()),"")</f>
        <v/>
      </c>
      <c r="P1408">
        <f>IFERROR(VLOOKUP(C1408,Customers!$A:$C,3,FALSE()),"")</f>
        <v>61</v>
      </c>
      <c r="Q1408" t="str">
        <f t="shared" si="21"/>
        <v>Feb-24</v>
      </c>
      <c r="R1408">
        <f>IFERROR((VLOOKUP(D1408,Products!$A:$E,5,FALSE())-VLOOKUP(D1408,Products!$A:$E,4,FALSE()))/VLOOKUP(D1408,Products!$A:$E,5,FALSE()),"")</f>
        <v>0.49333333333333335</v>
      </c>
    </row>
    <row r="1409" spans="1:18" x14ac:dyDescent="0.3">
      <c r="A1409" s="22" t="s">
        <v>3292</v>
      </c>
      <c r="B1409" s="23">
        <v>45640</v>
      </c>
      <c r="C1409" s="22" t="s">
        <v>745</v>
      </c>
      <c r="D1409" s="22" t="s">
        <v>279</v>
      </c>
      <c r="E1409" s="22" t="s">
        <v>3293</v>
      </c>
      <c r="F1409" s="24">
        <v>7</v>
      </c>
      <c r="G1409" s="24">
        <v>3640</v>
      </c>
      <c r="H1409" s="24">
        <v>4.5999999999999996</v>
      </c>
      <c r="I1409" s="24">
        <v>24307.919999999998</v>
      </c>
      <c r="J1409" s="22" t="s">
        <v>104</v>
      </c>
      <c r="K1409" s="22" t="s">
        <v>116</v>
      </c>
      <c r="L1409" t="str">
        <f>VLOOKUP(D1409,Products!A:F,3,FALSE())</f>
        <v>Apparel</v>
      </c>
      <c r="M1409" t="str">
        <f>VLOOKUP(C1409,Customers!A:F,5,FALSE())</f>
        <v>SMB</v>
      </c>
      <c r="O1409" t="str">
        <f>IFERROR(VLOOKUP(E1409,Sales_Reps!$A:$C,3,FALSE()),"")</f>
        <v/>
      </c>
      <c r="P1409">
        <f>IFERROR(VLOOKUP(C1409,Customers!$A:$C,3,FALSE()),"")</f>
        <v>29</v>
      </c>
      <c r="Q1409" t="str">
        <f t="shared" si="21"/>
        <v>Dec-24</v>
      </c>
      <c r="R1409">
        <f>IFERROR((VLOOKUP(D1409,Products!$A:$E,5,FALSE())-VLOOKUP(D1409,Products!$A:$E,4,FALSE()))/VLOOKUP(D1409,Products!$A:$E,5,FALSE()),"")</f>
        <v>0.28269230769230769</v>
      </c>
    </row>
    <row r="1410" spans="1:18" x14ac:dyDescent="0.3">
      <c r="A1410" s="22" t="s">
        <v>3294</v>
      </c>
      <c r="B1410" s="23">
        <v>45423</v>
      </c>
      <c r="C1410" s="22" t="s">
        <v>1606</v>
      </c>
      <c r="D1410" s="22" t="s">
        <v>352</v>
      </c>
      <c r="E1410" s="22" t="s">
        <v>3295</v>
      </c>
      <c r="F1410" s="24">
        <v>9</v>
      </c>
      <c r="G1410" s="24">
        <v>620</v>
      </c>
      <c r="H1410" s="24">
        <v>8.5</v>
      </c>
      <c r="I1410" s="24">
        <v>5105.7</v>
      </c>
      <c r="J1410" s="22" t="s">
        <v>104</v>
      </c>
      <c r="K1410" s="22" t="s">
        <v>129</v>
      </c>
      <c r="L1410" t="str">
        <f>VLOOKUP(D1410,Products!A:F,3,FALSE())</f>
        <v>Apparel</v>
      </c>
      <c r="M1410" t="str">
        <f>VLOOKUP(C1410,Customers!A:F,5,FALSE())</f>
        <v>Retail</v>
      </c>
      <c r="O1410" t="str">
        <f>IFERROR(VLOOKUP(E1410,Sales_Reps!$A:$C,3,FALSE()),"")</f>
        <v/>
      </c>
      <c r="P1410">
        <f>IFERROR(VLOOKUP(C1410,Customers!$A:$C,3,FALSE()),"")</f>
        <v>33</v>
      </c>
      <c r="Q1410" t="str">
        <f t="shared" ref="Q1410:Q1473" si="22">TEXT(B1410,"mmm-yy")</f>
        <v>May-24</v>
      </c>
      <c r="R1410">
        <f>IFERROR((VLOOKUP(D1410,Products!$A:$E,5,FALSE())-VLOOKUP(D1410,Products!$A:$E,4,FALSE()))/VLOOKUP(D1410,Products!$A:$E,5,FALSE()),"")</f>
        <v>0.36129032258064514</v>
      </c>
    </row>
    <row r="1411" spans="1:18" x14ac:dyDescent="0.3">
      <c r="A1411" s="22" t="s">
        <v>3296</v>
      </c>
      <c r="B1411" s="23">
        <v>45423</v>
      </c>
      <c r="C1411" s="22" t="s">
        <v>1030</v>
      </c>
      <c r="D1411" s="22" t="s">
        <v>605</v>
      </c>
      <c r="E1411" s="22" t="s">
        <v>3297</v>
      </c>
      <c r="F1411" s="24">
        <v>10</v>
      </c>
      <c r="G1411" s="24">
        <v>3780</v>
      </c>
      <c r="H1411" s="24">
        <v>5.8</v>
      </c>
      <c r="I1411" s="24">
        <v>35607.599999999999</v>
      </c>
      <c r="J1411" s="22" t="s">
        <v>104</v>
      </c>
      <c r="K1411" s="22" t="s">
        <v>116</v>
      </c>
      <c r="L1411" t="str">
        <f>VLOOKUP(D1411,Products!A:F,3,FALSE())</f>
        <v>Sports</v>
      </c>
      <c r="M1411" t="str">
        <f>VLOOKUP(C1411,Customers!A:F,5,FALSE())</f>
        <v>Retail</v>
      </c>
      <c r="O1411" t="str">
        <f>IFERROR(VLOOKUP(E1411,Sales_Reps!$A:$C,3,FALSE()),"")</f>
        <v/>
      </c>
      <c r="P1411">
        <f>IFERROR(VLOOKUP(C1411,Customers!$A:$C,3,FALSE()),"")</f>
        <v>24</v>
      </c>
      <c r="Q1411" t="str">
        <f t="shared" si="22"/>
        <v>May-24</v>
      </c>
      <c r="R1411">
        <f>IFERROR((VLOOKUP(D1411,Products!$A:$E,5,FALSE())-VLOOKUP(D1411,Products!$A:$E,4,FALSE()))/VLOOKUP(D1411,Products!$A:$E,5,FALSE()),"")</f>
        <v>0.50793650793650791</v>
      </c>
    </row>
    <row r="1412" spans="1:18" x14ac:dyDescent="0.3">
      <c r="A1412" s="22" t="s">
        <v>3298</v>
      </c>
      <c r="B1412" s="23">
        <v>45518</v>
      </c>
      <c r="C1412" s="22" t="s">
        <v>706</v>
      </c>
      <c r="D1412" s="22" t="s">
        <v>216</v>
      </c>
      <c r="E1412" s="22" t="s">
        <v>3299</v>
      </c>
      <c r="F1412" s="24">
        <v>7</v>
      </c>
      <c r="G1412" s="24">
        <v>3570</v>
      </c>
      <c r="H1412" s="24">
        <v>26.1</v>
      </c>
      <c r="I1412" s="24">
        <v>18467.61</v>
      </c>
      <c r="J1412" s="22" t="s">
        <v>104</v>
      </c>
      <c r="K1412" s="22" t="s">
        <v>116</v>
      </c>
      <c r="L1412" t="str">
        <f>VLOOKUP(D1412,Products!A:F,3,FALSE())</f>
        <v>Electronics</v>
      </c>
      <c r="M1412" t="str">
        <f>VLOOKUP(C1412,Customers!A:F,5,FALSE())</f>
        <v>SMB</v>
      </c>
      <c r="O1412" t="str">
        <f>IFERROR(VLOOKUP(E1412,Sales_Reps!$A:$C,3,FALSE()),"")</f>
        <v/>
      </c>
      <c r="P1412">
        <f>IFERROR(VLOOKUP(C1412,Customers!$A:$C,3,FALSE()),"")</f>
        <v>55</v>
      </c>
      <c r="Q1412" t="str">
        <f t="shared" si="22"/>
        <v>Aug-24</v>
      </c>
      <c r="R1412">
        <f>IFERROR((VLOOKUP(D1412,Products!$A:$E,5,FALSE())-VLOOKUP(D1412,Products!$A:$E,4,FALSE()))/VLOOKUP(D1412,Products!$A:$E,5,FALSE()),"")</f>
        <v>0.53361344537815125</v>
      </c>
    </row>
    <row r="1413" spans="1:18" x14ac:dyDescent="0.3">
      <c r="A1413" s="22" t="s">
        <v>3300</v>
      </c>
      <c r="B1413" s="23">
        <v>45306</v>
      </c>
      <c r="C1413" s="22" t="s">
        <v>1030</v>
      </c>
      <c r="D1413" s="22" t="s">
        <v>201</v>
      </c>
      <c r="E1413" s="22" t="s">
        <v>3301</v>
      </c>
      <c r="F1413" s="24">
        <v>2</v>
      </c>
      <c r="G1413" s="24">
        <v>1650</v>
      </c>
      <c r="H1413" s="24">
        <v>3.8</v>
      </c>
      <c r="I1413" s="24">
        <v>3174.6</v>
      </c>
      <c r="J1413" s="22" t="s">
        <v>104</v>
      </c>
      <c r="K1413" s="22" t="s">
        <v>116</v>
      </c>
      <c r="L1413" t="str">
        <f>VLOOKUP(D1413,Products!A:F,3,FALSE())</f>
        <v>Beauty</v>
      </c>
      <c r="M1413" t="str">
        <f>VLOOKUP(C1413,Customers!A:F,5,FALSE())</f>
        <v>Retail</v>
      </c>
      <c r="O1413" t="str">
        <f>IFERROR(VLOOKUP(E1413,Sales_Reps!$A:$C,3,FALSE()),"")</f>
        <v/>
      </c>
      <c r="P1413">
        <f>IFERROR(VLOOKUP(C1413,Customers!$A:$C,3,FALSE()),"")</f>
        <v>24</v>
      </c>
      <c r="Q1413" t="str">
        <f t="shared" si="22"/>
        <v>Jan-24</v>
      </c>
      <c r="R1413">
        <f>IFERROR((VLOOKUP(D1413,Products!$A:$E,5,FALSE())-VLOOKUP(D1413,Products!$A:$E,4,FALSE()))/VLOOKUP(D1413,Products!$A:$E,5,FALSE()),"")</f>
        <v>0.2593939393939394</v>
      </c>
    </row>
    <row r="1414" spans="1:18" x14ac:dyDescent="0.3">
      <c r="A1414" s="22" t="s">
        <v>3302</v>
      </c>
      <c r="B1414" s="23">
        <v>45346</v>
      </c>
      <c r="C1414" s="22" t="s">
        <v>2947</v>
      </c>
      <c r="D1414" s="22" t="s">
        <v>479</v>
      </c>
      <c r="E1414" s="22" t="s">
        <v>3303</v>
      </c>
      <c r="F1414" s="24">
        <v>2</v>
      </c>
      <c r="G1414" s="24">
        <v>960</v>
      </c>
      <c r="H1414" s="24">
        <v>6.8</v>
      </c>
      <c r="I1414" s="24">
        <v>1789.44</v>
      </c>
      <c r="J1414" s="22" t="s">
        <v>104</v>
      </c>
      <c r="K1414" s="22" t="s">
        <v>134</v>
      </c>
      <c r="L1414" t="str">
        <f>VLOOKUP(D1414,Products!A:F,3,FALSE())</f>
        <v>Beauty</v>
      </c>
      <c r="M1414" t="str">
        <f>VLOOKUP(C1414,Customers!A:F,5,FALSE())</f>
        <v>SMB</v>
      </c>
      <c r="O1414" t="str">
        <f>IFERROR(VLOOKUP(E1414,Sales_Reps!$A:$C,3,FALSE()),"")</f>
        <v/>
      </c>
      <c r="P1414">
        <f>IFERROR(VLOOKUP(C1414,Customers!$A:$C,3,FALSE()),"")</f>
        <v>54</v>
      </c>
      <c r="Q1414" t="str">
        <f t="shared" si="22"/>
        <v>Feb-24</v>
      </c>
      <c r="R1414">
        <f>IFERROR((VLOOKUP(D1414,Products!$A:$E,5,FALSE())-VLOOKUP(D1414,Products!$A:$E,4,FALSE()))/VLOOKUP(D1414,Products!$A:$E,5,FALSE()),"")</f>
        <v>0.296875</v>
      </c>
    </row>
    <row r="1415" spans="1:18" x14ac:dyDescent="0.3">
      <c r="A1415" s="22" t="s">
        <v>3304</v>
      </c>
      <c r="B1415" s="23">
        <v>45376</v>
      </c>
      <c r="C1415" s="22" t="s">
        <v>1309</v>
      </c>
      <c r="D1415" s="22" t="s">
        <v>338</v>
      </c>
      <c r="E1415" s="22" t="s">
        <v>3305</v>
      </c>
      <c r="F1415" s="24">
        <v>2</v>
      </c>
      <c r="G1415" s="24">
        <v>300</v>
      </c>
      <c r="H1415" s="24">
        <v>2.8</v>
      </c>
      <c r="I1415" s="24">
        <v>583.20000000000005</v>
      </c>
      <c r="J1415" s="22" t="s">
        <v>104</v>
      </c>
      <c r="K1415" s="22" t="s">
        <v>129</v>
      </c>
      <c r="L1415" t="str">
        <f>VLOOKUP(D1415,Products!A:F,3,FALSE())</f>
        <v>Electronics</v>
      </c>
      <c r="M1415" t="str">
        <f>VLOOKUP(C1415,Customers!A:F,5,FALSE())</f>
        <v>Corporate</v>
      </c>
      <c r="O1415" t="str">
        <f>IFERROR(VLOOKUP(E1415,Sales_Reps!$A:$C,3,FALSE()),"")</f>
        <v/>
      </c>
      <c r="P1415">
        <f>IFERROR(VLOOKUP(C1415,Customers!$A:$C,3,FALSE()),"")</f>
        <v>62</v>
      </c>
      <c r="Q1415" t="str">
        <f t="shared" si="22"/>
        <v>Mar-24</v>
      </c>
      <c r="R1415">
        <f>IFERROR((VLOOKUP(D1415,Products!$A:$E,5,FALSE())-VLOOKUP(D1415,Products!$A:$E,4,FALSE()))/VLOOKUP(D1415,Products!$A:$E,5,FALSE()),"")</f>
        <v>0.57333333333333336</v>
      </c>
    </row>
    <row r="1416" spans="1:18" x14ac:dyDescent="0.3">
      <c r="A1416" s="22" t="s">
        <v>3306</v>
      </c>
      <c r="B1416" s="23">
        <v>45561</v>
      </c>
      <c r="C1416" s="22" t="s">
        <v>658</v>
      </c>
      <c r="D1416" s="22" t="s">
        <v>436</v>
      </c>
      <c r="E1416" s="22" t="s">
        <v>3307</v>
      </c>
      <c r="F1416" s="24">
        <v>10</v>
      </c>
      <c r="G1416" s="24">
        <v>4060</v>
      </c>
      <c r="H1416" s="24">
        <v>15.1</v>
      </c>
      <c r="I1416" s="24">
        <v>34469.4</v>
      </c>
      <c r="J1416" s="22" t="s">
        <v>104</v>
      </c>
      <c r="K1416" s="22" t="s">
        <v>105</v>
      </c>
      <c r="L1416" t="str">
        <f>VLOOKUP(D1416,Products!A:F,3,FALSE())</f>
        <v>Grocery</v>
      </c>
      <c r="M1416" t="str">
        <f>VLOOKUP(C1416,Customers!A:F,5,FALSE())</f>
        <v>Retail</v>
      </c>
      <c r="O1416" t="str">
        <f>IFERROR(VLOOKUP(E1416,Sales_Reps!$A:$C,3,FALSE()),"")</f>
        <v/>
      </c>
      <c r="P1416">
        <f>IFERROR(VLOOKUP(C1416,Customers!$A:$C,3,FALSE()),"")</f>
        <v>57</v>
      </c>
      <c r="Q1416" t="str">
        <f t="shared" si="22"/>
        <v>Sep-24</v>
      </c>
      <c r="R1416">
        <f>IFERROR((VLOOKUP(D1416,Products!$A:$E,5,FALSE())-VLOOKUP(D1416,Products!$A:$E,4,FALSE()))/VLOOKUP(D1416,Products!$A:$E,5,FALSE()),"")</f>
        <v>0.28300492610837441</v>
      </c>
    </row>
    <row r="1417" spans="1:18" x14ac:dyDescent="0.3">
      <c r="A1417" s="22" t="s">
        <v>3308</v>
      </c>
      <c r="B1417" s="23">
        <v>45320</v>
      </c>
      <c r="C1417" s="22" t="s">
        <v>1903</v>
      </c>
      <c r="D1417" s="22" t="s">
        <v>455</v>
      </c>
      <c r="E1417" s="22" t="s">
        <v>3309</v>
      </c>
      <c r="F1417" s="24">
        <v>6</v>
      </c>
      <c r="G1417" s="24">
        <v>5330</v>
      </c>
      <c r="H1417" s="24">
        <v>2</v>
      </c>
      <c r="I1417" s="24">
        <v>31340.400000000001</v>
      </c>
      <c r="J1417" s="22" t="s">
        <v>104</v>
      </c>
      <c r="K1417" s="22" t="s">
        <v>134</v>
      </c>
      <c r="L1417" t="str">
        <f>VLOOKUP(D1417,Products!A:F,3,FALSE())</f>
        <v>Electronics</v>
      </c>
      <c r="M1417" t="str">
        <f>VLOOKUP(C1417,Customers!A:F,5,FALSE())</f>
        <v>Retail</v>
      </c>
      <c r="O1417" t="str">
        <f>IFERROR(VLOOKUP(E1417,Sales_Reps!$A:$C,3,FALSE()),"")</f>
        <v/>
      </c>
      <c r="P1417">
        <f>IFERROR(VLOOKUP(C1417,Customers!$A:$C,3,FALSE()),"")</f>
        <v>36</v>
      </c>
      <c r="Q1417" t="str">
        <f t="shared" si="22"/>
        <v>Jan-24</v>
      </c>
      <c r="R1417">
        <f>IFERROR((VLOOKUP(D1417,Products!$A:$E,5,FALSE())-VLOOKUP(D1417,Products!$A:$E,4,FALSE()))/VLOOKUP(D1417,Products!$A:$E,5,FALSE()),"")</f>
        <v>0.54878048780487809</v>
      </c>
    </row>
    <row r="1418" spans="1:18" x14ac:dyDescent="0.3">
      <c r="A1418" s="22" t="s">
        <v>3310</v>
      </c>
      <c r="B1418" s="23">
        <v>45572</v>
      </c>
      <c r="C1418" s="22" t="s">
        <v>540</v>
      </c>
      <c r="D1418" s="22" t="s">
        <v>265</v>
      </c>
      <c r="E1418" s="22" t="s">
        <v>3311</v>
      </c>
      <c r="F1418" s="24">
        <v>9</v>
      </c>
      <c r="G1418" s="24">
        <v>3730</v>
      </c>
      <c r="H1418" s="24">
        <v>24.5</v>
      </c>
      <c r="I1418" s="24">
        <v>25345.35</v>
      </c>
      <c r="J1418" s="22" t="s">
        <v>164</v>
      </c>
      <c r="K1418" s="22" t="s">
        <v>116</v>
      </c>
      <c r="L1418" t="str">
        <f>VLOOKUP(D1418,Products!A:F,3,FALSE())</f>
        <v>Home</v>
      </c>
      <c r="M1418" t="str">
        <f>VLOOKUP(C1418,Customers!A:F,5,FALSE())</f>
        <v>Retail</v>
      </c>
      <c r="O1418" t="str">
        <f>IFERROR(VLOOKUP(E1418,Sales_Reps!$A:$C,3,FALSE()),"")</f>
        <v/>
      </c>
      <c r="P1418">
        <f>IFERROR(VLOOKUP(C1418,Customers!$A:$C,3,FALSE()),"")</f>
        <v>44</v>
      </c>
      <c r="Q1418" t="str">
        <f t="shared" si="22"/>
        <v>Oct-24</v>
      </c>
      <c r="R1418">
        <f>IFERROR((VLOOKUP(D1418,Products!$A:$E,5,FALSE())-VLOOKUP(D1418,Products!$A:$E,4,FALSE()))/VLOOKUP(D1418,Products!$A:$E,5,FALSE()),"")</f>
        <v>0.42761394101876676</v>
      </c>
    </row>
    <row r="1419" spans="1:18" x14ac:dyDescent="0.3">
      <c r="A1419" s="22" t="s">
        <v>3312</v>
      </c>
      <c r="B1419" s="23">
        <v>45611</v>
      </c>
      <c r="C1419" s="22" t="s">
        <v>439</v>
      </c>
      <c r="D1419" s="22" t="s">
        <v>283</v>
      </c>
      <c r="E1419" s="22" t="s">
        <v>3313</v>
      </c>
      <c r="F1419" s="24">
        <v>1</v>
      </c>
      <c r="G1419" s="24">
        <v>6080</v>
      </c>
      <c r="H1419" s="24">
        <v>4.4000000000000004</v>
      </c>
      <c r="I1419" s="24">
        <v>5812.48</v>
      </c>
      <c r="J1419" s="22" t="s">
        <v>159</v>
      </c>
      <c r="K1419" s="22" t="s">
        <v>111</v>
      </c>
      <c r="L1419" t="str">
        <f>VLOOKUP(D1419,Products!A:F,3,FALSE())</f>
        <v>Beauty</v>
      </c>
      <c r="M1419" t="str">
        <f>VLOOKUP(C1419,Customers!A:F,5,FALSE())</f>
        <v>Retail</v>
      </c>
      <c r="O1419" t="str">
        <f>IFERROR(VLOOKUP(E1419,Sales_Reps!$A:$C,3,FALSE()),"")</f>
        <v/>
      </c>
      <c r="P1419">
        <f>IFERROR(VLOOKUP(C1419,Customers!$A:$C,3,FALSE()),"")</f>
        <v>60</v>
      </c>
      <c r="Q1419" t="str">
        <f t="shared" si="22"/>
        <v>Nov-24</v>
      </c>
      <c r="R1419">
        <f>IFERROR((VLOOKUP(D1419,Products!$A:$E,5,FALSE())-VLOOKUP(D1419,Products!$A:$E,4,FALSE()))/VLOOKUP(D1419,Products!$A:$E,5,FALSE()),"")</f>
        <v>0.56957236842105263</v>
      </c>
    </row>
    <row r="1420" spans="1:18" x14ac:dyDescent="0.3">
      <c r="A1420" s="22" t="s">
        <v>3314</v>
      </c>
      <c r="B1420" s="23">
        <v>45524</v>
      </c>
      <c r="C1420" s="22" t="s">
        <v>1018</v>
      </c>
      <c r="D1420" s="22" t="s">
        <v>197</v>
      </c>
      <c r="E1420" s="22" t="s">
        <v>3315</v>
      </c>
      <c r="F1420" s="24">
        <v>5</v>
      </c>
      <c r="G1420" s="24">
        <v>2720</v>
      </c>
      <c r="H1420" s="24">
        <v>9.1999999999999993</v>
      </c>
      <c r="I1420" s="24">
        <v>12348.8</v>
      </c>
      <c r="J1420" s="22" t="s">
        <v>104</v>
      </c>
      <c r="K1420" s="22" t="s">
        <v>129</v>
      </c>
      <c r="L1420" t="str">
        <f>VLOOKUP(D1420,Products!A:F,3,FALSE())</f>
        <v>Apparel</v>
      </c>
      <c r="M1420" t="str">
        <f>VLOOKUP(C1420,Customers!A:F,5,FALSE())</f>
        <v>Retail</v>
      </c>
      <c r="O1420" t="str">
        <f>IFERROR(VLOOKUP(E1420,Sales_Reps!$A:$C,3,FALSE()),"")</f>
        <v/>
      </c>
      <c r="P1420">
        <f>IFERROR(VLOOKUP(C1420,Customers!$A:$C,3,FALSE()),"")</f>
        <v>33</v>
      </c>
      <c r="Q1420" t="str">
        <f t="shared" si="22"/>
        <v>Aug-24</v>
      </c>
      <c r="R1420">
        <f>IFERROR((VLOOKUP(D1420,Products!$A:$E,5,FALSE())-VLOOKUP(D1420,Products!$A:$E,4,FALSE()))/VLOOKUP(D1420,Products!$A:$E,5,FALSE()),"")</f>
        <v>0.2786764705882353</v>
      </c>
    </row>
    <row r="1421" spans="1:18" x14ac:dyDescent="0.3">
      <c r="A1421" s="22" t="s">
        <v>3316</v>
      </c>
      <c r="B1421" s="23">
        <v>45438</v>
      </c>
      <c r="C1421" s="22" t="s">
        <v>526</v>
      </c>
      <c r="D1421" s="22" t="s">
        <v>591</v>
      </c>
      <c r="E1421" s="22" t="s">
        <v>3317</v>
      </c>
      <c r="F1421" s="24">
        <v>1</v>
      </c>
      <c r="G1421" s="24">
        <v>3450</v>
      </c>
      <c r="H1421" s="24">
        <v>15.6</v>
      </c>
      <c r="I1421" s="24">
        <v>2911.8</v>
      </c>
      <c r="J1421" s="22" t="s">
        <v>104</v>
      </c>
      <c r="K1421" s="22" t="s">
        <v>129</v>
      </c>
      <c r="L1421" t="str">
        <f>VLOOKUP(D1421,Products!A:F,3,FALSE())</f>
        <v>Apparel</v>
      </c>
      <c r="M1421" t="str">
        <f>VLOOKUP(C1421,Customers!A:F,5,FALSE())</f>
        <v>Retail</v>
      </c>
      <c r="O1421" t="str">
        <f>IFERROR(VLOOKUP(E1421,Sales_Reps!$A:$C,3,FALSE()),"")</f>
        <v/>
      </c>
      <c r="P1421">
        <f>IFERROR(VLOOKUP(C1421,Customers!$A:$C,3,FALSE()),"")</f>
        <v>61</v>
      </c>
      <c r="Q1421" t="str">
        <f t="shared" si="22"/>
        <v>May-24</v>
      </c>
      <c r="R1421">
        <f>IFERROR((VLOOKUP(D1421,Products!$A:$E,5,FALSE())-VLOOKUP(D1421,Products!$A:$E,4,FALSE()))/VLOOKUP(D1421,Products!$A:$E,5,FALSE()),"")</f>
        <v>0.49333333333333335</v>
      </c>
    </row>
    <row r="1422" spans="1:18" x14ac:dyDescent="0.3">
      <c r="A1422" s="22" t="s">
        <v>3318</v>
      </c>
      <c r="B1422" s="23">
        <v>45484</v>
      </c>
      <c r="C1422" s="22" t="s">
        <v>2746</v>
      </c>
      <c r="D1422" s="22" t="s">
        <v>674</v>
      </c>
      <c r="E1422" s="22" t="s">
        <v>3319</v>
      </c>
      <c r="F1422" s="24">
        <v>2</v>
      </c>
      <c r="G1422" s="24">
        <v>1090</v>
      </c>
      <c r="H1422" s="24">
        <v>0.4</v>
      </c>
      <c r="I1422" s="24">
        <v>2171.2800000000002</v>
      </c>
      <c r="J1422" s="22" t="s">
        <v>164</v>
      </c>
      <c r="K1422" s="22" t="s">
        <v>134</v>
      </c>
      <c r="L1422" t="str">
        <f>VLOOKUP(D1422,Products!A:F,3,FALSE())</f>
        <v>Home</v>
      </c>
      <c r="M1422" t="str">
        <f>VLOOKUP(C1422,Customers!A:F,5,FALSE())</f>
        <v>Retail</v>
      </c>
      <c r="O1422" t="str">
        <f>IFERROR(VLOOKUP(E1422,Sales_Reps!$A:$C,3,FALSE()),"")</f>
        <v/>
      </c>
      <c r="P1422">
        <f>IFERROR(VLOOKUP(C1422,Customers!$A:$C,3,FALSE()),"")</f>
        <v>53</v>
      </c>
      <c r="Q1422" t="str">
        <f t="shared" si="22"/>
        <v>Jul-24</v>
      </c>
      <c r="R1422">
        <f>IFERROR((VLOOKUP(D1422,Products!$A:$E,5,FALSE())-VLOOKUP(D1422,Products!$A:$E,4,FALSE()))/VLOOKUP(D1422,Products!$A:$E,5,FALSE()),"")</f>
        <v>0.57431192660550456</v>
      </c>
    </row>
    <row r="1423" spans="1:18" x14ac:dyDescent="0.3">
      <c r="A1423" s="22" t="s">
        <v>3320</v>
      </c>
      <c r="B1423" s="23">
        <v>45643</v>
      </c>
      <c r="C1423" s="22" t="s">
        <v>734</v>
      </c>
      <c r="D1423" s="22" t="s">
        <v>216</v>
      </c>
      <c r="E1423" s="22" t="s">
        <v>3321</v>
      </c>
      <c r="F1423" s="24">
        <v>2</v>
      </c>
      <c r="G1423" s="24">
        <v>3570</v>
      </c>
      <c r="H1423" s="24">
        <v>9</v>
      </c>
      <c r="I1423" s="24">
        <v>6497.4</v>
      </c>
      <c r="J1423" s="22" t="s">
        <v>104</v>
      </c>
      <c r="K1423" s="22" t="s">
        <v>151</v>
      </c>
      <c r="L1423" t="str">
        <f>VLOOKUP(D1423,Products!A:F,3,FALSE())</f>
        <v>Electronics</v>
      </c>
      <c r="M1423" t="str">
        <f>VLOOKUP(C1423,Customers!A:F,5,FALSE())</f>
        <v>Retail</v>
      </c>
      <c r="O1423" t="str">
        <f>IFERROR(VLOOKUP(E1423,Sales_Reps!$A:$C,3,FALSE()),"")</f>
        <v/>
      </c>
      <c r="P1423">
        <f>IFERROR(VLOOKUP(C1423,Customers!$A:$C,3,FALSE()),"")</f>
        <v>38</v>
      </c>
      <c r="Q1423" t="str">
        <f t="shared" si="22"/>
        <v>Dec-24</v>
      </c>
      <c r="R1423">
        <f>IFERROR((VLOOKUP(D1423,Products!$A:$E,5,FALSE())-VLOOKUP(D1423,Products!$A:$E,4,FALSE()))/VLOOKUP(D1423,Products!$A:$E,5,FALSE()),"")</f>
        <v>0.53361344537815125</v>
      </c>
    </row>
    <row r="1424" spans="1:18" x14ac:dyDescent="0.3">
      <c r="A1424" s="22" t="s">
        <v>3322</v>
      </c>
      <c r="B1424" s="23">
        <v>45437</v>
      </c>
      <c r="C1424" s="22" t="s">
        <v>706</v>
      </c>
      <c r="D1424" s="22" t="s">
        <v>190</v>
      </c>
      <c r="E1424" s="22" t="s">
        <v>3323</v>
      </c>
      <c r="F1424" s="24">
        <v>9</v>
      </c>
      <c r="G1424" s="24">
        <v>2480</v>
      </c>
      <c r="H1424" s="24">
        <v>3.6</v>
      </c>
      <c r="I1424" s="24">
        <v>21516.48</v>
      </c>
      <c r="J1424" s="22" t="s">
        <v>110</v>
      </c>
      <c r="K1424" s="22" t="s">
        <v>116</v>
      </c>
      <c r="L1424" t="str">
        <f>VLOOKUP(D1424,Products!A:F,3,FALSE())</f>
        <v>Apparel</v>
      </c>
      <c r="M1424" t="str">
        <f>VLOOKUP(C1424,Customers!A:F,5,FALSE())</f>
        <v>SMB</v>
      </c>
      <c r="O1424" t="str">
        <f>IFERROR(VLOOKUP(E1424,Sales_Reps!$A:$C,3,FALSE()),"")</f>
        <v/>
      </c>
      <c r="P1424">
        <f>IFERROR(VLOOKUP(C1424,Customers!$A:$C,3,FALSE()),"")</f>
        <v>55</v>
      </c>
      <c r="Q1424" t="str">
        <f t="shared" si="22"/>
        <v>May-24</v>
      </c>
      <c r="R1424">
        <f>IFERROR((VLOOKUP(D1424,Products!$A:$E,5,FALSE())-VLOOKUP(D1424,Products!$A:$E,4,FALSE()))/VLOOKUP(D1424,Products!$A:$E,5,FALSE()),"")</f>
        <v>0.52701612903225803</v>
      </c>
    </row>
    <row r="1425" spans="1:18" x14ac:dyDescent="0.3">
      <c r="A1425" s="22" t="s">
        <v>3324</v>
      </c>
      <c r="B1425" s="23">
        <v>45303</v>
      </c>
      <c r="C1425" s="22" t="s">
        <v>742</v>
      </c>
      <c r="D1425" s="22" t="s">
        <v>275</v>
      </c>
      <c r="E1425" s="22" t="s">
        <v>3325</v>
      </c>
      <c r="F1425" s="24">
        <v>9</v>
      </c>
      <c r="G1425" s="24">
        <v>3780</v>
      </c>
      <c r="H1425" s="24">
        <v>4.5</v>
      </c>
      <c r="I1425" s="24">
        <v>32489.1</v>
      </c>
      <c r="J1425" s="22" t="s">
        <v>104</v>
      </c>
      <c r="K1425" s="22" t="s">
        <v>151</v>
      </c>
      <c r="L1425" t="str">
        <f>VLOOKUP(D1425,Products!A:F,3,FALSE())</f>
        <v>Grocery</v>
      </c>
      <c r="M1425" t="str">
        <f>VLOOKUP(C1425,Customers!A:F,5,FALSE())</f>
        <v>Retail</v>
      </c>
      <c r="O1425" t="str">
        <f>IFERROR(VLOOKUP(E1425,Sales_Reps!$A:$C,3,FALSE()),"")</f>
        <v/>
      </c>
      <c r="P1425">
        <f>IFERROR(VLOOKUP(C1425,Customers!$A:$C,3,FALSE()),"")</f>
        <v>25</v>
      </c>
      <c r="Q1425" t="str">
        <f t="shared" si="22"/>
        <v>Jan-24</v>
      </c>
      <c r="R1425">
        <f>IFERROR((VLOOKUP(D1425,Products!$A:$E,5,FALSE())-VLOOKUP(D1425,Products!$A:$E,4,FALSE()))/VLOOKUP(D1425,Products!$A:$E,5,FALSE()),"")</f>
        <v>0.35555555555555557</v>
      </c>
    </row>
    <row r="1426" spans="1:18" x14ac:dyDescent="0.3">
      <c r="A1426" s="22" t="s">
        <v>3326</v>
      </c>
      <c r="B1426" s="23">
        <v>45631</v>
      </c>
      <c r="C1426" s="22" t="s">
        <v>448</v>
      </c>
      <c r="D1426" s="22" t="s">
        <v>436</v>
      </c>
      <c r="E1426" s="22" t="s">
        <v>3327</v>
      </c>
      <c r="F1426" s="24">
        <v>5</v>
      </c>
      <c r="G1426" s="24">
        <v>4060</v>
      </c>
      <c r="H1426" s="24">
        <v>2.7</v>
      </c>
      <c r="I1426" s="24">
        <v>19751.900000000001</v>
      </c>
      <c r="J1426" s="22" t="s">
        <v>104</v>
      </c>
      <c r="K1426" s="22" t="s">
        <v>116</v>
      </c>
      <c r="L1426" t="str">
        <f>VLOOKUP(D1426,Products!A:F,3,FALSE())</f>
        <v>Grocery</v>
      </c>
      <c r="M1426" t="str">
        <f>VLOOKUP(C1426,Customers!A:F,5,FALSE())</f>
        <v>SMB</v>
      </c>
      <c r="O1426" t="str">
        <f>IFERROR(VLOOKUP(E1426,Sales_Reps!$A:$C,3,FALSE()),"")</f>
        <v/>
      </c>
      <c r="P1426">
        <f>IFERROR(VLOOKUP(C1426,Customers!$A:$C,3,FALSE()),"")</f>
        <v>28</v>
      </c>
      <c r="Q1426" t="str">
        <f t="shared" si="22"/>
        <v>Dec-24</v>
      </c>
      <c r="R1426">
        <f>IFERROR((VLOOKUP(D1426,Products!$A:$E,5,FALSE())-VLOOKUP(D1426,Products!$A:$E,4,FALSE()))/VLOOKUP(D1426,Products!$A:$E,5,FALSE()),"")</f>
        <v>0.28300492610837441</v>
      </c>
    </row>
    <row r="1427" spans="1:18" x14ac:dyDescent="0.3">
      <c r="A1427" s="22" t="s">
        <v>3328</v>
      </c>
      <c r="B1427" s="23">
        <v>45564</v>
      </c>
      <c r="C1427" s="22" t="s">
        <v>847</v>
      </c>
      <c r="D1427" s="22" t="s">
        <v>338</v>
      </c>
      <c r="E1427" s="22" t="s">
        <v>3329</v>
      </c>
      <c r="F1427" s="24">
        <v>8</v>
      </c>
      <c r="G1427" s="24">
        <v>300</v>
      </c>
      <c r="H1427" s="24">
        <v>19.8</v>
      </c>
      <c r="I1427" s="24">
        <v>1924.8</v>
      </c>
      <c r="J1427" s="22" t="s">
        <v>159</v>
      </c>
      <c r="K1427" s="22" t="s">
        <v>105</v>
      </c>
      <c r="L1427" t="str">
        <f>VLOOKUP(D1427,Products!A:F,3,FALSE())</f>
        <v>Electronics</v>
      </c>
      <c r="M1427" t="str">
        <f>VLOOKUP(C1427,Customers!A:F,5,FALSE())</f>
        <v>Corporate</v>
      </c>
      <c r="O1427" t="str">
        <f>IFERROR(VLOOKUP(E1427,Sales_Reps!$A:$C,3,FALSE()),"")</f>
        <v/>
      </c>
      <c r="P1427">
        <f>IFERROR(VLOOKUP(C1427,Customers!$A:$C,3,FALSE()),"")</f>
        <v>40</v>
      </c>
      <c r="Q1427" t="str">
        <f t="shared" si="22"/>
        <v>Sep-24</v>
      </c>
      <c r="R1427">
        <f>IFERROR((VLOOKUP(D1427,Products!$A:$E,5,FALSE())-VLOOKUP(D1427,Products!$A:$E,4,FALSE()))/VLOOKUP(D1427,Products!$A:$E,5,FALSE()),"")</f>
        <v>0.57333333333333336</v>
      </c>
    </row>
    <row r="1428" spans="1:18" x14ac:dyDescent="0.3">
      <c r="A1428" s="22" t="s">
        <v>3330</v>
      </c>
      <c r="B1428" s="23">
        <v>45454</v>
      </c>
      <c r="C1428" s="22" t="s">
        <v>435</v>
      </c>
      <c r="D1428" s="22" t="s">
        <v>162</v>
      </c>
      <c r="E1428" s="22" t="s">
        <v>3331</v>
      </c>
      <c r="F1428" s="24">
        <v>10</v>
      </c>
      <c r="G1428" s="24">
        <v>3250</v>
      </c>
      <c r="H1428" s="24">
        <v>21.3</v>
      </c>
      <c r="I1428" s="24">
        <v>25577.5</v>
      </c>
      <c r="J1428" s="22" t="s">
        <v>159</v>
      </c>
      <c r="K1428" s="22" t="s">
        <v>129</v>
      </c>
      <c r="L1428" t="str">
        <f>VLOOKUP(D1428,Products!A:F,3,FALSE())</f>
        <v>Home</v>
      </c>
      <c r="M1428" t="str">
        <f>VLOOKUP(C1428,Customers!A:F,5,FALSE())</f>
        <v>SMB</v>
      </c>
      <c r="O1428" t="str">
        <f>IFERROR(VLOOKUP(E1428,Sales_Reps!$A:$C,3,FALSE()),"")</f>
        <v/>
      </c>
      <c r="P1428">
        <f>IFERROR(VLOOKUP(C1428,Customers!$A:$C,3,FALSE()),"")</f>
        <v>22</v>
      </c>
      <c r="Q1428" t="str">
        <f t="shared" si="22"/>
        <v>Jun-24</v>
      </c>
      <c r="R1428">
        <f>IFERROR((VLOOKUP(D1428,Products!$A:$E,5,FALSE())-VLOOKUP(D1428,Products!$A:$E,4,FALSE()))/VLOOKUP(D1428,Products!$A:$E,5,FALSE()),"")</f>
        <v>0.52123076923076928</v>
      </c>
    </row>
    <row r="1429" spans="1:18" x14ac:dyDescent="0.3">
      <c r="A1429" s="22" t="s">
        <v>3332</v>
      </c>
      <c r="B1429" s="23">
        <v>45616</v>
      </c>
      <c r="C1429" s="22" t="s">
        <v>122</v>
      </c>
      <c r="D1429" s="22" t="s">
        <v>224</v>
      </c>
      <c r="E1429" s="22" t="s">
        <v>3333</v>
      </c>
      <c r="F1429" s="24">
        <v>2</v>
      </c>
      <c r="G1429" s="24">
        <v>2860</v>
      </c>
      <c r="H1429" s="24">
        <v>13.7</v>
      </c>
      <c r="I1429" s="24">
        <v>4936.3599999999997</v>
      </c>
      <c r="J1429" s="22" t="s">
        <v>104</v>
      </c>
      <c r="K1429" s="22" t="s">
        <v>111</v>
      </c>
      <c r="L1429" t="str">
        <f>VLOOKUP(D1429,Products!A:F,3,FALSE())</f>
        <v>Sports</v>
      </c>
      <c r="M1429" t="str">
        <f>VLOOKUP(C1429,Customers!A:F,5,FALSE())</f>
        <v>Retail</v>
      </c>
      <c r="O1429" t="str">
        <f>IFERROR(VLOOKUP(E1429,Sales_Reps!$A:$C,3,FALSE()),"")</f>
        <v/>
      </c>
      <c r="P1429">
        <f>IFERROR(VLOOKUP(C1429,Customers!$A:$C,3,FALSE()),"")</f>
        <v>36</v>
      </c>
      <c r="Q1429" t="str">
        <f t="shared" si="22"/>
        <v>Nov-24</v>
      </c>
      <c r="R1429">
        <f>IFERROR((VLOOKUP(D1429,Products!$A:$E,5,FALSE())-VLOOKUP(D1429,Products!$A:$E,4,FALSE()))/VLOOKUP(D1429,Products!$A:$E,5,FALSE()),"")</f>
        <v>0.29090909090909089</v>
      </c>
    </row>
    <row r="1430" spans="1:18" x14ac:dyDescent="0.3">
      <c r="A1430" s="22" t="s">
        <v>3334</v>
      </c>
      <c r="B1430" s="23">
        <v>45523</v>
      </c>
      <c r="C1430" s="22" t="s">
        <v>1030</v>
      </c>
      <c r="D1430" s="22" t="s">
        <v>319</v>
      </c>
      <c r="E1430" s="22" t="s">
        <v>3335</v>
      </c>
      <c r="F1430" s="24">
        <v>10</v>
      </c>
      <c r="G1430" s="24">
        <v>1220</v>
      </c>
      <c r="H1430" s="24">
        <v>15.4</v>
      </c>
      <c r="I1430" s="24">
        <v>10321.200000000001</v>
      </c>
      <c r="J1430" s="22" t="s">
        <v>104</v>
      </c>
      <c r="K1430" s="22" t="s">
        <v>116</v>
      </c>
      <c r="L1430" t="str">
        <f>VLOOKUP(D1430,Products!A:F,3,FALSE())</f>
        <v>Electronics</v>
      </c>
      <c r="M1430" t="str">
        <f>VLOOKUP(C1430,Customers!A:F,5,FALSE())</f>
        <v>Retail</v>
      </c>
      <c r="O1430" t="str">
        <f>IFERROR(VLOOKUP(E1430,Sales_Reps!$A:$C,3,FALSE()),"")</f>
        <v/>
      </c>
      <c r="P1430">
        <f>IFERROR(VLOOKUP(C1430,Customers!$A:$C,3,FALSE()),"")</f>
        <v>24</v>
      </c>
      <c r="Q1430" t="str">
        <f t="shared" si="22"/>
        <v>Aug-24</v>
      </c>
      <c r="R1430">
        <f>IFERROR((VLOOKUP(D1430,Products!$A:$E,5,FALSE())-VLOOKUP(D1430,Products!$A:$E,4,FALSE()))/VLOOKUP(D1430,Products!$A:$E,5,FALSE()),"")</f>
        <v>0.57622950819672136</v>
      </c>
    </row>
    <row r="1431" spans="1:18" x14ac:dyDescent="0.3">
      <c r="A1431" s="22" t="s">
        <v>3336</v>
      </c>
      <c r="B1431" s="23">
        <v>45439</v>
      </c>
      <c r="C1431" s="22" t="s">
        <v>304</v>
      </c>
      <c r="D1431" s="22" t="s">
        <v>275</v>
      </c>
      <c r="E1431" s="22" t="s">
        <v>3337</v>
      </c>
      <c r="F1431" s="24">
        <v>3</v>
      </c>
      <c r="G1431" s="24">
        <v>3780</v>
      </c>
      <c r="H1431" s="24">
        <v>1.9</v>
      </c>
      <c r="I1431" s="24">
        <v>11124.54</v>
      </c>
      <c r="J1431" s="22" t="s">
        <v>104</v>
      </c>
      <c r="K1431" s="22" t="s">
        <v>151</v>
      </c>
      <c r="L1431" t="str">
        <f>VLOOKUP(D1431,Products!A:F,3,FALSE())</f>
        <v>Grocery</v>
      </c>
      <c r="M1431" t="str">
        <f>VLOOKUP(C1431,Customers!A:F,5,FALSE())</f>
        <v>Retail</v>
      </c>
      <c r="O1431" t="str">
        <f>IFERROR(VLOOKUP(E1431,Sales_Reps!$A:$C,3,FALSE()),"")</f>
        <v/>
      </c>
      <c r="P1431">
        <f>IFERROR(VLOOKUP(C1431,Customers!$A:$C,3,FALSE()),"")</f>
        <v>27</v>
      </c>
      <c r="Q1431" t="str">
        <f t="shared" si="22"/>
        <v>May-24</v>
      </c>
      <c r="R1431">
        <f>IFERROR((VLOOKUP(D1431,Products!$A:$E,5,FALSE())-VLOOKUP(D1431,Products!$A:$E,4,FALSE()))/VLOOKUP(D1431,Products!$A:$E,5,FALSE()),"")</f>
        <v>0.35555555555555557</v>
      </c>
    </row>
    <row r="1432" spans="1:18" x14ac:dyDescent="0.3">
      <c r="A1432" s="22" t="s">
        <v>3338</v>
      </c>
      <c r="B1432" s="23">
        <v>45579</v>
      </c>
      <c r="C1432" s="22" t="s">
        <v>1481</v>
      </c>
      <c r="D1432" s="22" t="s">
        <v>141</v>
      </c>
      <c r="E1432" s="22" t="s">
        <v>3339</v>
      </c>
      <c r="F1432" s="24">
        <v>6</v>
      </c>
      <c r="G1432" s="24">
        <v>5490</v>
      </c>
      <c r="H1432" s="24">
        <v>0.5</v>
      </c>
      <c r="I1432" s="24">
        <v>32775.300000000003</v>
      </c>
      <c r="J1432" s="22" t="s">
        <v>110</v>
      </c>
      <c r="K1432" s="22" t="s">
        <v>116</v>
      </c>
      <c r="L1432" t="str">
        <f>VLOOKUP(D1432,Products!A:F,3,FALSE())</f>
        <v>Home</v>
      </c>
      <c r="M1432" t="str">
        <f>VLOOKUP(C1432,Customers!A:F,5,FALSE())</f>
        <v>Retail</v>
      </c>
      <c r="O1432" t="str">
        <f>IFERROR(VLOOKUP(E1432,Sales_Reps!$A:$C,3,FALSE()),"")</f>
        <v/>
      </c>
      <c r="P1432">
        <f>IFERROR(VLOOKUP(C1432,Customers!$A:$C,3,FALSE()),"")</f>
        <v>47</v>
      </c>
      <c r="Q1432" t="str">
        <f t="shared" si="22"/>
        <v>Oct-24</v>
      </c>
      <c r="R1432">
        <f>IFERROR((VLOOKUP(D1432,Products!$A:$E,5,FALSE())-VLOOKUP(D1432,Products!$A:$E,4,FALSE()))/VLOOKUP(D1432,Products!$A:$E,5,FALSE()),"")</f>
        <v>0.53570127504553733</v>
      </c>
    </row>
    <row r="1433" spans="1:18" x14ac:dyDescent="0.3">
      <c r="A1433" s="22" t="s">
        <v>3340</v>
      </c>
      <c r="B1433" s="23">
        <v>45495</v>
      </c>
      <c r="C1433" s="22" t="s">
        <v>3246</v>
      </c>
      <c r="D1433" s="22" t="s">
        <v>289</v>
      </c>
      <c r="E1433" s="22" t="s">
        <v>3341</v>
      </c>
      <c r="F1433" s="24">
        <v>6</v>
      </c>
      <c r="G1433" s="24">
        <v>2270</v>
      </c>
      <c r="H1433" s="24">
        <v>21.5</v>
      </c>
      <c r="I1433" s="24">
        <v>10691.7</v>
      </c>
      <c r="J1433" s="22" t="s">
        <v>104</v>
      </c>
      <c r="K1433" s="22" t="s">
        <v>111</v>
      </c>
      <c r="L1433" t="str">
        <f>VLOOKUP(D1433,Products!A:F,3,FALSE())</f>
        <v>Grocery</v>
      </c>
      <c r="M1433" t="str">
        <f>VLOOKUP(C1433,Customers!A:F,5,FALSE())</f>
        <v>Corporate</v>
      </c>
      <c r="O1433" t="str">
        <f>IFERROR(VLOOKUP(E1433,Sales_Reps!$A:$C,3,FALSE()),"")</f>
        <v/>
      </c>
      <c r="P1433">
        <f>IFERROR(VLOOKUP(C1433,Customers!$A:$C,3,FALSE()),"")</f>
        <v>54</v>
      </c>
      <c r="Q1433" t="str">
        <f t="shared" si="22"/>
        <v>Jul-24</v>
      </c>
      <c r="R1433">
        <f>IFERROR((VLOOKUP(D1433,Products!$A:$E,5,FALSE())-VLOOKUP(D1433,Products!$A:$E,4,FALSE()))/VLOOKUP(D1433,Products!$A:$E,5,FALSE()),"")</f>
        <v>0.37797356828193834</v>
      </c>
    </row>
    <row r="1434" spans="1:18" x14ac:dyDescent="0.3">
      <c r="A1434" s="22" t="s">
        <v>3342</v>
      </c>
      <c r="B1434" s="23">
        <v>45600</v>
      </c>
      <c r="C1434" s="22" t="s">
        <v>517</v>
      </c>
      <c r="D1434" s="22" t="s">
        <v>419</v>
      </c>
      <c r="E1434" s="22" t="s">
        <v>3343</v>
      </c>
      <c r="F1434" s="24">
        <v>7</v>
      </c>
      <c r="G1434" s="24">
        <v>2210</v>
      </c>
      <c r="H1434" s="24">
        <v>10.3</v>
      </c>
      <c r="I1434" s="24">
        <v>13876.59</v>
      </c>
      <c r="J1434" s="22" t="s">
        <v>104</v>
      </c>
      <c r="K1434" s="22" t="s">
        <v>111</v>
      </c>
      <c r="L1434" t="str">
        <f>VLOOKUP(D1434,Products!A:F,3,FALSE())</f>
        <v>Grocery</v>
      </c>
      <c r="M1434" t="str">
        <f>VLOOKUP(C1434,Customers!A:F,5,FALSE())</f>
        <v>Corporate</v>
      </c>
      <c r="O1434" t="str">
        <f>IFERROR(VLOOKUP(E1434,Sales_Reps!$A:$C,3,FALSE()),"")</f>
        <v/>
      </c>
      <c r="P1434">
        <f>IFERROR(VLOOKUP(C1434,Customers!$A:$C,3,FALSE()),"")</f>
        <v>24</v>
      </c>
      <c r="Q1434" t="str">
        <f t="shared" si="22"/>
        <v>Nov-24</v>
      </c>
      <c r="R1434">
        <f>IFERROR((VLOOKUP(D1434,Products!$A:$E,5,FALSE())-VLOOKUP(D1434,Products!$A:$E,4,FALSE()))/VLOOKUP(D1434,Products!$A:$E,5,FALSE()),"")</f>
        <v>0.54298642533936647</v>
      </c>
    </row>
    <row r="1435" spans="1:18" x14ac:dyDescent="0.3">
      <c r="A1435" s="22" t="s">
        <v>3344</v>
      </c>
      <c r="B1435" s="23">
        <v>45605</v>
      </c>
      <c r="C1435" s="22" t="s">
        <v>3345</v>
      </c>
      <c r="D1435" s="22" t="s">
        <v>674</v>
      </c>
      <c r="E1435" s="22" t="s">
        <v>3346</v>
      </c>
      <c r="F1435" s="24">
        <v>8</v>
      </c>
      <c r="G1435" s="24">
        <v>1090</v>
      </c>
      <c r="H1435" s="24">
        <v>21.7</v>
      </c>
      <c r="I1435" s="24">
        <v>6827.76</v>
      </c>
      <c r="J1435" s="22" t="s">
        <v>104</v>
      </c>
      <c r="K1435" s="22" t="s">
        <v>105</v>
      </c>
      <c r="L1435" t="str">
        <f>VLOOKUP(D1435,Products!A:F,3,FALSE())</f>
        <v>Home</v>
      </c>
      <c r="M1435" t="e">
        <f>VLOOKUP(C1435,Customers!A:F,5,FALSE())</f>
        <v>#N/A</v>
      </c>
      <c r="O1435" t="str">
        <f>IFERROR(VLOOKUP(E1435,Sales_Reps!$A:$C,3,FALSE()),"")</f>
        <v/>
      </c>
      <c r="P1435" t="str">
        <f>IFERROR(VLOOKUP(C1435,Customers!$A:$C,3,FALSE()),"")</f>
        <v/>
      </c>
      <c r="Q1435" t="str">
        <f t="shared" si="22"/>
        <v>Nov-24</v>
      </c>
      <c r="R1435">
        <f>IFERROR((VLOOKUP(D1435,Products!$A:$E,5,FALSE())-VLOOKUP(D1435,Products!$A:$E,4,FALSE()))/VLOOKUP(D1435,Products!$A:$E,5,FALSE()),"")</f>
        <v>0.57431192660550456</v>
      </c>
    </row>
    <row r="1436" spans="1:18" x14ac:dyDescent="0.3">
      <c r="A1436" s="22" t="s">
        <v>3347</v>
      </c>
      <c r="B1436" s="23">
        <v>45598</v>
      </c>
      <c r="C1436" s="22" t="s">
        <v>1253</v>
      </c>
      <c r="D1436" s="22" t="s">
        <v>935</v>
      </c>
      <c r="E1436" s="22" t="s">
        <v>3348</v>
      </c>
      <c r="F1436" s="24">
        <v>5</v>
      </c>
      <c r="G1436" s="24">
        <v>3560</v>
      </c>
      <c r="H1436" s="24">
        <v>19.399999999999999</v>
      </c>
      <c r="I1436" s="24">
        <v>14346.8</v>
      </c>
      <c r="J1436" s="22" t="s">
        <v>110</v>
      </c>
      <c r="K1436" s="22" t="s">
        <v>134</v>
      </c>
      <c r="L1436" t="str">
        <f>VLOOKUP(D1436,Products!A:F,3,FALSE())</f>
        <v>Apparel</v>
      </c>
      <c r="M1436" t="str">
        <f>VLOOKUP(C1436,Customers!A:F,5,FALSE())</f>
        <v>Corporate</v>
      </c>
      <c r="O1436" t="str">
        <f>IFERROR(VLOOKUP(E1436,Sales_Reps!$A:$C,3,FALSE()),"")</f>
        <v/>
      </c>
      <c r="P1436">
        <f>IFERROR(VLOOKUP(C1436,Customers!$A:$C,3,FALSE()),"")</f>
        <v>41</v>
      </c>
      <c r="Q1436" t="str">
        <f t="shared" si="22"/>
        <v>Nov-24</v>
      </c>
      <c r="R1436">
        <f>IFERROR((VLOOKUP(D1436,Products!$A:$E,5,FALSE())-VLOOKUP(D1436,Products!$A:$E,4,FALSE()))/VLOOKUP(D1436,Products!$A:$E,5,FALSE()),"")</f>
        <v>0.26151685393258428</v>
      </c>
    </row>
    <row r="1437" spans="1:18" x14ac:dyDescent="0.3">
      <c r="A1437" s="22" t="s">
        <v>3349</v>
      </c>
      <c r="B1437" s="23">
        <v>45452</v>
      </c>
      <c r="C1437" s="22" t="s">
        <v>1867</v>
      </c>
      <c r="D1437" s="22" t="s">
        <v>209</v>
      </c>
      <c r="E1437" s="22" t="s">
        <v>3350</v>
      </c>
      <c r="F1437" s="24">
        <v>7</v>
      </c>
      <c r="G1437" s="24">
        <v>1010</v>
      </c>
      <c r="H1437" s="24">
        <v>28.2</v>
      </c>
      <c r="I1437" s="24">
        <v>5076.26</v>
      </c>
      <c r="J1437" s="22" t="s">
        <v>104</v>
      </c>
      <c r="K1437" s="22" t="s">
        <v>105</v>
      </c>
      <c r="L1437" t="str">
        <f>VLOOKUP(D1437,Products!A:F,3,FALSE())</f>
        <v>Sports</v>
      </c>
      <c r="M1437" t="str">
        <f>VLOOKUP(C1437,Customers!A:F,5,FALSE())</f>
        <v>Retail</v>
      </c>
      <c r="O1437" t="str">
        <f>IFERROR(VLOOKUP(E1437,Sales_Reps!$A:$C,3,FALSE()),"")</f>
        <v/>
      </c>
      <c r="P1437">
        <f>IFERROR(VLOOKUP(C1437,Customers!$A:$C,3,FALSE()),"")</f>
        <v>39</v>
      </c>
      <c r="Q1437" t="str">
        <f t="shared" si="22"/>
        <v>Jun-24</v>
      </c>
      <c r="R1437">
        <f>IFERROR((VLOOKUP(D1437,Products!$A:$E,5,FALSE())-VLOOKUP(D1437,Products!$A:$E,4,FALSE()))/VLOOKUP(D1437,Products!$A:$E,5,FALSE()),"")</f>
        <v>0.4891089108910891</v>
      </c>
    </row>
    <row r="1438" spans="1:18" x14ac:dyDescent="0.3">
      <c r="A1438" s="22" t="s">
        <v>3351</v>
      </c>
      <c r="B1438" s="23">
        <v>45470</v>
      </c>
      <c r="C1438" s="22" t="s">
        <v>1027</v>
      </c>
      <c r="D1438" s="22" t="s">
        <v>356</v>
      </c>
      <c r="E1438" s="22" t="s">
        <v>3352</v>
      </c>
      <c r="F1438" s="24">
        <v>2</v>
      </c>
      <c r="G1438" s="24">
        <v>2030</v>
      </c>
      <c r="H1438" s="24">
        <v>27.3</v>
      </c>
      <c r="I1438" s="24">
        <v>2951.62</v>
      </c>
      <c r="J1438" s="22" t="s">
        <v>164</v>
      </c>
      <c r="K1438" s="22" t="s">
        <v>129</v>
      </c>
      <c r="L1438" t="str">
        <f>VLOOKUP(D1438,Products!A:F,3,FALSE())</f>
        <v>Home</v>
      </c>
      <c r="M1438" t="str">
        <f>VLOOKUP(C1438,Customers!A:F,5,FALSE())</f>
        <v>Corporate</v>
      </c>
      <c r="O1438" t="str">
        <f>IFERROR(VLOOKUP(E1438,Sales_Reps!$A:$C,3,FALSE()),"")</f>
        <v/>
      </c>
      <c r="P1438">
        <f>IFERROR(VLOOKUP(C1438,Customers!$A:$C,3,FALSE()),"")</f>
        <v>51</v>
      </c>
      <c r="Q1438" t="str">
        <f t="shared" si="22"/>
        <v>Jun-24</v>
      </c>
      <c r="R1438">
        <f>IFERROR((VLOOKUP(D1438,Products!$A:$E,5,FALSE())-VLOOKUP(D1438,Products!$A:$E,4,FALSE()))/VLOOKUP(D1438,Products!$A:$E,5,FALSE()),"")</f>
        <v>0.43694581280788175</v>
      </c>
    </row>
    <row r="1439" spans="1:18" x14ac:dyDescent="0.3">
      <c r="A1439" s="22" t="s">
        <v>3353</v>
      </c>
      <c r="B1439" s="23">
        <v>45350</v>
      </c>
      <c r="C1439" s="22" t="s">
        <v>243</v>
      </c>
      <c r="D1439" s="22" t="s">
        <v>455</v>
      </c>
      <c r="E1439" s="22" t="s">
        <v>3354</v>
      </c>
      <c r="F1439" s="24">
        <v>6</v>
      </c>
      <c r="G1439" s="24">
        <v>5330</v>
      </c>
      <c r="H1439" s="24">
        <v>0.6</v>
      </c>
      <c r="I1439" s="24">
        <v>31788.12</v>
      </c>
      <c r="J1439" s="22" t="s">
        <v>104</v>
      </c>
      <c r="K1439" s="22" t="s">
        <v>116</v>
      </c>
      <c r="L1439" t="str">
        <f>VLOOKUP(D1439,Products!A:F,3,FALSE())</f>
        <v>Electronics</v>
      </c>
      <c r="M1439" t="str">
        <f>VLOOKUP(C1439,Customers!A:F,5,FALSE())</f>
        <v>Retail</v>
      </c>
      <c r="O1439" t="str">
        <f>IFERROR(VLOOKUP(E1439,Sales_Reps!$A:$C,3,FALSE()),"")</f>
        <v/>
      </c>
      <c r="P1439">
        <f>IFERROR(VLOOKUP(C1439,Customers!$A:$C,3,FALSE()),"")</f>
        <v>41</v>
      </c>
      <c r="Q1439" t="str">
        <f t="shared" si="22"/>
        <v>Feb-24</v>
      </c>
      <c r="R1439">
        <f>IFERROR((VLOOKUP(D1439,Products!$A:$E,5,FALSE())-VLOOKUP(D1439,Products!$A:$E,4,FALSE()))/VLOOKUP(D1439,Products!$A:$E,5,FALSE()),"")</f>
        <v>0.54878048780487809</v>
      </c>
    </row>
    <row r="1440" spans="1:18" x14ac:dyDescent="0.3">
      <c r="A1440" s="22" t="s">
        <v>3355</v>
      </c>
      <c r="B1440" s="23">
        <v>45514</v>
      </c>
      <c r="C1440" s="22" t="s">
        <v>377</v>
      </c>
      <c r="D1440" s="22" t="s">
        <v>153</v>
      </c>
      <c r="E1440" s="22" t="s">
        <v>3356</v>
      </c>
      <c r="F1440" s="24">
        <v>2</v>
      </c>
      <c r="G1440" s="24">
        <v>2640</v>
      </c>
      <c r="H1440" s="24">
        <v>26</v>
      </c>
      <c r="I1440" s="24">
        <v>3907.2</v>
      </c>
      <c r="J1440" s="22" t="s">
        <v>110</v>
      </c>
      <c r="K1440" s="22" t="s">
        <v>134</v>
      </c>
      <c r="L1440" t="str">
        <f>VLOOKUP(D1440,Products!A:F,3,FALSE())</f>
        <v>Electronics</v>
      </c>
      <c r="M1440" t="str">
        <f>VLOOKUP(C1440,Customers!A:F,5,FALSE())</f>
        <v>Retail</v>
      </c>
      <c r="O1440" t="str">
        <f>IFERROR(VLOOKUP(E1440,Sales_Reps!$A:$C,3,FALSE()),"")</f>
        <v/>
      </c>
      <c r="P1440">
        <f>IFERROR(VLOOKUP(C1440,Customers!$A:$C,3,FALSE()),"")</f>
        <v>42</v>
      </c>
      <c r="Q1440" t="str">
        <f t="shared" si="22"/>
        <v>Aug-24</v>
      </c>
      <c r="R1440">
        <f>IFERROR((VLOOKUP(D1440,Products!$A:$E,5,FALSE())-VLOOKUP(D1440,Products!$A:$E,4,FALSE()))/VLOOKUP(D1440,Products!$A:$E,5,FALSE()),"")</f>
        <v>0.56477272727272732</v>
      </c>
    </row>
    <row r="1441" spans="1:18" x14ac:dyDescent="0.3">
      <c r="A1441" s="22" t="s">
        <v>3357</v>
      </c>
      <c r="B1441" s="23">
        <v>45447</v>
      </c>
      <c r="C1441" s="22" t="s">
        <v>435</v>
      </c>
      <c r="D1441" s="22" t="s">
        <v>334</v>
      </c>
      <c r="E1441" s="22" t="s">
        <v>3358</v>
      </c>
      <c r="F1441" s="24">
        <v>8</v>
      </c>
      <c r="G1441" s="24">
        <v>2660</v>
      </c>
      <c r="H1441" s="24">
        <v>2.9</v>
      </c>
      <c r="I1441" s="24">
        <v>20662.88</v>
      </c>
      <c r="J1441" s="22" t="s">
        <v>104</v>
      </c>
      <c r="K1441" s="22" t="s">
        <v>129</v>
      </c>
      <c r="L1441" t="str">
        <f>VLOOKUP(D1441,Products!A:F,3,FALSE())</f>
        <v>Electronics</v>
      </c>
      <c r="M1441" t="str">
        <f>VLOOKUP(C1441,Customers!A:F,5,FALSE())</f>
        <v>SMB</v>
      </c>
      <c r="O1441" t="str">
        <f>IFERROR(VLOOKUP(E1441,Sales_Reps!$A:$C,3,FALSE()),"")</f>
        <v/>
      </c>
      <c r="P1441">
        <f>IFERROR(VLOOKUP(C1441,Customers!$A:$C,3,FALSE()),"")</f>
        <v>22</v>
      </c>
      <c r="Q1441" t="str">
        <f t="shared" si="22"/>
        <v>Jun-24</v>
      </c>
      <c r="R1441">
        <f>IFERROR((VLOOKUP(D1441,Products!$A:$E,5,FALSE())-VLOOKUP(D1441,Products!$A:$E,4,FALSE()))/VLOOKUP(D1441,Products!$A:$E,5,FALSE()),"")</f>
        <v>0.52669172932330832</v>
      </c>
    </row>
    <row r="1442" spans="1:18" x14ac:dyDescent="0.3">
      <c r="A1442" s="22" t="s">
        <v>3359</v>
      </c>
      <c r="B1442" s="23">
        <v>45390</v>
      </c>
      <c r="C1442" s="22" t="s">
        <v>1672</v>
      </c>
      <c r="D1442" s="22" t="s">
        <v>162</v>
      </c>
      <c r="E1442" s="22" t="s">
        <v>3360</v>
      </c>
      <c r="F1442" s="24">
        <v>6</v>
      </c>
      <c r="G1442" s="24">
        <v>3250</v>
      </c>
      <c r="H1442" s="24">
        <v>11.1</v>
      </c>
      <c r="I1442" s="24">
        <v>17335.5</v>
      </c>
      <c r="J1442" s="22" t="s">
        <v>104</v>
      </c>
      <c r="K1442" s="22" t="s">
        <v>129</v>
      </c>
      <c r="L1442" t="str">
        <f>VLOOKUP(D1442,Products!A:F,3,FALSE())</f>
        <v>Home</v>
      </c>
      <c r="M1442" t="str">
        <f>VLOOKUP(C1442,Customers!A:F,5,FALSE())</f>
        <v>SMB</v>
      </c>
      <c r="O1442" t="str">
        <f>IFERROR(VLOOKUP(E1442,Sales_Reps!$A:$C,3,FALSE()),"")</f>
        <v/>
      </c>
      <c r="P1442">
        <f>IFERROR(VLOOKUP(C1442,Customers!$A:$C,3,FALSE()),"")</f>
        <v>53</v>
      </c>
      <c r="Q1442" t="str">
        <f t="shared" si="22"/>
        <v>Apr-24</v>
      </c>
      <c r="R1442">
        <f>IFERROR((VLOOKUP(D1442,Products!$A:$E,5,FALSE())-VLOOKUP(D1442,Products!$A:$E,4,FALSE()))/VLOOKUP(D1442,Products!$A:$E,5,FALSE()),"")</f>
        <v>0.52123076923076928</v>
      </c>
    </row>
    <row r="1443" spans="1:18" x14ac:dyDescent="0.3">
      <c r="A1443" s="22" t="s">
        <v>3361</v>
      </c>
      <c r="B1443" s="23">
        <v>45307</v>
      </c>
      <c r="C1443" s="22" t="s">
        <v>337</v>
      </c>
      <c r="D1443" s="22" t="s">
        <v>419</v>
      </c>
      <c r="E1443" s="22" t="s">
        <v>3362</v>
      </c>
      <c r="F1443" s="24">
        <v>1</v>
      </c>
      <c r="G1443" s="24">
        <v>2210</v>
      </c>
      <c r="H1443" s="24">
        <v>3.5</v>
      </c>
      <c r="I1443" s="24">
        <v>2132.65</v>
      </c>
      <c r="J1443" s="22" t="s">
        <v>104</v>
      </c>
      <c r="K1443" s="22" t="s">
        <v>105</v>
      </c>
      <c r="L1443" t="str">
        <f>VLOOKUP(D1443,Products!A:F,3,FALSE())</f>
        <v>Grocery</v>
      </c>
      <c r="M1443" t="str">
        <f>VLOOKUP(C1443,Customers!A:F,5,FALSE())</f>
        <v>Retail</v>
      </c>
      <c r="O1443" t="str">
        <f>IFERROR(VLOOKUP(E1443,Sales_Reps!$A:$C,3,FALSE()),"")</f>
        <v/>
      </c>
      <c r="P1443">
        <f>IFERROR(VLOOKUP(C1443,Customers!$A:$C,3,FALSE()),"")</f>
        <v>25</v>
      </c>
      <c r="Q1443" t="str">
        <f t="shared" si="22"/>
        <v>Jan-24</v>
      </c>
      <c r="R1443">
        <f>IFERROR((VLOOKUP(D1443,Products!$A:$E,5,FALSE())-VLOOKUP(D1443,Products!$A:$E,4,FALSE()))/VLOOKUP(D1443,Products!$A:$E,5,FALSE()),"")</f>
        <v>0.54298642533936647</v>
      </c>
    </row>
    <row r="1444" spans="1:18" x14ac:dyDescent="0.3">
      <c r="A1444" s="22" t="s">
        <v>3363</v>
      </c>
      <c r="B1444" s="23">
        <v>45432</v>
      </c>
      <c r="C1444" s="22" t="s">
        <v>658</v>
      </c>
      <c r="D1444" s="22" t="s">
        <v>127</v>
      </c>
      <c r="E1444" s="22" t="s">
        <v>3364</v>
      </c>
      <c r="F1444" s="24">
        <v>9</v>
      </c>
      <c r="G1444" s="24">
        <v>370</v>
      </c>
      <c r="H1444" s="24">
        <v>12.4</v>
      </c>
      <c r="I1444" s="24">
        <v>2917.08</v>
      </c>
      <c r="J1444" s="22" t="s">
        <v>104</v>
      </c>
      <c r="K1444" s="22" t="s">
        <v>105</v>
      </c>
      <c r="L1444" t="str">
        <f>VLOOKUP(D1444,Products!A:F,3,FALSE())</f>
        <v>Home</v>
      </c>
      <c r="M1444" t="str">
        <f>VLOOKUP(C1444,Customers!A:F,5,FALSE())</f>
        <v>Retail</v>
      </c>
      <c r="O1444" t="str">
        <f>IFERROR(VLOOKUP(E1444,Sales_Reps!$A:$C,3,FALSE()),"")</f>
        <v/>
      </c>
      <c r="P1444">
        <f>IFERROR(VLOOKUP(C1444,Customers!$A:$C,3,FALSE()),"")</f>
        <v>57</v>
      </c>
      <c r="Q1444" t="str">
        <f t="shared" si="22"/>
        <v>May-24</v>
      </c>
      <c r="R1444">
        <f>IFERROR((VLOOKUP(D1444,Products!$A:$E,5,FALSE())-VLOOKUP(D1444,Products!$A:$E,4,FALSE()))/VLOOKUP(D1444,Products!$A:$E,5,FALSE()),"")</f>
        <v>0.22162162162162163</v>
      </c>
    </row>
    <row r="1445" spans="1:18" x14ac:dyDescent="0.3">
      <c r="A1445" s="22" t="s">
        <v>3365</v>
      </c>
      <c r="B1445" s="23">
        <v>45453</v>
      </c>
      <c r="C1445" s="22" t="s">
        <v>1035</v>
      </c>
      <c r="D1445" s="22" t="s">
        <v>605</v>
      </c>
      <c r="E1445" s="22" t="s">
        <v>3366</v>
      </c>
      <c r="F1445" s="24">
        <v>3</v>
      </c>
      <c r="G1445" s="24">
        <v>3780</v>
      </c>
      <c r="H1445" s="24">
        <v>8.5</v>
      </c>
      <c r="I1445" s="24">
        <v>10376.1</v>
      </c>
      <c r="J1445" s="22" t="s">
        <v>110</v>
      </c>
      <c r="K1445" s="22" t="s">
        <v>111</v>
      </c>
      <c r="L1445" t="str">
        <f>VLOOKUP(D1445,Products!A:F,3,FALSE())</f>
        <v>Sports</v>
      </c>
      <c r="M1445" t="str">
        <f>VLOOKUP(C1445,Customers!A:F,5,FALSE())</f>
        <v>Retail</v>
      </c>
      <c r="O1445" t="str">
        <f>IFERROR(VLOOKUP(E1445,Sales_Reps!$A:$C,3,FALSE()),"")</f>
        <v/>
      </c>
      <c r="P1445">
        <f>IFERROR(VLOOKUP(C1445,Customers!$A:$C,3,FALSE()),"")</f>
        <v>24</v>
      </c>
      <c r="Q1445" t="str">
        <f t="shared" si="22"/>
        <v>Jun-24</v>
      </c>
      <c r="R1445">
        <f>IFERROR((VLOOKUP(D1445,Products!$A:$E,5,FALSE())-VLOOKUP(D1445,Products!$A:$E,4,FALSE()))/VLOOKUP(D1445,Products!$A:$E,5,FALSE()),"")</f>
        <v>0.50793650793650791</v>
      </c>
    </row>
    <row r="1446" spans="1:18" x14ac:dyDescent="0.3">
      <c r="A1446" s="22" t="s">
        <v>545</v>
      </c>
      <c r="B1446" s="23">
        <v>45397</v>
      </c>
      <c r="C1446" s="22" t="s">
        <v>537</v>
      </c>
      <c r="D1446" s="22" t="s">
        <v>209</v>
      </c>
      <c r="E1446" s="22" t="s">
        <v>3367</v>
      </c>
      <c r="F1446" s="24">
        <v>2</v>
      </c>
      <c r="G1446" s="24">
        <v>1010</v>
      </c>
      <c r="H1446" s="24">
        <v>2.7</v>
      </c>
      <c r="I1446" s="24">
        <v>1965.46</v>
      </c>
      <c r="J1446" s="22" t="s">
        <v>104</v>
      </c>
      <c r="K1446" s="22" t="s">
        <v>151</v>
      </c>
      <c r="L1446" t="str">
        <f>VLOOKUP(D1446,Products!A:F,3,FALSE())</f>
        <v>Sports</v>
      </c>
      <c r="M1446" t="str">
        <f>VLOOKUP(C1446,Customers!A:F,5,FALSE())</f>
        <v>Retail</v>
      </c>
      <c r="O1446" t="str">
        <f>IFERROR(VLOOKUP(E1446,Sales_Reps!$A:$C,3,FALSE()),"")</f>
        <v/>
      </c>
      <c r="P1446">
        <f>IFERROR(VLOOKUP(C1446,Customers!$A:$C,3,FALSE()),"")</f>
        <v>22</v>
      </c>
      <c r="Q1446" t="str">
        <f t="shared" si="22"/>
        <v>Apr-24</v>
      </c>
      <c r="R1446">
        <f>IFERROR((VLOOKUP(D1446,Products!$A:$E,5,FALSE())-VLOOKUP(D1446,Products!$A:$E,4,FALSE()))/VLOOKUP(D1446,Products!$A:$E,5,FALSE()),"")</f>
        <v>0.4891089108910891</v>
      </c>
    </row>
    <row r="1447" spans="1:18" x14ac:dyDescent="0.3">
      <c r="A1447" s="22" t="s">
        <v>3368</v>
      </c>
      <c r="B1447" s="23">
        <v>45639</v>
      </c>
      <c r="C1447" s="22" t="s">
        <v>1520</v>
      </c>
      <c r="D1447" s="22" t="s">
        <v>108</v>
      </c>
      <c r="E1447" s="22" t="s">
        <v>3369</v>
      </c>
      <c r="F1447" s="24">
        <v>2</v>
      </c>
      <c r="G1447" s="24">
        <v>820</v>
      </c>
      <c r="H1447" s="24">
        <v>13.2</v>
      </c>
      <c r="I1447" s="24">
        <v>1423.52</v>
      </c>
      <c r="J1447" s="22" t="s">
        <v>110</v>
      </c>
      <c r="K1447" s="22" t="s">
        <v>134</v>
      </c>
      <c r="L1447" t="str">
        <f>VLOOKUP(D1447,Products!A:F,3,FALSE())</f>
        <v>Apparel</v>
      </c>
      <c r="M1447" t="str">
        <f>VLOOKUP(C1447,Customers!A:F,5,FALSE())</f>
        <v>Retail</v>
      </c>
      <c r="O1447" t="str">
        <f>IFERROR(VLOOKUP(E1447,Sales_Reps!$A:$C,3,FALSE()),"")</f>
        <v/>
      </c>
      <c r="P1447">
        <f>IFERROR(VLOOKUP(C1447,Customers!$A:$C,3,FALSE()),"")</f>
        <v>61</v>
      </c>
      <c r="Q1447" t="str">
        <f t="shared" si="22"/>
        <v>Dec-24</v>
      </c>
      <c r="R1447">
        <f>IFERROR((VLOOKUP(D1447,Products!$A:$E,5,FALSE())-VLOOKUP(D1447,Products!$A:$E,4,FALSE()))/VLOOKUP(D1447,Products!$A:$E,5,FALSE()),"")</f>
        <v>0.52317073170731709</v>
      </c>
    </row>
    <row r="1448" spans="1:18" x14ac:dyDescent="0.3">
      <c r="A1448" s="22" t="s">
        <v>3370</v>
      </c>
      <c r="B1448" s="23">
        <v>45482</v>
      </c>
      <c r="C1448" s="22" t="s">
        <v>274</v>
      </c>
      <c r="D1448" s="22" t="s">
        <v>119</v>
      </c>
      <c r="E1448" s="22" t="s">
        <v>3371</v>
      </c>
      <c r="F1448" s="24">
        <v>1</v>
      </c>
      <c r="G1448" s="24">
        <v>3660</v>
      </c>
      <c r="H1448" s="24">
        <v>14</v>
      </c>
      <c r="I1448" s="24">
        <v>3147.6</v>
      </c>
      <c r="J1448" s="22" t="s">
        <v>164</v>
      </c>
      <c r="K1448" s="22" t="s">
        <v>105</v>
      </c>
      <c r="L1448" t="str">
        <f>VLOOKUP(D1448,Products!A:F,3,FALSE())</f>
        <v>Grocery</v>
      </c>
      <c r="M1448" t="str">
        <f>VLOOKUP(C1448,Customers!A:F,5,FALSE())</f>
        <v>SMB</v>
      </c>
      <c r="O1448" t="str">
        <f>IFERROR(VLOOKUP(E1448,Sales_Reps!$A:$C,3,FALSE()),"")</f>
        <v/>
      </c>
      <c r="P1448">
        <f>IFERROR(VLOOKUP(C1448,Customers!$A:$C,3,FALSE()),"")</f>
        <v>29</v>
      </c>
      <c r="Q1448" t="str">
        <f t="shared" si="22"/>
        <v>Jul-24</v>
      </c>
      <c r="R1448">
        <f>IFERROR((VLOOKUP(D1448,Products!$A:$E,5,FALSE())-VLOOKUP(D1448,Products!$A:$E,4,FALSE()))/VLOOKUP(D1448,Products!$A:$E,5,FALSE()),"")</f>
        <v>0.39508196721311473</v>
      </c>
    </row>
    <row r="1449" spans="1:18" x14ac:dyDescent="0.3">
      <c r="A1449" s="22" t="s">
        <v>3372</v>
      </c>
      <c r="B1449" s="23">
        <v>45447</v>
      </c>
      <c r="C1449" s="22" t="s">
        <v>264</v>
      </c>
      <c r="D1449" s="22" t="s">
        <v>289</v>
      </c>
      <c r="E1449" s="22" t="s">
        <v>3373</v>
      </c>
      <c r="F1449" s="24">
        <v>6</v>
      </c>
      <c r="G1449" s="24">
        <v>2270</v>
      </c>
      <c r="H1449" s="24">
        <v>16</v>
      </c>
      <c r="I1449" s="24">
        <v>11440.8</v>
      </c>
      <c r="J1449" s="22" t="s">
        <v>104</v>
      </c>
      <c r="K1449" s="22" t="s">
        <v>111</v>
      </c>
      <c r="L1449" t="str">
        <f>VLOOKUP(D1449,Products!A:F,3,FALSE())</f>
        <v>Grocery</v>
      </c>
      <c r="M1449" t="str">
        <f>VLOOKUP(C1449,Customers!A:F,5,FALSE())</f>
        <v>Retail</v>
      </c>
      <c r="O1449" t="str">
        <f>IFERROR(VLOOKUP(E1449,Sales_Reps!$A:$C,3,FALSE()),"")</f>
        <v/>
      </c>
      <c r="P1449">
        <f>IFERROR(VLOOKUP(C1449,Customers!$A:$C,3,FALSE()),"")</f>
        <v>37</v>
      </c>
      <c r="Q1449" t="str">
        <f t="shared" si="22"/>
        <v>Jun-24</v>
      </c>
      <c r="R1449">
        <f>IFERROR((VLOOKUP(D1449,Products!$A:$E,5,FALSE())-VLOOKUP(D1449,Products!$A:$E,4,FALSE()))/VLOOKUP(D1449,Products!$A:$E,5,FALSE()),"")</f>
        <v>0.37797356828193834</v>
      </c>
    </row>
    <row r="1450" spans="1:18" x14ac:dyDescent="0.3">
      <c r="A1450" s="22" t="s">
        <v>3374</v>
      </c>
      <c r="B1450" s="23">
        <v>45598</v>
      </c>
      <c r="C1450" s="22" t="s">
        <v>584</v>
      </c>
      <c r="D1450" s="22" t="s">
        <v>479</v>
      </c>
      <c r="E1450" s="22" t="s">
        <v>3375</v>
      </c>
      <c r="F1450" s="24">
        <v>7</v>
      </c>
      <c r="G1450" s="24">
        <v>960</v>
      </c>
      <c r="H1450" s="24">
        <v>28.8</v>
      </c>
      <c r="I1450" s="24">
        <v>4784.6400000000003</v>
      </c>
      <c r="J1450" s="22" t="s">
        <v>164</v>
      </c>
      <c r="K1450" s="22" t="s">
        <v>129</v>
      </c>
      <c r="L1450" t="str">
        <f>VLOOKUP(D1450,Products!A:F,3,FALSE())</f>
        <v>Beauty</v>
      </c>
      <c r="M1450" t="str">
        <f>VLOOKUP(C1450,Customers!A:F,5,FALSE())</f>
        <v>Retail</v>
      </c>
      <c r="O1450" t="str">
        <f>IFERROR(VLOOKUP(E1450,Sales_Reps!$A:$C,3,FALSE()),"")</f>
        <v/>
      </c>
      <c r="P1450">
        <f>IFERROR(VLOOKUP(C1450,Customers!$A:$C,3,FALSE()),"")</f>
        <v>41</v>
      </c>
      <c r="Q1450" t="str">
        <f t="shared" si="22"/>
        <v>Nov-24</v>
      </c>
      <c r="R1450">
        <f>IFERROR((VLOOKUP(D1450,Products!$A:$E,5,FALSE())-VLOOKUP(D1450,Products!$A:$E,4,FALSE()))/VLOOKUP(D1450,Products!$A:$E,5,FALSE()),"")</f>
        <v>0.296875</v>
      </c>
    </row>
    <row r="1451" spans="1:18" x14ac:dyDescent="0.3">
      <c r="A1451" s="22" t="s">
        <v>3376</v>
      </c>
      <c r="B1451" s="23">
        <v>45645</v>
      </c>
      <c r="C1451" s="22" t="s">
        <v>520</v>
      </c>
      <c r="D1451" s="22" t="s">
        <v>356</v>
      </c>
      <c r="E1451" s="22" t="s">
        <v>3377</v>
      </c>
      <c r="F1451" s="24">
        <v>9</v>
      </c>
      <c r="G1451" s="24">
        <v>2030</v>
      </c>
      <c r="H1451" s="24">
        <v>3.4</v>
      </c>
      <c r="I1451" s="24">
        <v>17648.82</v>
      </c>
      <c r="J1451" s="22" t="s">
        <v>104</v>
      </c>
      <c r="K1451" s="22" t="s">
        <v>105</v>
      </c>
      <c r="L1451" t="str">
        <f>VLOOKUP(D1451,Products!A:F,3,FALSE())</f>
        <v>Home</v>
      </c>
      <c r="M1451" t="str">
        <f>VLOOKUP(C1451,Customers!A:F,5,FALSE())</f>
        <v>SMB</v>
      </c>
      <c r="O1451" t="str">
        <f>IFERROR(VLOOKUP(E1451,Sales_Reps!$A:$C,3,FALSE()),"")</f>
        <v/>
      </c>
      <c r="P1451">
        <f>IFERROR(VLOOKUP(C1451,Customers!$A:$C,3,FALSE()),"")</f>
        <v>53</v>
      </c>
      <c r="Q1451" t="str">
        <f t="shared" si="22"/>
        <v>Dec-24</v>
      </c>
      <c r="R1451">
        <f>IFERROR((VLOOKUP(D1451,Products!$A:$E,5,FALSE())-VLOOKUP(D1451,Products!$A:$E,4,FALSE()))/VLOOKUP(D1451,Products!$A:$E,5,FALSE()),"")</f>
        <v>0.43694581280788175</v>
      </c>
    </row>
    <row r="1452" spans="1:18" x14ac:dyDescent="0.3">
      <c r="A1452" s="22" t="s">
        <v>3378</v>
      </c>
      <c r="B1452" s="23">
        <v>45299</v>
      </c>
      <c r="C1452" s="22" t="s">
        <v>1568</v>
      </c>
      <c r="D1452" s="22" t="s">
        <v>459</v>
      </c>
      <c r="E1452" s="22" t="s">
        <v>3379</v>
      </c>
      <c r="F1452" s="24">
        <v>6</v>
      </c>
      <c r="G1452" s="24">
        <v>2380</v>
      </c>
      <c r="H1452" s="24">
        <v>13.2</v>
      </c>
      <c r="I1452" s="24">
        <v>12395.04</v>
      </c>
      <c r="J1452" s="22" t="s">
        <v>104</v>
      </c>
      <c r="K1452" s="22" t="s">
        <v>134</v>
      </c>
      <c r="L1452" t="str">
        <f>VLOOKUP(D1452,Products!A:F,3,FALSE())</f>
        <v>Grocery</v>
      </c>
      <c r="M1452" t="str">
        <f>VLOOKUP(C1452,Customers!A:F,5,FALSE())</f>
        <v>SMB</v>
      </c>
      <c r="O1452" t="str">
        <f>IFERROR(VLOOKUP(E1452,Sales_Reps!$A:$C,3,FALSE()),"")</f>
        <v/>
      </c>
      <c r="P1452">
        <f>IFERROR(VLOOKUP(C1452,Customers!$A:$C,3,FALSE()),"")</f>
        <v>49</v>
      </c>
      <c r="Q1452" t="str">
        <f t="shared" si="22"/>
        <v>Jan-24</v>
      </c>
      <c r="R1452">
        <f>IFERROR((VLOOKUP(D1452,Products!$A:$E,5,FALSE())-VLOOKUP(D1452,Products!$A:$E,4,FALSE()))/VLOOKUP(D1452,Products!$A:$E,5,FALSE()),"")</f>
        <v>0.50336134453781511</v>
      </c>
    </row>
    <row r="1453" spans="1:18" x14ac:dyDescent="0.3">
      <c r="A1453" s="22" t="s">
        <v>3380</v>
      </c>
      <c r="B1453" s="23">
        <v>45308</v>
      </c>
      <c r="C1453" s="22" t="s">
        <v>511</v>
      </c>
      <c r="D1453" s="22" t="s">
        <v>178</v>
      </c>
      <c r="E1453" s="22" t="s">
        <v>3381</v>
      </c>
      <c r="F1453" s="24">
        <v>10</v>
      </c>
      <c r="G1453" s="24">
        <v>3450</v>
      </c>
      <c r="H1453" s="24">
        <v>8.6999999999999993</v>
      </c>
      <c r="I1453" s="24">
        <v>31498.5</v>
      </c>
      <c r="J1453" s="22" t="s">
        <v>104</v>
      </c>
      <c r="K1453" s="22" t="s">
        <v>111</v>
      </c>
      <c r="L1453" t="str">
        <f>VLOOKUP(D1453,Products!A:F,3,FALSE())</f>
        <v>Beauty</v>
      </c>
      <c r="M1453" t="str">
        <f>VLOOKUP(C1453,Customers!A:F,5,FALSE())</f>
        <v>SMB</v>
      </c>
      <c r="O1453" t="str">
        <f>IFERROR(VLOOKUP(E1453,Sales_Reps!$A:$C,3,FALSE()),"")</f>
        <v/>
      </c>
      <c r="P1453">
        <f>IFERROR(VLOOKUP(C1453,Customers!$A:$C,3,FALSE()),"")</f>
        <v>51</v>
      </c>
      <c r="Q1453" t="str">
        <f t="shared" si="22"/>
        <v>Jan-24</v>
      </c>
      <c r="R1453">
        <f>IFERROR((VLOOKUP(D1453,Products!$A:$E,5,FALSE())-VLOOKUP(D1453,Products!$A:$E,4,FALSE()))/VLOOKUP(D1453,Products!$A:$E,5,FALSE()),"")</f>
        <v>0.29855072463768118</v>
      </c>
    </row>
    <row r="1454" spans="1:18" x14ac:dyDescent="0.3">
      <c r="A1454" s="22" t="s">
        <v>3382</v>
      </c>
      <c r="B1454" s="23">
        <v>45487</v>
      </c>
      <c r="C1454" s="22" t="s">
        <v>2746</v>
      </c>
      <c r="D1454" s="22" t="s">
        <v>479</v>
      </c>
      <c r="E1454" s="22" t="s">
        <v>3383</v>
      </c>
      <c r="F1454" s="24">
        <v>6</v>
      </c>
      <c r="G1454" s="24">
        <v>960</v>
      </c>
      <c r="H1454" s="24">
        <v>20.6</v>
      </c>
      <c r="I1454" s="24">
        <v>4573.4399999999996</v>
      </c>
      <c r="J1454" s="22" t="s">
        <v>110</v>
      </c>
      <c r="K1454" s="22" t="s">
        <v>134</v>
      </c>
      <c r="L1454" t="str">
        <f>VLOOKUP(D1454,Products!A:F,3,FALSE())</f>
        <v>Beauty</v>
      </c>
      <c r="M1454" t="str">
        <f>VLOOKUP(C1454,Customers!A:F,5,FALSE())</f>
        <v>Retail</v>
      </c>
      <c r="O1454" t="str">
        <f>IFERROR(VLOOKUP(E1454,Sales_Reps!$A:$C,3,FALSE()),"")</f>
        <v/>
      </c>
      <c r="P1454">
        <f>IFERROR(VLOOKUP(C1454,Customers!$A:$C,3,FALSE()),"")</f>
        <v>53</v>
      </c>
      <c r="Q1454" t="str">
        <f t="shared" si="22"/>
        <v>Jul-24</v>
      </c>
      <c r="R1454">
        <f>IFERROR((VLOOKUP(D1454,Products!$A:$E,5,FALSE())-VLOOKUP(D1454,Products!$A:$E,4,FALSE()))/VLOOKUP(D1454,Products!$A:$E,5,FALSE()),"")</f>
        <v>0.296875</v>
      </c>
    </row>
    <row r="1455" spans="1:18" x14ac:dyDescent="0.3">
      <c r="A1455" s="22" t="s">
        <v>3384</v>
      </c>
      <c r="B1455" s="23">
        <v>45341</v>
      </c>
      <c r="C1455" s="22" t="s">
        <v>1175</v>
      </c>
      <c r="D1455" s="22" t="s">
        <v>935</v>
      </c>
      <c r="E1455" s="22" t="s">
        <v>3385</v>
      </c>
      <c r="F1455" s="24">
        <v>10</v>
      </c>
      <c r="G1455" s="24">
        <v>3560</v>
      </c>
      <c r="H1455" s="24">
        <v>1.4</v>
      </c>
      <c r="I1455" s="24">
        <v>35101.599999999999</v>
      </c>
      <c r="J1455" s="22" t="s">
        <v>110</v>
      </c>
      <c r="K1455" s="22" t="s">
        <v>116</v>
      </c>
      <c r="L1455" t="str">
        <f>VLOOKUP(D1455,Products!A:F,3,FALSE())</f>
        <v>Apparel</v>
      </c>
      <c r="M1455" t="str">
        <f>VLOOKUP(C1455,Customers!A:F,5,FALSE())</f>
        <v>Retail</v>
      </c>
      <c r="O1455" t="str">
        <f>IFERROR(VLOOKUP(E1455,Sales_Reps!$A:$C,3,FALSE()),"")</f>
        <v/>
      </c>
      <c r="P1455">
        <f>IFERROR(VLOOKUP(C1455,Customers!$A:$C,3,FALSE()),"")</f>
        <v>63</v>
      </c>
      <c r="Q1455" t="str">
        <f t="shared" si="22"/>
        <v>Feb-24</v>
      </c>
      <c r="R1455">
        <f>IFERROR((VLOOKUP(D1455,Products!$A:$E,5,FALSE())-VLOOKUP(D1455,Products!$A:$E,4,FALSE()))/VLOOKUP(D1455,Products!$A:$E,5,FALSE()),"")</f>
        <v>0.26151685393258428</v>
      </c>
    </row>
    <row r="1456" spans="1:18" x14ac:dyDescent="0.3">
      <c r="A1456" s="22" t="s">
        <v>3386</v>
      </c>
      <c r="B1456" s="23">
        <v>45354</v>
      </c>
      <c r="C1456" s="22" t="s">
        <v>261</v>
      </c>
      <c r="D1456" s="22" t="s">
        <v>197</v>
      </c>
      <c r="E1456" s="22" t="s">
        <v>3387</v>
      </c>
      <c r="F1456" s="24">
        <v>4</v>
      </c>
      <c r="G1456" s="24">
        <v>2720</v>
      </c>
      <c r="H1456" s="24">
        <v>19.399999999999999</v>
      </c>
      <c r="I1456" s="24">
        <v>8769.2800000000007</v>
      </c>
      <c r="J1456" s="22" t="s">
        <v>164</v>
      </c>
      <c r="K1456" s="22" t="s">
        <v>116</v>
      </c>
      <c r="L1456" t="str">
        <f>VLOOKUP(D1456,Products!A:F,3,FALSE())</f>
        <v>Apparel</v>
      </c>
      <c r="M1456" t="str">
        <f>VLOOKUP(C1456,Customers!A:F,5,FALSE())</f>
        <v>Retail</v>
      </c>
      <c r="O1456" t="str">
        <f>IFERROR(VLOOKUP(E1456,Sales_Reps!$A:$C,3,FALSE()),"")</f>
        <v/>
      </c>
      <c r="P1456">
        <f>IFERROR(VLOOKUP(C1456,Customers!$A:$C,3,FALSE()),"")</f>
        <v>53</v>
      </c>
      <c r="Q1456" t="str">
        <f t="shared" si="22"/>
        <v>Mar-24</v>
      </c>
      <c r="R1456">
        <f>IFERROR((VLOOKUP(D1456,Products!$A:$E,5,FALSE())-VLOOKUP(D1456,Products!$A:$E,4,FALSE()))/VLOOKUP(D1456,Products!$A:$E,5,FALSE()),"")</f>
        <v>0.2786764705882353</v>
      </c>
    </row>
    <row r="1457" spans="1:18" x14ac:dyDescent="0.3">
      <c r="A1457" s="22" t="s">
        <v>3388</v>
      </c>
      <c r="B1457" s="23">
        <v>45458</v>
      </c>
      <c r="C1457" s="22" t="s">
        <v>1077</v>
      </c>
      <c r="D1457" s="22" t="s">
        <v>319</v>
      </c>
      <c r="E1457" s="22" t="s">
        <v>3389</v>
      </c>
      <c r="F1457" s="24">
        <v>5</v>
      </c>
      <c r="G1457" s="24">
        <v>1220</v>
      </c>
      <c r="H1457" s="24">
        <v>15.6</v>
      </c>
      <c r="I1457" s="24">
        <v>5148.3999999999996</v>
      </c>
      <c r="J1457" s="22" t="s">
        <v>104</v>
      </c>
      <c r="K1457" s="22" t="s">
        <v>151</v>
      </c>
      <c r="L1457" t="str">
        <f>VLOOKUP(D1457,Products!A:F,3,FALSE())</f>
        <v>Electronics</v>
      </c>
      <c r="M1457" t="str">
        <f>VLOOKUP(C1457,Customers!A:F,5,FALSE())</f>
        <v>SMB</v>
      </c>
      <c r="O1457" t="str">
        <f>IFERROR(VLOOKUP(E1457,Sales_Reps!$A:$C,3,FALSE()),"")</f>
        <v/>
      </c>
      <c r="P1457">
        <f>IFERROR(VLOOKUP(C1457,Customers!$A:$C,3,FALSE()),"")</f>
        <v>29</v>
      </c>
      <c r="Q1457" t="str">
        <f t="shared" si="22"/>
        <v>Jun-24</v>
      </c>
      <c r="R1457">
        <f>IFERROR((VLOOKUP(D1457,Products!$A:$E,5,FALSE())-VLOOKUP(D1457,Products!$A:$E,4,FALSE()))/VLOOKUP(D1457,Products!$A:$E,5,FALSE()),"")</f>
        <v>0.57622950819672136</v>
      </c>
    </row>
    <row r="1458" spans="1:18" x14ac:dyDescent="0.3">
      <c r="A1458" s="22" t="s">
        <v>3390</v>
      </c>
      <c r="B1458" s="23">
        <v>45364</v>
      </c>
      <c r="C1458" s="22" t="s">
        <v>304</v>
      </c>
      <c r="D1458" s="22" t="s">
        <v>674</v>
      </c>
      <c r="E1458" s="22" t="s">
        <v>3391</v>
      </c>
      <c r="F1458" s="24">
        <v>5</v>
      </c>
      <c r="G1458" s="24">
        <v>1090</v>
      </c>
      <c r="H1458" s="24">
        <v>15</v>
      </c>
      <c r="I1458" s="24">
        <v>4632.5</v>
      </c>
      <c r="J1458" s="22" t="s">
        <v>104</v>
      </c>
      <c r="K1458" s="22" t="s">
        <v>151</v>
      </c>
      <c r="L1458" t="str">
        <f>VLOOKUP(D1458,Products!A:F,3,FALSE())</f>
        <v>Home</v>
      </c>
      <c r="M1458" t="str">
        <f>VLOOKUP(C1458,Customers!A:F,5,FALSE())</f>
        <v>Retail</v>
      </c>
      <c r="O1458" t="str">
        <f>IFERROR(VLOOKUP(E1458,Sales_Reps!$A:$C,3,FALSE()),"")</f>
        <v/>
      </c>
      <c r="P1458">
        <f>IFERROR(VLOOKUP(C1458,Customers!$A:$C,3,FALSE()),"")</f>
        <v>27</v>
      </c>
      <c r="Q1458" t="str">
        <f t="shared" si="22"/>
        <v>Mar-24</v>
      </c>
      <c r="R1458">
        <f>IFERROR((VLOOKUP(D1458,Products!$A:$E,5,FALSE())-VLOOKUP(D1458,Products!$A:$E,4,FALSE()))/VLOOKUP(D1458,Products!$A:$E,5,FALSE()),"")</f>
        <v>0.57431192660550456</v>
      </c>
    </row>
    <row r="1459" spans="1:18" x14ac:dyDescent="0.3">
      <c r="A1459" s="22" t="s">
        <v>3392</v>
      </c>
      <c r="B1459" s="23">
        <v>45618</v>
      </c>
      <c r="C1459" s="22" t="s">
        <v>1654</v>
      </c>
      <c r="D1459" s="22" t="s">
        <v>127</v>
      </c>
      <c r="E1459" s="22" t="s">
        <v>3393</v>
      </c>
      <c r="F1459" s="24">
        <v>9</v>
      </c>
      <c r="G1459" s="24">
        <v>370</v>
      </c>
      <c r="H1459" s="24">
        <v>25.4</v>
      </c>
      <c r="I1459" s="24">
        <v>2484.1799999999998</v>
      </c>
      <c r="J1459" s="22" t="s">
        <v>104</v>
      </c>
      <c r="K1459" s="22" t="s">
        <v>129</v>
      </c>
      <c r="L1459" t="str">
        <f>VLOOKUP(D1459,Products!A:F,3,FALSE())</f>
        <v>Home</v>
      </c>
      <c r="M1459" t="str">
        <f>VLOOKUP(C1459,Customers!A:F,5,FALSE())</f>
        <v>SMB</v>
      </c>
      <c r="O1459" t="str">
        <f>IFERROR(VLOOKUP(E1459,Sales_Reps!$A:$C,3,FALSE()),"")</f>
        <v/>
      </c>
      <c r="P1459">
        <f>IFERROR(VLOOKUP(C1459,Customers!$A:$C,3,FALSE()),"")</f>
        <v>54</v>
      </c>
      <c r="Q1459" t="str">
        <f t="shared" si="22"/>
        <v>Nov-24</v>
      </c>
      <c r="R1459">
        <f>IFERROR((VLOOKUP(D1459,Products!$A:$E,5,FALSE())-VLOOKUP(D1459,Products!$A:$E,4,FALSE()))/VLOOKUP(D1459,Products!$A:$E,5,FALSE()),"")</f>
        <v>0.22162162162162163</v>
      </c>
    </row>
    <row r="1460" spans="1:18" x14ac:dyDescent="0.3">
      <c r="A1460" s="22" t="s">
        <v>3394</v>
      </c>
      <c r="B1460" s="23">
        <v>45456</v>
      </c>
      <c r="C1460" s="22" t="s">
        <v>1367</v>
      </c>
      <c r="D1460" s="22" t="s">
        <v>224</v>
      </c>
      <c r="E1460" s="22" t="s">
        <v>3395</v>
      </c>
      <c r="F1460" s="24">
        <v>7</v>
      </c>
      <c r="G1460" s="24">
        <v>2860</v>
      </c>
      <c r="H1460" s="24">
        <v>14</v>
      </c>
      <c r="I1460" s="24">
        <v>17217.2</v>
      </c>
      <c r="J1460" s="22" t="s">
        <v>104</v>
      </c>
      <c r="K1460" s="22" t="s">
        <v>129</v>
      </c>
      <c r="L1460" t="str">
        <f>VLOOKUP(D1460,Products!A:F,3,FALSE())</f>
        <v>Sports</v>
      </c>
      <c r="M1460" t="str">
        <f>VLOOKUP(C1460,Customers!A:F,5,FALSE())</f>
        <v>SMB</v>
      </c>
      <c r="O1460" t="str">
        <f>IFERROR(VLOOKUP(E1460,Sales_Reps!$A:$C,3,FALSE()),"")</f>
        <v/>
      </c>
      <c r="P1460">
        <f>IFERROR(VLOOKUP(C1460,Customers!$A:$C,3,FALSE()),"")</f>
        <v>43</v>
      </c>
      <c r="Q1460" t="str">
        <f t="shared" si="22"/>
        <v>Jun-24</v>
      </c>
      <c r="R1460">
        <f>IFERROR((VLOOKUP(D1460,Products!$A:$E,5,FALSE())-VLOOKUP(D1460,Products!$A:$E,4,FALSE()))/VLOOKUP(D1460,Products!$A:$E,5,FALSE()),"")</f>
        <v>0.29090909090909089</v>
      </c>
    </row>
    <row r="1461" spans="1:18" x14ac:dyDescent="0.3">
      <c r="A1461" s="22" t="s">
        <v>3396</v>
      </c>
      <c r="B1461" s="23">
        <v>45490</v>
      </c>
      <c r="C1461" s="22" t="s">
        <v>833</v>
      </c>
      <c r="D1461" s="22" t="s">
        <v>419</v>
      </c>
      <c r="E1461" s="22" t="s">
        <v>3397</v>
      </c>
      <c r="F1461" s="24">
        <v>1</v>
      </c>
      <c r="G1461" s="24">
        <v>2210</v>
      </c>
      <c r="H1461" s="24">
        <v>1.7</v>
      </c>
      <c r="I1461" s="24">
        <v>2172.4299999999998</v>
      </c>
      <c r="J1461" s="22" t="s">
        <v>104</v>
      </c>
      <c r="K1461" s="22" t="s">
        <v>134</v>
      </c>
      <c r="L1461" t="str">
        <f>VLOOKUP(D1461,Products!A:F,3,FALSE())</f>
        <v>Grocery</v>
      </c>
      <c r="M1461" t="str">
        <f>VLOOKUP(C1461,Customers!A:F,5,FALSE())</f>
        <v>Corporate</v>
      </c>
      <c r="O1461" t="str">
        <f>IFERROR(VLOOKUP(E1461,Sales_Reps!$A:$C,3,FALSE()),"")</f>
        <v/>
      </c>
      <c r="P1461">
        <f>IFERROR(VLOOKUP(C1461,Customers!$A:$C,3,FALSE()),"")</f>
        <v>26</v>
      </c>
      <c r="Q1461" t="str">
        <f t="shared" si="22"/>
        <v>Jul-24</v>
      </c>
      <c r="R1461">
        <f>IFERROR((VLOOKUP(D1461,Products!$A:$E,5,FALSE())-VLOOKUP(D1461,Products!$A:$E,4,FALSE()))/VLOOKUP(D1461,Products!$A:$E,5,FALSE()),"")</f>
        <v>0.54298642533936647</v>
      </c>
    </row>
    <row r="1462" spans="1:18" x14ac:dyDescent="0.3">
      <c r="A1462" s="22" t="s">
        <v>3398</v>
      </c>
      <c r="B1462" s="23">
        <v>45584</v>
      </c>
      <c r="C1462" s="22" t="s">
        <v>772</v>
      </c>
      <c r="D1462" s="22" t="s">
        <v>145</v>
      </c>
      <c r="E1462" s="22" t="s">
        <v>3399</v>
      </c>
      <c r="F1462" s="24">
        <v>3</v>
      </c>
      <c r="G1462" s="24">
        <v>970</v>
      </c>
      <c r="H1462" s="24">
        <v>20.3</v>
      </c>
      <c r="I1462" s="24">
        <v>2319.27</v>
      </c>
      <c r="J1462" s="22" t="s">
        <v>110</v>
      </c>
      <c r="K1462" s="22" t="s">
        <v>105</v>
      </c>
      <c r="L1462" t="str">
        <f>VLOOKUP(D1462,Products!A:F,3,FALSE())</f>
        <v>Grocery</v>
      </c>
      <c r="M1462" t="str">
        <f>VLOOKUP(C1462,Customers!A:F,5,FALSE())</f>
        <v>SMB</v>
      </c>
      <c r="O1462" t="str">
        <f>IFERROR(VLOOKUP(E1462,Sales_Reps!$A:$C,3,FALSE()),"")</f>
        <v/>
      </c>
      <c r="P1462">
        <f>IFERROR(VLOOKUP(C1462,Customers!$A:$C,3,FALSE()),"")</f>
        <v>24</v>
      </c>
      <c r="Q1462" t="str">
        <f t="shared" si="22"/>
        <v>Oct-24</v>
      </c>
      <c r="R1462">
        <f>IFERROR((VLOOKUP(D1462,Products!$A:$E,5,FALSE())-VLOOKUP(D1462,Products!$A:$E,4,FALSE()))/VLOOKUP(D1462,Products!$A:$E,5,FALSE()),"")</f>
        <v>0.5525773195876289</v>
      </c>
    </row>
    <row r="1463" spans="1:18" x14ac:dyDescent="0.3">
      <c r="A1463" s="22" t="s">
        <v>3400</v>
      </c>
      <c r="B1463" s="23">
        <v>45476</v>
      </c>
      <c r="C1463" s="22" t="s">
        <v>1539</v>
      </c>
      <c r="D1463" s="22" t="s">
        <v>935</v>
      </c>
      <c r="E1463" s="22" t="s">
        <v>3401</v>
      </c>
      <c r="F1463" s="24">
        <v>5</v>
      </c>
      <c r="G1463" s="24">
        <v>3560</v>
      </c>
      <c r="H1463" s="24">
        <v>17.100000000000001</v>
      </c>
      <c r="I1463" s="24">
        <v>14756.2</v>
      </c>
      <c r="J1463" s="22" t="s">
        <v>104</v>
      </c>
      <c r="K1463" s="22" t="s">
        <v>134</v>
      </c>
      <c r="L1463" t="str">
        <f>VLOOKUP(D1463,Products!A:F,3,FALSE())</f>
        <v>Apparel</v>
      </c>
      <c r="M1463" t="str">
        <f>VLOOKUP(C1463,Customers!A:F,5,FALSE())</f>
        <v>Retail</v>
      </c>
      <c r="O1463" t="str">
        <f>IFERROR(VLOOKUP(E1463,Sales_Reps!$A:$C,3,FALSE()),"")</f>
        <v/>
      </c>
      <c r="P1463">
        <f>IFERROR(VLOOKUP(C1463,Customers!$A:$C,3,FALSE()),"")</f>
        <v>27</v>
      </c>
      <c r="Q1463" t="str">
        <f t="shared" si="22"/>
        <v>Jul-24</v>
      </c>
      <c r="R1463">
        <f>IFERROR((VLOOKUP(D1463,Products!$A:$E,5,FALSE())-VLOOKUP(D1463,Products!$A:$E,4,FALSE()))/VLOOKUP(D1463,Products!$A:$E,5,FALSE()),"")</f>
        <v>0.26151685393258428</v>
      </c>
    </row>
    <row r="1464" spans="1:18" x14ac:dyDescent="0.3">
      <c r="A1464" s="22" t="s">
        <v>3402</v>
      </c>
      <c r="B1464" s="23">
        <v>45387</v>
      </c>
      <c r="C1464" s="22" t="s">
        <v>219</v>
      </c>
      <c r="D1464" s="22" t="s">
        <v>186</v>
      </c>
      <c r="E1464" s="22" t="s">
        <v>3403</v>
      </c>
      <c r="F1464" s="24">
        <v>10</v>
      </c>
      <c r="G1464" s="24">
        <v>1080</v>
      </c>
      <c r="H1464" s="24">
        <v>12.8</v>
      </c>
      <c r="I1464" s="24">
        <v>9417.6</v>
      </c>
      <c r="J1464" s="22" t="s">
        <v>104</v>
      </c>
      <c r="K1464" s="22" t="s">
        <v>151</v>
      </c>
      <c r="L1464" t="str">
        <f>VLOOKUP(D1464,Products!A:F,3,FALSE())</f>
        <v>Home</v>
      </c>
      <c r="M1464" t="str">
        <f>VLOOKUP(C1464,Customers!A:F,5,FALSE())</f>
        <v>Corporate</v>
      </c>
      <c r="O1464" t="str">
        <f>IFERROR(VLOOKUP(E1464,Sales_Reps!$A:$C,3,FALSE()),"")</f>
        <v/>
      </c>
      <c r="P1464">
        <f>IFERROR(VLOOKUP(C1464,Customers!$A:$C,3,FALSE()),"")</f>
        <v>56</v>
      </c>
      <c r="Q1464" t="str">
        <f t="shared" si="22"/>
        <v>Apr-24</v>
      </c>
      <c r="R1464">
        <f>IFERROR((VLOOKUP(D1464,Products!$A:$E,5,FALSE())-VLOOKUP(D1464,Products!$A:$E,4,FALSE()))/VLOOKUP(D1464,Products!$A:$E,5,FALSE()),"")</f>
        <v>0.51944444444444449</v>
      </c>
    </row>
    <row r="1465" spans="1:18" x14ac:dyDescent="0.3">
      <c r="A1465" s="22" t="s">
        <v>3404</v>
      </c>
      <c r="B1465" s="23">
        <v>45324</v>
      </c>
      <c r="C1465" s="22" t="s">
        <v>682</v>
      </c>
      <c r="D1465" s="22" t="s">
        <v>319</v>
      </c>
      <c r="E1465" s="22" t="s">
        <v>3405</v>
      </c>
      <c r="F1465" s="24">
        <v>3</v>
      </c>
      <c r="G1465" s="24">
        <v>1220</v>
      </c>
      <c r="H1465" s="24">
        <v>1.9</v>
      </c>
      <c r="I1465" s="24">
        <v>3590.46</v>
      </c>
      <c r="J1465" s="22" t="s">
        <v>104</v>
      </c>
      <c r="K1465" s="22" t="s">
        <v>105</v>
      </c>
      <c r="L1465" t="str">
        <f>VLOOKUP(D1465,Products!A:F,3,FALSE())</f>
        <v>Electronics</v>
      </c>
      <c r="M1465" t="str">
        <f>VLOOKUP(C1465,Customers!A:F,5,FALSE())</f>
        <v>Retail</v>
      </c>
      <c r="O1465" t="str">
        <f>IFERROR(VLOOKUP(E1465,Sales_Reps!$A:$C,3,FALSE()),"")</f>
        <v/>
      </c>
      <c r="P1465">
        <f>IFERROR(VLOOKUP(C1465,Customers!$A:$C,3,FALSE()),"")</f>
        <v>59</v>
      </c>
      <c r="Q1465" t="str">
        <f t="shared" si="22"/>
        <v>Feb-24</v>
      </c>
      <c r="R1465">
        <f>IFERROR((VLOOKUP(D1465,Products!$A:$E,5,FALSE())-VLOOKUP(D1465,Products!$A:$E,4,FALSE()))/VLOOKUP(D1465,Products!$A:$E,5,FALSE()),"")</f>
        <v>0.57622950819672136</v>
      </c>
    </row>
    <row r="1466" spans="1:18" x14ac:dyDescent="0.3">
      <c r="A1466" s="22" t="s">
        <v>3406</v>
      </c>
      <c r="B1466" s="23">
        <v>45479</v>
      </c>
      <c r="C1466" s="22" t="s">
        <v>3407</v>
      </c>
      <c r="D1466" s="22" t="s">
        <v>265</v>
      </c>
      <c r="E1466" s="22" t="s">
        <v>3408</v>
      </c>
      <c r="F1466" s="24">
        <v>1</v>
      </c>
      <c r="G1466" s="24">
        <v>3730</v>
      </c>
      <c r="H1466" s="24">
        <v>14.7</v>
      </c>
      <c r="I1466" s="24">
        <v>3181.69</v>
      </c>
      <c r="J1466" s="22" t="s">
        <v>110</v>
      </c>
      <c r="K1466" s="22" t="s">
        <v>105</v>
      </c>
      <c r="L1466" t="str">
        <f>VLOOKUP(D1466,Products!A:F,3,FALSE())</f>
        <v>Home</v>
      </c>
      <c r="M1466" t="e">
        <f>VLOOKUP(C1466,Customers!A:F,5,FALSE())</f>
        <v>#N/A</v>
      </c>
      <c r="O1466" t="str">
        <f>IFERROR(VLOOKUP(E1466,Sales_Reps!$A:$C,3,FALSE()),"")</f>
        <v/>
      </c>
      <c r="P1466" t="str">
        <f>IFERROR(VLOOKUP(C1466,Customers!$A:$C,3,FALSE()),"")</f>
        <v/>
      </c>
      <c r="Q1466" t="str">
        <f t="shared" si="22"/>
        <v>Jul-24</v>
      </c>
      <c r="R1466">
        <f>IFERROR((VLOOKUP(D1466,Products!$A:$E,5,FALSE())-VLOOKUP(D1466,Products!$A:$E,4,FALSE()))/VLOOKUP(D1466,Products!$A:$E,5,FALSE()),"")</f>
        <v>0.42761394101876676</v>
      </c>
    </row>
    <row r="1467" spans="1:18" x14ac:dyDescent="0.3">
      <c r="A1467" s="22" t="s">
        <v>3409</v>
      </c>
      <c r="B1467" s="23">
        <v>45628</v>
      </c>
      <c r="C1467" s="22" t="s">
        <v>215</v>
      </c>
      <c r="D1467" s="22" t="s">
        <v>137</v>
      </c>
      <c r="E1467" s="22" t="s">
        <v>3410</v>
      </c>
      <c r="F1467" s="24">
        <v>3</v>
      </c>
      <c r="G1467" s="24">
        <v>1430</v>
      </c>
      <c r="H1467" s="24">
        <v>13.2</v>
      </c>
      <c r="I1467" s="24">
        <v>3723.72</v>
      </c>
      <c r="J1467" s="22" t="s">
        <v>104</v>
      </c>
      <c r="K1467" s="22" t="s">
        <v>111</v>
      </c>
      <c r="L1467" t="str">
        <f>VLOOKUP(D1467,Products!A:F,3,FALSE())</f>
        <v>Electronics</v>
      </c>
      <c r="M1467" t="str">
        <f>VLOOKUP(C1467,Customers!A:F,5,FALSE())</f>
        <v>SMB</v>
      </c>
      <c r="O1467" t="str">
        <f>IFERROR(VLOOKUP(E1467,Sales_Reps!$A:$C,3,FALSE()),"")</f>
        <v/>
      </c>
      <c r="P1467">
        <f>IFERROR(VLOOKUP(C1467,Customers!$A:$C,3,FALSE()),"")</f>
        <v>52</v>
      </c>
      <c r="Q1467" t="str">
        <f t="shared" si="22"/>
        <v>Dec-24</v>
      </c>
      <c r="R1467">
        <f>IFERROR((VLOOKUP(D1467,Products!$A:$E,5,FALSE())-VLOOKUP(D1467,Products!$A:$E,4,FALSE()))/VLOOKUP(D1467,Products!$A:$E,5,FALSE()),"")</f>
        <v>0.39790209790209791</v>
      </c>
    </row>
    <row r="1468" spans="1:18" x14ac:dyDescent="0.3">
      <c r="A1468" s="22" t="s">
        <v>3411</v>
      </c>
      <c r="B1468" s="23">
        <v>45413</v>
      </c>
      <c r="C1468" s="22" t="s">
        <v>219</v>
      </c>
      <c r="D1468" s="22" t="s">
        <v>283</v>
      </c>
      <c r="E1468" s="22" t="s">
        <v>3412</v>
      </c>
      <c r="F1468" s="24">
        <v>2</v>
      </c>
      <c r="G1468" s="24">
        <v>6080</v>
      </c>
      <c r="H1468" s="24">
        <v>21.8</v>
      </c>
      <c r="I1468" s="24">
        <v>9509.1200000000008</v>
      </c>
      <c r="J1468" s="22" t="s">
        <v>159</v>
      </c>
      <c r="K1468" s="22" t="s">
        <v>151</v>
      </c>
      <c r="L1468" t="str">
        <f>VLOOKUP(D1468,Products!A:F,3,FALSE())</f>
        <v>Beauty</v>
      </c>
      <c r="M1468" t="str">
        <f>VLOOKUP(C1468,Customers!A:F,5,FALSE())</f>
        <v>Corporate</v>
      </c>
      <c r="O1468" t="str">
        <f>IFERROR(VLOOKUP(E1468,Sales_Reps!$A:$C,3,FALSE()),"")</f>
        <v/>
      </c>
      <c r="P1468">
        <f>IFERROR(VLOOKUP(C1468,Customers!$A:$C,3,FALSE()),"")</f>
        <v>56</v>
      </c>
      <c r="Q1468" t="str">
        <f t="shared" si="22"/>
        <v>May-24</v>
      </c>
      <c r="R1468">
        <f>IFERROR((VLOOKUP(D1468,Products!$A:$E,5,FALSE())-VLOOKUP(D1468,Products!$A:$E,4,FALSE()))/VLOOKUP(D1468,Products!$A:$E,5,FALSE()),"")</f>
        <v>0.56957236842105263</v>
      </c>
    </row>
    <row r="1469" spans="1:18" x14ac:dyDescent="0.3">
      <c r="A1469" s="22" t="s">
        <v>3413</v>
      </c>
      <c r="B1469" s="23">
        <v>45343</v>
      </c>
      <c r="C1469" s="22" t="s">
        <v>972</v>
      </c>
      <c r="D1469" s="22" t="s">
        <v>220</v>
      </c>
      <c r="E1469" s="22" t="s">
        <v>3414</v>
      </c>
      <c r="F1469" s="24">
        <v>9</v>
      </c>
      <c r="G1469" s="24">
        <v>5100</v>
      </c>
      <c r="H1469" s="24">
        <v>29.3</v>
      </c>
      <c r="I1469" s="24">
        <v>32451.3</v>
      </c>
      <c r="J1469" s="22" t="s">
        <v>104</v>
      </c>
      <c r="K1469" s="22" t="s">
        <v>111</v>
      </c>
      <c r="L1469" t="str">
        <f>VLOOKUP(D1469,Products!A:F,3,FALSE())</f>
        <v>Beauty</v>
      </c>
      <c r="M1469" t="str">
        <f>VLOOKUP(C1469,Customers!A:F,5,FALSE())</f>
        <v>Retail</v>
      </c>
      <c r="O1469" t="str">
        <f>IFERROR(VLOOKUP(E1469,Sales_Reps!$A:$C,3,FALSE()),"")</f>
        <v/>
      </c>
      <c r="P1469">
        <f>IFERROR(VLOOKUP(C1469,Customers!$A:$C,3,FALSE()),"")</f>
        <v>26</v>
      </c>
      <c r="Q1469" t="str">
        <f t="shared" si="22"/>
        <v>Feb-24</v>
      </c>
      <c r="R1469">
        <f>IFERROR((VLOOKUP(D1469,Products!$A:$E,5,FALSE())-VLOOKUP(D1469,Products!$A:$E,4,FALSE()))/VLOOKUP(D1469,Products!$A:$E,5,FALSE()),"")</f>
        <v>0.56137254901960787</v>
      </c>
    </row>
    <row r="1470" spans="1:18" x14ac:dyDescent="0.3">
      <c r="A1470" s="22" t="s">
        <v>3415</v>
      </c>
      <c r="B1470" s="23">
        <v>45424</v>
      </c>
      <c r="C1470" s="22" t="s">
        <v>1367</v>
      </c>
      <c r="D1470" s="22" t="s">
        <v>591</v>
      </c>
      <c r="E1470" s="22" t="s">
        <v>3416</v>
      </c>
      <c r="F1470" s="24">
        <v>5</v>
      </c>
      <c r="G1470" s="24">
        <v>3450</v>
      </c>
      <c r="H1470" s="24">
        <v>5.3</v>
      </c>
      <c r="I1470" s="24">
        <v>16335.75</v>
      </c>
      <c r="J1470" s="22" t="s">
        <v>104</v>
      </c>
      <c r="K1470" s="22" t="s">
        <v>129</v>
      </c>
      <c r="L1470" t="str">
        <f>VLOOKUP(D1470,Products!A:F,3,FALSE())</f>
        <v>Apparel</v>
      </c>
      <c r="M1470" t="str">
        <f>VLOOKUP(C1470,Customers!A:F,5,FALSE())</f>
        <v>SMB</v>
      </c>
      <c r="O1470" t="str">
        <f>IFERROR(VLOOKUP(E1470,Sales_Reps!$A:$C,3,FALSE()),"")</f>
        <v/>
      </c>
      <c r="P1470">
        <f>IFERROR(VLOOKUP(C1470,Customers!$A:$C,3,FALSE()),"")</f>
        <v>43</v>
      </c>
      <c r="Q1470" t="str">
        <f t="shared" si="22"/>
        <v>May-24</v>
      </c>
      <c r="R1470">
        <f>IFERROR((VLOOKUP(D1470,Products!$A:$E,5,FALSE())-VLOOKUP(D1470,Products!$A:$E,4,FALSE()))/VLOOKUP(D1470,Products!$A:$E,5,FALSE()),"")</f>
        <v>0.49333333333333335</v>
      </c>
    </row>
    <row r="1471" spans="1:18" x14ac:dyDescent="0.3">
      <c r="A1471" s="22" t="s">
        <v>3417</v>
      </c>
      <c r="B1471" s="23">
        <v>45632</v>
      </c>
      <c r="C1471" s="22" t="s">
        <v>491</v>
      </c>
      <c r="D1471" s="22" t="s">
        <v>216</v>
      </c>
      <c r="E1471" s="22" t="s">
        <v>3418</v>
      </c>
      <c r="F1471" s="24">
        <v>6</v>
      </c>
      <c r="G1471" s="24">
        <v>3570</v>
      </c>
      <c r="H1471" s="24">
        <v>17.3</v>
      </c>
      <c r="I1471" s="24">
        <v>17714.34</v>
      </c>
      <c r="J1471" s="22" t="s">
        <v>104</v>
      </c>
      <c r="K1471" s="22" t="s">
        <v>151</v>
      </c>
      <c r="L1471" t="str">
        <f>VLOOKUP(D1471,Products!A:F,3,FALSE())</f>
        <v>Electronics</v>
      </c>
      <c r="M1471" t="str">
        <f>VLOOKUP(C1471,Customers!A:F,5,FALSE())</f>
        <v>Retail</v>
      </c>
      <c r="O1471" t="str">
        <f>IFERROR(VLOOKUP(E1471,Sales_Reps!$A:$C,3,FALSE()),"")</f>
        <v/>
      </c>
      <c r="P1471">
        <f>IFERROR(VLOOKUP(C1471,Customers!$A:$C,3,FALSE()),"")</f>
        <v>44</v>
      </c>
      <c r="Q1471" t="str">
        <f t="shared" si="22"/>
        <v>Dec-24</v>
      </c>
      <c r="R1471">
        <f>IFERROR((VLOOKUP(D1471,Products!$A:$E,5,FALSE())-VLOOKUP(D1471,Products!$A:$E,4,FALSE()))/VLOOKUP(D1471,Products!$A:$E,5,FALSE()),"")</f>
        <v>0.53361344537815125</v>
      </c>
    </row>
    <row r="1472" spans="1:18" x14ac:dyDescent="0.3">
      <c r="A1472" s="22" t="s">
        <v>3419</v>
      </c>
      <c r="B1472" s="23">
        <v>45444</v>
      </c>
      <c r="C1472" s="22" t="s">
        <v>348</v>
      </c>
      <c r="D1472" s="22" t="s">
        <v>265</v>
      </c>
      <c r="E1472" s="22" t="s">
        <v>3420</v>
      </c>
      <c r="F1472" s="24">
        <v>6</v>
      </c>
      <c r="G1472" s="24">
        <v>3730</v>
      </c>
      <c r="H1472" s="24">
        <v>1</v>
      </c>
      <c r="I1472" s="24">
        <v>22156.2</v>
      </c>
      <c r="J1472" s="22" t="s">
        <v>104</v>
      </c>
      <c r="K1472" s="22" t="s">
        <v>111</v>
      </c>
      <c r="L1472" t="str">
        <f>VLOOKUP(D1472,Products!A:F,3,FALSE())</f>
        <v>Home</v>
      </c>
      <c r="M1472" t="str">
        <f>VLOOKUP(C1472,Customers!A:F,5,FALSE())</f>
        <v>Retail</v>
      </c>
      <c r="O1472" t="str">
        <f>IFERROR(VLOOKUP(E1472,Sales_Reps!$A:$C,3,FALSE()),"")</f>
        <v/>
      </c>
      <c r="P1472">
        <f>IFERROR(VLOOKUP(C1472,Customers!$A:$C,3,FALSE()),"")</f>
        <v>38</v>
      </c>
      <c r="Q1472" t="str">
        <f t="shared" si="22"/>
        <v>Jun-24</v>
      </c>
      <c r="R1472">
        <f>IFERROR((VLOOKUP(D1472,Products!$A:$E,5,FALSE())-VLOOKUP(D1472,Products!$A:$E,4,FALSE()))/VLOOKUP(D1472,Products!$A:$E,5,FALSE()),"")</f>
        <v>0.42761394101876676</v>
      </c>
    </row>
    <row r="1473" spans="1:18" x14ac:dyDescent="0.3">
      <c r="A1473" s="22" t="s">
        <v>3421</v>
      </c>
      <c r="B1473" s="23">
        <v>45545</v>
      </c>
      <c r="C1473" s="22" t="s">
        <v>1609</v>
      </c>
      <c r="D1473" s="22" t="s">
        <v>605</v>
      </c>
      <c r="E1473" s="22" t="s">
        <v>3422</v>
      </c>
      <c r="F1473" s="24">
        <v>4</v>
      </c>
      <c r="G1473" s="24">
        <v>3780</v>
      </c>
      <c r="H1473" s="24">
        <v>13.1</v>
      </c>
      <c r="I1473" s="24">
        <v>13139.28</v>
      </c>
      <c r="J1473" s="22" t="s">
        <v>104</v>
      </c>
      <c r="K1473" s="22" t="s">
        <v>134</v>
      </c>
      <c r="L1473" t="str">
        <f>VLOOKUP(D1473,Products!A:F,3,FALSE())</f>
        <v>Sports</v>
      </c>
      <c r="M1473" t="str">
        <f>VLOOKUP(C1473,Customers!A:F,5,FALSE())</f>
        <v>Corporate</v>
      </c>
      <c r="O1473" t="str">
        <f>IFERROR(VLOOKUP(E1473,Sales_Reps!$A:$C,3,FALSE()),"")</f>
        <v/>
      </c>
      <c r="P1473">
        <f>IFERROR(VLOOKUP(C1473,Customers!$A:$C,3,FALSE()),"")</f>
        <v>55</v>
      </c>
      <c r="Q1473" t="str">
        <f t="shared" si="22"/>
        <v>Sep-24</v>
      </c>
      <c r="R1473">
        <f>IFERROR((VLOOKUP(D1473,Products!$A:$E,5,FALSE())-VLOOKUP(D1473,Products!$A:$E,4,FALSE()))/VLOOKUP(D1473,Products!$A:$E,5,FALSE()),"")</f>
        <v>0.50793650793650791</v>
      </c>
    </row>
    <row r="1474" spans="1:18" x14ac:dyDescent="0.3">
      <c r="A1474" s="22" t="s">
        <v>3423</v>
      </c>
      <c r="B1474" s="23">
        <v>45511</v>
      </c>
      <c r="C1474" s="22" t="s">
        <v>850</v>
      </c>
      <c r="D1474" s="22" t="s">
        <v>442</v>
      </c>
      <c r="E1474" s="22" t="s">
        <v>3424</v>
      </c>
      <c r="F1474" s="24">
        <v>1</v>
      </c>
      <c r="G1474" s="24">
        <v>2510</v>
      </c>
      <c r="H1474" s="24">
        <v>27.8</v>
      </c>
      <c r="I1474" s="24">
        <v>1812.22</v>
      </c>
      <c r="J1474" s="22" t="s">
        <v>159</v>
      </c>
      <c r="K1474" s="22" t="s">
        <v>134</v>
      </c>
      <c r="L1474" t="str">
        <f>VLOOKUP(D1474,Products!A:F,3,FALSE())</f>
        <v>Apparel</v>
      </c>
      <c r="M1474" t="str">
        <f>VLOOKUP(C1474,Customers!A:F,5,FALSE())</f>
        <v>SMB</v>
      </c>
      <c r="O1474" t="str">
        <f>IFERROR(VLOOKUP(E1474,Sales_Reps!$A:$C,3,FALSE()),"")</f>
        <v/>
      </c>
      <c r="P1474">
        <f>IFERROR(VLOOKUP(C1474,Customers!$A:$C,3,FALSE()),"")</f>
        <v>42</v>
      </c>
      <c r="Q1474" t="str">
        <f t="shared" ref="Q1474:Q1537" si="23">TEXT(B1474,"mmm-yy")</f>
        <v>Aug-24</v>
      </c>
      <c r="R1474">
        <f>IFERROR((VLOOKUP(D1474,Products!$A:$E,5,FALSE())-VLOOKUP(D1474,Products!$A:$E,4,FALSE()))/VLOOKUP(D1474,Products!$A:$E,5,FALSE()),"")</f>
        <v>0.57171314741035861</v>
      </c>
    </row>
    <row r="1475" spans="1:18" x14ac:dyDescent="0.3">
      <c r="A1475" s="22" t="s">
        <v>3425</v>
      </c>
      <c r="B1475" s="23">
        <v>45577</v>
      </c>
      <c r="C1475" s="22" t="s">
        <v>1175</v>
      </c>
      <c r="D1475" s="22" t="s">
        <v>234</v>
      </c>
      <c r="E1475" s="22" t="s">
        <v>3426</v>
      </c>
      <c r="F1475" s="24">
        <v>9</v>
      </c>
      <c r="G1475" s="24">
        <v>660</v>
      </c>
      <c r="H1475" s="24">
        <v>29.3</v>
      </c>
      <c r="I1475" s="24">
        <v>4199.58</v>
      </c>
      <c r="J1475" s="22" t="s">
        <v>104</v>
      </c>
      <c r="K1475" s="22" t="s">
        <v>116</v>
      </c>
      <c r="L1475" t="str">
        <f>VLOOKUP(D1475,Products!A:F,3,FALSE())</f>
        <v>Home</v>
      </c>
      <c r="M1475" t="str">
        <f>VLOOKUP(C1475,Customers!A:F,5,FALSE())</f>
        <v>Retail</v>
      </c>
      <c r="O1475" t="str">
        <f>IFERROR(VLOOKUP(E1475,Sales_Reps!$A:$C,3,FALSE()),"")</f>
        <v/>
      </c>
      <c r="P1475">
        <f>IFERROR(VLOOKUP(C1475,Customers!$A:$C,3,FALSE()),"")</f>
        <v>63</v>
      </c>
      <c r="Q1475" t="str">
        <f t="shared" si="23"/>
        <v>Oct-24</v>
      </c>
      <c r="R1475">
        <f>IFERROR((VLOOKUP(D1475,Products!$A:$E,5,FALSE())-VLOOKUP(D1475,Products!$A:$E,4,FALSE()))/VLOOKUP(D1475,Products!$A:$E,5,FALSE()),"")</f>
        <v>0.50151515151515147</v>
      </c>
    </row>
    <row r="1476" spans="1:18" x14ac:dyDescent="0.3">
      <c r="A1476" s="22" t="s">
        <v>3427</v>
      </c>
      <c r="B1476" s="23">
        <v>45507</v>
      </c>
      <c r="C1476" s="22" t="s">
        <v>1606</v>
      </c>
      <c r="D1476" s="22" t="s">
        <v>279</v>
      </c>
      <c r="E1476" s="22" t="s">
        <v>3428</v>
      </c>
      <c r="F1476" s="24">
        <v>7</v>
      </c>
      <c r="G1476" s="24">
        <v>3640</v>
      </c>
      <c r="H1476" s="24">
        <v>11.6</v>
      </c>
      <c r="I1476" s="24">
        <v>22524.32</v>
      </c>
      <c r="J1476" s="22" t="s">
        <v>104</v>
      </c>
      <c r="K1476" s="22" t="s">
        <v>129</v>
      </c>
      <c r="L1476" t="str">
        <f>VLOOKUP(D1476,Products!A:F,3,FALSE())</f>
        <v>Apparel</v>
      </c>
      <c r="M1476" t="str">
        <f>VLOOKUP(C1476,Customers!A:F,5,FALSE())</f>
        <v>Retail</v>
      </c>
      <c r="O1476" t="str">
        <f>IFERROR(VLOOKUP(E1476,Sales_Reps!$A:$C,3,FALSE()),"")</f>
        <v/>
      </c>
      <c r="P1476">
        <f>IFERROR(VLOOKUP(C1476,Customers!$A:$C,3,FALSE()),"")</f>
        <v>33</v>
      </c>
      <c r="Q1476" t="str">
        <f t="shared" si="23"/>
        <v>Aug-24</v>
      </c>
      <c r="R1476">
        <f>IFERROR((VLOOKUP(D1476,Products!$A:$E,5,FALSE())-VLOOKUP(D1476,Products!$A:$E,4,FALSE()))/VLOOKUP(D1476,Products!$A:$E,5,FALSE()),"")</f>
        <v>0.28269230769230769</v>
      </c>
    </row>
    <row r="1477" spans="1:18" x14ac:dyDescent="0.3">
      <c r="A1477" s="22" t="s">
        <v>3429</v>
      </c>
      <c r="B1477" s="23">
        <v>45415</v>
      </c>
      <c r="C1477" s="22" t="s">
        <v>1513</v>
      </c>
      <c r="D1477" s="22" t="s">
        <v>449</v>
      </c>
      <c r="E1477" s="22" t="s">
        <v>3430</v>
      </c>
      <c r="F1477" s="24">
        <v>8</v>
      </c>
      <c r="G1477" s="24">
        <v>5410</v>
      </c>
      <c r="H1477" s="24">
        <v>25.6</v>
      </c>
      <c r="I1477" s="24">
        <v>32200.32</v>
      </c>
      <c r="J1477" s="22" t="s">
        <v>104</v>
      </c>
      <c r="K1477" s="22" t="s">
        <v>111</v>
      </c>
      <c r="L1477" t="str">
        <f>VLOOKUP(D1477,Products!A:F,3,FALSE())</f>
        <v>Sports</v>
      </c>
      <c r="M1477" t="str">
        <f>VLOOKUP(C1477,Customers!A:F,5,FALSE())</f>
        <v>Corporate</v>
      </c>
      <c r="O1477" t="str">
        <f>IFERROR(VLOOKUP(E1477,Sales_Reps!$A:$C,3,FALSE()),"")</f>
        <v/>
      </c>
      <c r="P1477">
        <f>IFERROR(VLOOKUP(C1477,Customers!$A:$C,3,FALSE()),"")</f>
        <v>52</v>
      </c>
      <c r="Q1477" t="str">
        <f t="shared" si="23"/>
        <v>May-24</v>
      </c>
      <c r="R1477">
        <f>IFERROR((VLOOKUP(D1477,Products!$A:$E,5,FALSE())-VLOOKUP(D1477,Products!$A:$E,4,FALSE()))/VLOOKUP(D1477,Products!$A:$E,5,FALSE()),"")</f>
        <v>0.58133086876155271</v>
      </c>
    </row>
    <row r="1478" spans="1:18" x14ac:dyDescent="0.3">
      <c r="A1478" s="22" t="s">
        <v>3431</v>
      </c>
      <c r="B1478" s="23">
        <v>45342</v>
      </c>
      <c r="C1478" s="22" t="s">
        <v>1484</v>
      </c>
      <c r="D1478" s="22" t="s">
        <v>171</v>
      </c>
      <c r="E1478" s="22" t="s">
        <v>3432</v>
      </c>
      <c r="F1478" s="24">
        <v>4</v>
      </c>
      <c r="G1478" s="24">
        <v>2400</v>
      </c>
      <c r="H1478" s="24">
        <v>10.4</v>
      </c>
      <c r="I1478" s="24">
        <v>8601.6</v>
      </c>
      <c r="J1478" s="22" t="s">
        <v>104</v>
      </c>
      <c r="K1478" s="22" t="s">
        <v>129</v>
      </c>
      <c r="L1478" t="str">
        <f>VLOOKUP(D1478,Products!A:F,3,FALSE())</f>
        <v>Sports</v>
      </c>
      <c r="M1478" t="str">
        <f>VLOOKUP(C1478,Customers!A:F,5,FALSE())</f>
        <v>Retail</v>
      </c>
      <c r="O1478" t="str">
        <f>IFERROR(VLOOKUP(E1478,Sales_Reps!$A:$C,3,FALSE()),"")</f>
        <v/>
      </c>
      <c r="P1478">
        <f>IFERROR(VLOOKUP(C1478,Customers!$A:$C,3,FALSE()),"")</f>
        <v>40</v>
      </c>
      <c r="Q1478" t="str">
        <f t="shared" si="23"/>
        <v>Feb-24</v>
      </c>
      <c r="R1478">
        <f>IFERROR((VLOOKUP(D1478,Products!$A:$E,5,FALSE())-VLOOKUP(D1478,Products!$A:$E,4,FALSE()))/VLOOKUP(D1478,Products!$A:$E,5,FALSE()),"")</f>
        <v>0.59416666666666662</v>
      </c>
    </row>
    <row r="1479" spans="1:18" x14ac:dyDescent="0.3">
      <c r="A1479" s="22" t="s">
        <v>3433</v>
      </c>
      <c r="B1479" s="23">
        <v>45333</v>
      </c>
      <c r="C1479" s="22" t="s">
        <v>623</v>
      </c>
      <c r="D1479" s="22" t="s">
        <v>141</v>
      </c>
      <c r="E1479" s="22" t="s">
        <v>3434</v>
      </c>
      <c r="F1479" s="24">
        <v>2</v>
      </c>
      <c r="G1479" s="24">
        <v>5490</v>
      </c>
      <c r="H1479" s="24">
        <v>5.4</v>
      </c>
      <c r="I1479" s="24">
        <v>10387.08</v>
      </c>
      <c r="J1479" s="22" t="s">
        <v>104</v>
      </c>
      <c r="K1479" s="22" t="s">
        <v>111</v>
      </c>
      <c r="L1479" t="str">
        <f>VLOOKUP(D1479,Products!A:F,3,FALSE())</f>
        <v>Home</v>
      </c>
      <c r="M1479" t="str">
        <f>VLOOKUP(C1479,Customers!A:F,5,FALSE())</f>
        <v>Corporate</v>
      </c>
      <c r="O1479" t="str">
        <f>IFERROR(VLOOKUP(E1479,Sales_Reps!$A:$C,3,FALSE()),"")</f>
        <v/>
      </c>
      <c r="P1479">
        <f>IFERROR(VLOOKUP(C1479,Customers!$A:$C,3,FALSE()),"")</f>
        <v>35</v>
      </c>
      <c r="Q1479" t="str">
        <f t="shared" si="23"/>
        <v>Feb-24</v>
      </c>
      <c r="R1479">
        <f>IFERROR((VLOOKUP(D1479,Products!$A:$E,5,FALSE())-VLOOKUP(D1479,Products!$A:$E,4,FALSE()))/VLOOKUP(D1479,Products!$A:$E,5,FALSE()),"")</f>
        <v>0.53570127504553733</v>
      </c>
    </row>
    <row r="1480" spans="1:18" x14ac:dyDescent="0.3">
      <c r="A1480" s="22" t="s">
        <v>3435</v>
      </c>
      <c r="B1480" s="23">
        <v>45516</v>
      </c>
      <c r="C1480" s="22" t="s">
        <v>1979</v>
      </c>
      <c r="D1480" s="22" t="s">
        <v>308</v>
      </c>
      <c r="E1480" s="22" t="s">
        <v>3436</v>
      </c>
      <c r="F1480" s="24">
        <v>6</v>
      </c>
      <c r="G1480" s="24">
        <v>1540</v>
      </c>
      <c r="H1480" s="24">
        <v>0.6</v>
      </c>
      <c r="I1480" s="24">
        <v>9184.56</v>
      </c>
      <c r="J1480" s="22" t="s">
        <v>104</v>
      </c>
      <c r="K1480" s="22" t="s">
        <v>105</v>
      </c>
      <c r="L1480" t="str">
        <f>VLOOKUP(D1480,Products!A:F,3,FALSE())</f>
        <v>Beauty</v>
      </c>
      <c r="M1480" t="str">
        <f>VLOOKUP(C1480,Customers!A:F,5,FALSE())</f>
        <v>Retail</v>
      </c>
      <c r="O1480" t="str">
        <f>IFERROR(VLOOKUP(E1480,Sales_Reps!$A:$C,3,FALSE()),"")</f>
        <v/>
      </c>
      <c r="P1480">
        <f>IFERROR(VLOOKUP(C1480,Customers!$A:$C,3,FALSE()),"")</f>
        <v>42</v>
      </c>
      <c r="Q1480" t="str">
        <f t="shared" si="23"/>
        <v>Aug-24</v>
      </c>
      <c r="R1480">
        <f>IFERROR((VLOOKUP(D1480,Products!$A:$E,5,FALSE())-VLOOKUP(D1480,Products!$A:$E,4,FALSE()))/VLOOKUP(D1480,Products!$A:$E,5,FALSE()),"")</f>
        <v>0.57987012987012987</v>
      </c>
    </row>
    <row r="1481" spans="1:18" x14ac:dyDescent="0.3">
      <c r="A1481" s="22" t="s">
        <v>3437</v>
      </c>
      <c r="B1481" s="23">
        <v>45343</v>
      </c>
      <c r="C1481" s="22" t="s">
        <v>1372</v>
      </c>
      <c r="D1481" s="22" t="s">
        <v>455</v>
      </c>
      <c r="E1481" s="22" t="s">
        <v>3438</v>
      </c>
      <c r="F1481" s="24">
        <v>3</v>
      </c>
      <c r="G1481" s="24">
        <v>5330</v>
      </c>
      <c r="H1481" s="24">
        <v>1</v>
      </c>
      <c r="I1481" s="24">
        <v>15830.1</v>
      </c>
      <c r="J1481" s="22" t="s">
        <v>110</v>
      </c>
      <c r="K1481" s="22" t="s">
        <v>151</v>
      </c>
      <c r="L1481" t="str">
        <f>VLOOKUP(D1481,Products!A:F,3,FALSE())</f>
        <v>Electronics</v>
      </c>
      <c r="M1481" t="str">
        <f>VLOOKUP(C1481,Customers!A:F,5,FALSE())</f>
        <v>Retail</v>
      </c>
      <c r="O1481" t="str">
        <f>IFERROR(VLOOKUP(E1481,Sales_Reps!$A:$C,3,FALSE()),"")</f>
        <v/>
      </c>
      <c r="P1481">
        <f>IFERROR(VLOOKUP(C1481,Customers!$A:$C,3,FALSE()),"")</f>
        <v>31</v>
      </c>
      <c r="Q1481" t="str">
        <f t="shared" si="23"/>
        <v>Feb-24</v>
      </c>
      <c r="R1481">
        <f>IFERROR((VLOOKUP(D1481,Products!$A:$E,5,FALSE())-VLOOKUP(D1481,Products!$A:$E,4,FALSE()))/VLOOKUP(D1481,Products!$A:$E,5,FALSE()),"")</f>
        <v>0.54878048780487809</v>
      </c>
    </row>
    <row r="1482" spans="1:18" x14ac:dyDescent="0.3">
      <c r="A1482" s="22" t="s">
        <v>3439</v>
      </c>
      <c r="B1482" s="23">
        <v>45522</v>
      </c>
      <c r="C1482" s="22" t="s">
        <v>2650</v>
      </c>
      <c r="D1482" s="22" t="s">
        <v>224</v>
      </c>
      <c r="E1482" s="22" t="s">
        <v>3440</v>
      </c>
      <c r="F1482" s="24">
        <v>6</v>
      </c>
      <c r="G1482" s="24">
        <v>2860</v>
      </c>
      <c r="H1482" s="24">
        <v>13.3</v>
      </c>
      <c r="I1482" s="24">
        <v>14877.72</v>
      </c>
      <c r="J1482" s="22" t="s">
        <v>104</v>
      </c>
      <c r="K1482" s="22" t="s">
        <v>151</v>
      </c>
      <c r="L1482" t="str">
        <f>VLOOKUP(D1482,Products!A:F,3,FALSE())</f>
        <v>Sports</v>
      </c>
      <c r="M1482" t="str">
        <f>VLOOKUP(C1482,Customers!A:F,5,FALSE())</f>
        <v>Corporate</v>
      </c>
      <c r="O1482" t="str">
        <f>IFERROR(VLOOKUP(E1482,Sales_Reps!$A:$C,3,FALSE()),"")</f>
        <v/>
      </c>
      <c r="P1482">
        <f>IFERROR(VLOOKUP(C1482,Customers!$A:$C,3,FALSE()),"")</f>
        <v>60</v>
      </c>
      <c r="Q1482" t="str">
        <f t="shared" si="23"/>
        <v>Aug-24</v>
      </c>
      <c r="R1482">
        <f>IFERROR((VLOOKUP(D1482,Products!$A:$E,5,FALSE())-VLOOKUP(D1482,Products!$A:$E,4,FALSE()))/VLOOKUP(D1482,Products!$A:$E,5,FALSE()),"")</f>
        <v>0.29090909090909089</v>
      </c>
    </row>
    <row r="1483" spans="1:18" x14ac:dyDescent="0.3">
      <c r="A1483" s="22" t="s">
        <v>3441</v>
      </c>
      <c r="B1483" s="23">
        <v>45305</v>
      </c>
      <c r="C1483" s="22" t="s">
        <v>844</v>
      </c>
      <c r="D1483" s="22" t="s">
        <v>212</v>
      </c>
      <c r="E1483" s="22" t="s">
        <v>3442</v>
      </c>
      <c r="F1483" s="24">
        <v>3</v>
      </c>
      <c r="G1483" s="24">
        <v>4880</v>
      </c>
      <c r="H1483" s="24">
        <v>12.1</v>
      </c>
      <c r="I1483" s="24">
        <v>12868.56</v>
      </c>
      <c r="J1483" s="22" t="s">
        <v>104</v>
      </c>
      <c r="K1483" s="22" t="s">
        <v>129</v>
      </c>
      <c r="L1483" t="str">
        <f>VLOOKUP(D1483,Products!A:F,3,FALSE())</f>
        <v>Beauty</v>
      </c>
      <c r="M1483" t="str">
        <f>VLOOKUP(C1483,Customers!A:F,5,FALSE())</f>
        <v>Retail</v>
      </c>
      <c r="O1483" t="str">
        <f>IFERROR(VLOOKUP(E1483,Sales_Reps!$A:$C,3,FALSE()),"")</f>
        <v/>
      </c>
      <c r="P1483">
        <f>IFERROR(VLOOKUP(C1483,Customers!$A:$C,3,FALSE()),"")</f>
        <v>52</v>
      </c>
      <c r="Q1483" t="str">
        <f t="shared" si="23"/>
        <v>Jan-24</v>
      </c>
      <c r="R1483">
        <f>IFERROR((VLOOKUP(D1483,Products!$A:$E,5,FALSE())-VLOOKUP(D1483,Products!$A:$E,4,FALSE()))/VLOOKUP(D1483,Products!$A:$E,5,FALSE()),"")</f>
        <v>0.43278688524590164</v>
      </c>
    </row>
    <row r="1484" spans="1:18" x14ac:dyDescent="0.3">
      <c r="A1484" s="22" t="s">
        <v>3443</v>
      </c>
      <c r="B1484" s="23">
        <v>45353</v>
      </c>
      <c r="C1484" s="22" t="s">
        <v>626</v>
      </c>
      <c r="D1484" s="22" t="s">
        <v>442</v>
      </c>
      <c r="E1484" s="22" t="s">
        <v>3444</v>
      </c>
      <c r="F1484" s="24">
        <v>5</v>
      </c>
      <c r="G1484" s="24">
        <v>2510</v>
      </c>
      <c r="H1484" s="24">
        <v>2.9</v>
      </c>
      <c r="I1484" s="24">
        <v>12186.05</v>
      </c>
      <c r="J1484" s="22" t="s">
        <v>110</v>
      </c>
      <c r="K1484" s="22" t="s">
        <v>116</v>
      </c>
      <c r="L1484" t="str">
        <f>VLOOKUP(D1484,Products!A:F,3,FALSE())</f>
        <v>Apparel</v>
      </c>
      <c r="M1484" t="str">
        <f>VLOOKUP(C1484,Customers!A:F,5,FALSE())</f>
        <v>SMB</v>
      </c>
      <c r="O1484" t="str">
        <f>IFERROR(VLOOKUP(E1484,Sales_Reps!$A:$C,3,FALSE()),"")</f>
        <v/>
      </c>
      <c r="P1484">
        <f>IFERROR(VLOOKUP(C1484,Customers!$A:$C,3,FALSE()),"")</f>
        <v>59</v>
      </c>
      <c r="Q1484" t="str">
        <f t="shared" si="23"/>
        <v>Mar-24</v>
      </c>
      <c r="R1484">
        <f>IFERROR((VLOOKUP(D1484,Products!$A:$E,5,FALSE())-VLOOKUP(D1484,Products!$A:$E,4,FALSE()))/VLOOKUP(D1484,Products!$A:$E,5,FALSE()),"")</f>
        <v>0.57171314741035861</v>
      </c>
    </row>
    <row r="1485" spans="1:18" x14ac:dyDescent="0.3">
      <c r="A1485" s="22" t="s">
        <v>3445</v>
      </c>
      <c r="B1485" s="23">
        <v>45525</v>
      </c>
      <c r="C1485" s="22" t="s">
        <v>3446</v>
      </c>
      <c r="D1485" s="22" t="s">
        <v>521</v>
      </c>
      <c r="E1485" s="22" t="s">
        <v>3447</v>
      </c>
      <c r="F1485" s="24">
        <v>9</v>
      </c>
      <c r="G1485" s="24">
        <v>3970</v>
      </c>
      <c r="H1485" s="24">
        <v>28</v>
      </c>
      <c r="I1485" s="24">
        <v>25725.599999999999</v>
      </c>
      <c r="J1485" s="22" t="s">
        <v>104</v>
      </c>
      <c r="K1485" s="22" t="s">
        <v>105</v>
      </c>
      <c r="L1485" t="str">
        <f>VLOOKUP(D1485,Products!A:F,3,FALSE())</f>
        <v>Electronics</v>
      </c>
      <c r="M1485" t="e">
        <f>VLOOKUP(C1485,Customers!A:F,5,FALSE())</f>
        <v>#N/A</v>
      </c>
      <c r="O1485" t="str">
        <f>IFERROR(VLOOKUP(E1485,Sales_Reps!$A:$C,3,FALSE()),"")</f>
        <v/>
      </c>
      <c r="P1485" t="str">
        <f>IFERROR(VLOOKUP(C1485,Customers!$A:$C,3,FALSE()),"")</f>
        <v/>
      </c>
      <c r="Q1485" t="str">
        <f t="shared" si="23"/>
        <v>Aug-24</v>
      </c>
      <c r="R1485">
        <f>IFERROR((VLOOKUP(D1485,Products!$A:$E,5,FALSE())-VLOOKUP(D1485,Products!$A:$E,4,FALSE()))/VLOOKUP(D1485,Products!$A:$E,5,FALSE()),"")</f>
        <v>0.27833753148614609</v>
      </c>
    </row>
    <row r="1486" spans="1:18" x14ac:dyDescent="0.3">
      <c r="A1486" s="22" t="s">
        <v>3448</v>
      </c>
      <c r="B1486" s="23">
        <v>45593</v>
      </c>
      <c r="C1486" s="22" t="s">
        <v>1952</v>
      </c>
      <c r="D1486" s="22" t="s">
        <v>114</v>
      </c>
      <c r="E1486" s="22" t="s">
        <v>3449</v>
      </c>
      <c r="F1486" s="24">
        <v>4</v>
      </c>
      <c r="G1486" s="24">
        <v>470</v>
      </c>
      <c r="H1486" s="24">
        <v>19.100000000000001</v>
      </c>
      <c r="I1486" s="24">
        <v>1520.92</v>
      </c>
      <c r="J1486" s="22" t="s">
        <v>110</v>
      </c>
      <c r="K1486" s="22" t="s">
        <v>129</v>
      </c>
      <c r="L1486" t="str">
        <f>VLOOKUP(D1486,Products!A:F,3,FALSE())</f>
        <v>Sports</v>
      </c>
      <c r="M1486" t="str">
        <f>VLOOKUP(C1486,Customers!A:F,5,FALSE())</f>
        <v>Retail</v>
      </c>
      <c r="O1486" t="str">
        <f>IFERROR(VLOOKUP(E1486,Sales_Reps!$A:$C,3,FALSE()),"")</f>
        <v/>
      </c>
      <c r="P1486">
        <f>IFERROR(VLOOKUP(C1486,Customers!$A:$C,3,FALSE()),"")</f>
        <v>44</v>
      </c>
      <c r="Q1486" t="str">
        <f t="shared" si="23"/>
        <v>Oct-24</v>
      </c>
      <c r="R1486">
        <f>IFERROR((VLOOKUP(D1486,Products!$A:$E,5,FALSE())-VLOOKUP(D1486,Products!$A:$E,4,FALSE()))/VLOOKUP(D1486,Products!$A:$E,5,FALSE()),"")</f>
        <v>0.35744680851063831</v>
      </c>
    </row>
    <row r="1487" spans="1:18" x14ac:dyDescent="0.3">
      <c r="A1487" s="22" t="s">
        <v>3450</v>
      </c>
      <c r="B1487" s="23">
        <v>45550</v>
      </c>
      <c r="C1487" s="22" t="s">
        <v>361</v>
      </c>
      <c r="D1487" s="22" t="s">
        <v>455</v>
      </c>
      <c r="E1487" s="22" t="s">
        <v>3451</v>
      </c>
      <c r="F1487" s="24">
        <v>7</v>
      </c>
      <c r="G1487" s="24">
        <v>5330</v>
      </c>
      <c r="H1487" s="24">
        <v>17.2</v>
      </c>
      <c r="I1487" s="24">
        <v>30892.68</v>
      </c>
      <c r="J1487" s="22" t="s">
        <v>159</v>
      </c>
      <c r="K1487" s="22" t="s">
        <v>151</v>
      </c>
      <c r="L1487" t="str">
        <f>VLOOKUP(D1487,Products!A:F,3,FALSE())</f>
        <v>Electronics</v>
      </c>
      <c r="M1487" t="str">
        <f>VLOOKUP(C1487,Customers!A:F,5,FALSE())</f>
        <v>Retail</v>
      </c>
      <c r="O1487" t="str">
        <f>IFERROR(VLOOKUP(E1487,Sales_Reps!$A:$C,3,FALSE()),"")</f>
        <v/>
      </c>
      <c r="P1487">
        <f>IFERROR(VLOOKUP(C1487,Customers!$A:$C,3,FALSE()),"")</f>
        <v>29</v>
      </c>
      <c r="Q1487" t="str">
        <f t="shared" si="23"/>
        <v>Sep-24</v>
      </c>
      <c r="R1487">
        <f>IFERROR((VLOOKUP(D1487,Products!$A:$E,5,FALSE())-VLOOKUP(D1487,Products!$A:$E,4,FALSE()))/VLOOKUP(D1487,Products!$A:$E,5,FALSE()),"")</f>
        <v>0.54878048780487809</v>
      </c>
    </row>
    <row r="1488" spans="1:18" x14ac:dyDescent="0.3">
      <c r="A1488" s="22" t="s">
        <v>3452</v>
      </c>
      <c r="B1488" s="23">
        <v>45511</v>
      </c>
      <c r="C1488" s="22" t="s">
        <v>174</v>
      </c>
      <c r="D1488" s="22" t="s">
        <v>674</v>
      </c>
      <c r="E1488" s="22" t="s">
        <v>3453</v>
      </c>
      <c r="F1488" s="24">
        <v>4</v>
      </c>
      <c r="G1488" s="24">
        <v>1090</v>
      </c>
      <c r="H1488" s="24">
        <v>4.9000000000000004</v>
      </c>
      <c r="I1488" s="24">
        <v>4146.3599999999997</v>
      </c>
      <c r="J1488" s="22" t="s">
        <v>159</v>
      </c>
      <c r="K1488" s="22" t="s">
        <v>134</v>
      </c>
      <c r="L1488" t="str">
        <f>VLOOKUP(D1488,Products!A:F,3,FALSE())</f>
        <v>Home</v>
      </c>
      <c r="M1488" t="str">
        <f>VLOOKUP(C1488,Customers!A:F,5,FALSE())</f>
        <v>SMB</v>
      </c>
      <c r="O1488" t="str">
        <f>IFERROR(VLOOKUP(E1488,Sales_Reps!$A:$C,3,FALSE()),"")</f>
        <v/>
      </c>
      <c r="P1488">
        <f>IFERROR(VLOOKUP(C1488,Customers!$A:$C,3,FALSE()),"")</f>
        <v>46</v>
      </c>
      <c r="Q1488" t="str">
        <f t="shared" si="23"/>
        <v>Aug-24</v>
      </c>
      <c r="R1488">
        <f>IFERROR((VLOOKUP(D1488,Products!$A:$E,5,FALSE())-VLOOKUP(D1488,Products!$A:$E,4,FALSE()))/VLOOKUP(D1488,Products!$A:$E,5,FALSE()),"")</f>
        <v>0.57431192660550456</v>
      </c>
    </row>
    <row r="1489" spans="1:18" x14ac:dyDescent="0.3">
      <c r="A1489" s="22" t="s">
        <v>3454</v>
      </c>
      <c r="B1489" s="23">
        <v>45456</v>
      </c>
      <c r="C1489" s="22" t="s">
        <v>573</v>
      </c>
      <c r="D1489" s="22" t="s">
        <v>209</v>
      </c>
      <c r="E1489" s="22" t="s">
        <v>3455</v>
      </c>
      <c r="F1489" s="24">
        <v>2</v>
      </c>
      <c r="G1489" s="24">
        <v>1010</v>
      </c>
      <c r="H1489" s="24">
        <v>14</v>
      </c>
      <c r="I1489" s="24">
        <v>1737.2</v>
      </c>
      <c r="J1489" s="22" t="s">
        <v>104</v>
      </c>
      <c r="K1489" s="22" t="s">
        <v>105</v>
      </c>
      <c r="L1489" t="str">
        <f>VLOOKUP(D1489,Products!A:F,3,FALSE())</f>
        <v>Sports</v>
      </c>
      <c r="M1489" t="str">
        <f>VLOOKUP(C1489,Customers!A:F,5,FALSE())</f>
        <v>SMB</v>
      </c>
      <c r="O1489" t="str">
        <f>IFERROR(VLOOKUP(E1489,Sales_Reps!$A:$C,3,FALSE()),"")</f>
        <v/>
      </c>
      <c r="P1489">
        <f>IFERROR(VLOOKUP(C1489,Customers!$A:$C,3,FALSE()),"")</f>
        <v>30</v>
      </c>
      <c r="Q1489" t="str">
        <f t="shared" si="23"/>
        <v>Jun-24</v>
      </c>
      <c r="R1489">
        <f>IFERROR((VLOOKUP(D1489,Products!$A:$E,5,FALSE())-VLOOKUP(D1489,Products!$A:$E,4,FALSE()))/VLOOKUP(D1489,Products!$A:$E,5,FALSE()),"")</f>
        <v>0.4891089108910891</v>
      </c>
    </row>
    <row r="1490" spans="1:18" x14ac:dyDescent="0.3">
      <c r="A1490" s="22" t="s">
        <v>3456</v>
      </c>
      <c r="B1490" s="23">
        <v>45343</v>
      </c>
      <c r="C1490" s="22" t="s">
        <v>847</v>
      </c>
      <c r="D1490" s="22" t="s">
        <v>293</v>
      </c>
      <c r="E1490" s="22" t="s">
        <v>3457</v>
      </c>
      <c r="F1490" s="24">
        <v>9</v>
      </c>
      <c r="G1490" s="24">
        <v>3870</v>
      </c>
      <c r="H1490" s="24">
        <v>8.1999999999999993</v>
      </c>
      <c r="I1490" s="24">
        <v>31973.94</v>
      </c>
      <c r="J1490" s="22" t="s">
        <v>104</v>
      </c>
      <c r="K1490" s="22" t="s">
        <v>1156</v>
      </c>
      <c r="L1490" t="str">
        <f>VLOOKUP(D1490,Products!A:F,3,FALSE())</f>
        <v>Electronics</v>
      </c>
      <c r="M1490" t="str">
        <f>VLOOKUP(C1490,Customers!A:F,5,FALSE())</f>
        <v>Corporate</v>
      </c>
      <c r="O1490" t="str">
        <f>IFERROR(VLOOKUP(E1490,Sales_Reps!$A:$C,3,FALSE()),"")</f>
        <v/>
      </c>
      <c r="P1490">
        <f>IFERROR(VLOOKUP(C1490,Customers!$A:$C,3,FALSE()),"")</f>
        <v>40</v>
      </c>
      <c r="Q1490" t="str">
        <f t="shared" si="23"/>
        <v>Feb-24</v>
      </c>
      <c r="R1490">
        <f>IFERROR((VLOOKUP(D1490,Products!$A:$E,5,FALSE())-VLOOKUP(D1490,Products!$A:$E,4,FALSE()))/VLOOKUP(D1490,Products!$A:$E,5,FALSE()),"")</f>
        <v>0.59715762273901807</v>
      </c>
    </row>
    <row r="1491" spans="1:18" x14ac:dyDescent="0.3">
      <c r="A1491" s="22" t="s">
        <v>3458</v>
      </c>
      <c r="B1491" s="23">
        <v>45491</v>
      </c>
      <c r="C1491" s="22" t="s">
        <v>1627</v>
      </c>
      <c r="D1491" s="22" t="s">
        <v>334</v>
      </c>
      <c r="E1491" s="22" t="s">
        <v>3459</v>
      </c>
      <c r="F1491" s="24">
        <v>7</v>
      </c>
      <c r="G1491" s="24">
        <v>2660</v>
      </c>
      <c r="H1491" s="24">
        <v>15.9</v>
      </c>
      <c r="I1491" s="24">
        <v>15659.42</v>
      </c>
      <c r="J1491" s="22" t="s">
        <v>104</v>
      </c>
      <c r="K1491" s="22" t="s">
        <v>151</v>
      </c>
      <c r="L1491" t="str">
        <f>VLOOKUP(D1491,Products!A:F,3,FALSE())</f>
        <v>Electronics</v>
      </c>
      <c r="M1491" t="str">
        <f>VLOOKUP(C1491,Customers!A:F,5,FALSE())</f>
        <v>Retail</v>
      </c>
      <c r="O1491" t="str">
        <f>IFERROR(VLOOKUP(E1491,Sales_Reps!$A:$C,3,FALSE()),"")</f>
        <v/>
      </c>
      <c r="P1491">
        <f>IFERROR(VLOOKUP(C1491,Customers!$A:$C,3,FALSE()),"")</f>
        <v>41</v>
      </c>
      <c r="Q1491" t="str">
        <f t="shared" si="23"/>
        <v>Jul-24</v>
      </c>
      <c r="R1491">
        <f>IFERROR((VLOOKUP(D1491,Products!$A:$E,5,FALSE())-VLOOKUP(D1491,Products!$A:$E,4,FALSE()))/VLOOKUP(D1491,Products!$A:$E,5,FALSE()),"")</f>
        <v>0.52669172932330832</v>
      </c>
    </row>
    <row r="1492" spans="1:18" x14ac:dyDescent="0.3">
      <c r="A1492" s="22" t="s">
        <v>3460</v>
      </c>
      <c r="B1492" s="23">
        <v>45619</v>
      </c>
      <c r="C1492" s="22" t="s">
        <v>709</v>
      </c>
      <c r="D1492" s="22" t="s">
        <v>137</v>
      </c>
      <c r="E1492" s="22" t="s">
        <v>3461</v>
      </c>
      <c r="F1492" s="24">
        <v>4</v>
      </c>
      <c r="G1492" s="24">
        <v>1430</v>
      </c>
      <c r="H1492" s="24">
        <v>25.6</v>
      </c>
      <c r="I1492" s="24">
        <v>4255.68</v>
      </c>
      <c r="J1492" s="22" t="s">
        <v>104</v>
      </c>
      <c r="K1492" s="22" t="s">
        <v>129</v>
      </c>
      <c r="L1492" t="str">
        <f>VLOOKUP(D1492,Products!A:F,3,FALSE())</f>
        <v>Electronics</v>
      </c>
      <c r="M1492" t="str">
        <f>VLOOKUP(C1492,Customers!A:F,5,FALSE())</f>
        <v>Corporate</v>
      </c>
      <c r="O1492" t="str">
        <f>IFERROR(VLOOKUP(E1492,Sales_Reps!$A:$C,3,FALSE()),"")</f>
        <v/>
      </c>
      <c r="P1492">
        <f>IFERROR(VLOOKUP(C1492,Customers!$A:$C,3,FALSE()),"")</f>
        <v>55</v>
      </c>
      <c r="Q1492" t="str">
        <f t="shared" si="23"/>
        <v>Nov-24</v>
      </c>
      <c r="R1492">
        <f>IFERROR((VLOOKUP(D1492,Products!$A:$E,5,FALSE())-VLOOKUP(D1492,Products!$A:$E,4,FALSE()))/VLOOKUP(D1492,Products!$A:$E,5,FALSE()),"")</f>
        <v>0.39790209790209791</v>
      </c>
    </row>
    <row r="1493" spans="1:18" x14ac:dyDescent="0.3">
      <c r="A1493" s="22" t="s">
        <v>3462</v>
      </c>
      <c r="B1493" s="23">
        <v>45374</v>
      </c>
      <c r="C1493" s="22" t="s">
        <v>677</v>
      </c>
      <c r="D1493" s="22" t="s">
        <v>212</v>
      </c>
      <c r="E1493" s="22" t="s">
        <v>3463</v>
      </c>
      <c r="F1493" s="24">
        <v>4</v>
      </c>
      <c r="G1493" s="24">
        <v>4880</v>
      </c>
      <c r="H1493" s="24">
        <v>19.399999999999999</v>
      </c>
      <c r="I1493" s="24">
        <v>15733.12</v>
      </c>
      <c r="J1493" s="22" t="s">
        <v>159</v>
      </c>
      <c r="K1493" s="22" t="s">
        <v>134</v>
      </c>
      <c r="L1493" t="str">
        <f>VLOOKUP(D1493,Products!A:F,3,FALSE())</f>
        <v>Beauty</v>
      </c>
      <c r="M1493" t="str">
        <f>VLOOKUP(C1493,Customers!A:F,5,FALSE())</f>
        <v>Corporate</v>
      </c>
      <c r="O1493" t="str">
        <f>IFERROR(VLOOKUP(E1493,Sales_Reps!$A:$C,3,FALSE()),"")</f>
        <v/>
      </c>
      <c r="P1493">
        <f>IFERROR(VLOOKUP(C1493,Customers!$A:$C,3,FALSE()),"")</f>
        <v>36</v>
      </c>
      <c r="Q1493" t="str">
        <f t="shared" si="23"/>
        <v>Mar-24</v>
      </c>
      <c r="R1493">
        <f>IFERROR((VLOOKUP(D1493,Products!$A:$E,5,FALSE())-VLOOKUP(D1493,Products!$A:$E,4,FALSE()))/VLOOKUP(D1493,Products!$A:$E,5,FALSE()),"")</f>
        <v>0.43278688524590164</v>
      </c>
    </row>
    <row r="1494" spans="1:18" x14ac:dyDescent="0.3">
      <c r="A1494" s="22" t="s">
        <v>3464</v>
      </c>
      <c r="B1494" s="23">
        <v>45566</v>
      </c>
      <c r="C1494" s="22" t="s">
        <v>608</v>
      </c>
      <c r="D1494" s="22" t="s">
        <v>167</v>
      </c>
      <c r="E1494" s="22" t="s">
        <v>3465</v>
      </c>
      <c r="F1494" s="24">
        <v>2</v>
      </c>
      <c r="G1494" s="24">
        <v>190</v>
      </c>
      <c r="H1494" s="24">
        <v>9</v>
      </c>
      <c r="I1494" s="24">
        <v>345.8</v>
      </c>
      <c r="J1494" s="22" t="s">
        <v>104</v>
      </c>
      <c r="K1494" s="22" t="s">
        <v>134</v>
      </c>
      <c r="L1494" t="str">
        <f>VLOOKUP(D1494,Products!A:F,3,FALSE())</f>
        <v>Sports</v>
      </c>
      <c r="M1494" t="str">
        <f>VLOOKUP(C1494,Customers!A:F,5,FALSE())</f>
        <v>Retail</v>
      </c>
      <c r="O1494" t="str">
        <f>IFERROR(VLOOKUP(E1494,Sales_Reps!$A:$C,3,FALSE()),"")</f>
        <v/>
      </c>
      <c r="P1494">
        <f>IFERROR(VLOOKUP(C1494,Customers!$A:$C,3,FALSE()),"")</f>
        <v>55</v>
      </c>
      <c r="Q1494" t="str">
        <f t="shared" si="23"/>
        <v>Oct-24</v>
      </c>
      <c r="R1494">
        <f>IFERROR((VLOOKUP(D1494,Products!$A:$E,5,FALSE())-VLOOKUP(D1494,Products!$A:$E,4,FALSE()))/VLOOKUP(D1494,Products!$A:$E,5,FALSE()),"")</f>
        <v>0.22631578947368422</v>
      </c>
    </row>
    <row r="1495" spans="1:18" x14ac:dyDescent="0.3">
      <c r="A1495" s="22" t="s">
        <v>3466</v>
      </c>
      <c r="B1495" s="23">
        <v>45415</v>
      </c>
      <c r="C1495" s="22" t="s">
        <v>563</v>
      </c>
      <c r="D1495" s="22" t="s">
        <v>330</v>
      </c>
      <c r="E1495" s="22" t="s">
        <v>3467</v>
      </c>
      <c r="F1495" s="24">
        <v>1</v>
      </c>
      <c r="G1495" s="24">
        <v>3020</v>
      </c>
      <c r="H1495" s="24">
        <v>3.6</v>
      </c>
      <c r="I1495" s="24">
        <v>2911.28</v>
      </c>
      <c r="J1495" s="22" t="s">
        <v>164</v>
      </c>
      <c r="K1495" s="22" t="s">
        <v>116</v>
      </c>
      <c r="L1495" t="str">
        <f>VLOOKUP(D1495,Products!A:F,3,FALSE())</f>
        <v>Beauty</v>
      </c>
      <c r="M1495" t="str">
        <f>VLOOKUP(C1495,Customers!A:F,5,FALSE())</f>
        <v>Corporate</v>
      </c>
      <c r="O1495" t="str">
        <f>IFERROR(VLOOKUP(E1495,Sales_Reps!$A:$C,3,FALSE()),"")</f>
        <v/>
      </c>
      <c r="P1495">
        <f>IFERROR(VLOOKUP(C1495,Customers!$A:$C,3,FALSE()),"")</f>
        <v>31</v>
      </c>
      <c r="Q1495" t="str">
        <f t="shared" si="23"/>
        <v>May-24</v>
      </c>
      <c r="R1495">
        <f>IFERROR((VLOOKUP(D1495,Products!$A:$E,5,FALSE())-VLOOKUP(D1495,Products!$A:$E,4,FALSE()))/VLOOKUP(D1495,Products!$A:$E,5,FALSE()),"")</f>
        <v>0.46158940397350995</v>
      </c>
    </row>
    <row r="1496" spans="1:18" x14ac:dyDescent="0.3">
      <c r="A1496" s="22" t="s">
        <v>3468</v>
      </c>
      <c r="B1496" s="23">
        <v>45601</v>
      </c>
      <c r="C1496" s="22" t="s">
        <v>136</v>
      </c>
      <c r="D1496" s="22" t="s">
        <v>212</v>
      </c>
      <c r="E1496" s="22" t="s">
        <v>3469</v>
      </c>
      <c r="F1496" s="24">
        <v>2</v>
      </c>
      <c r="G1496" s="24">
        <v>4880</v>
      </c>
      <c r="H1496" s="24">
        <v>2</v>
      </c>
      <c r="I1496" s="24">
        <v>9564.7999999999993</v>
      </c>
      <c r="J1496" s="22" t="s">
        <v>159</v>
      </c>
      <c r="K1496" s="22" t="s">
        <v>134</v>
      </c>
      <c r="L1496" t="str">
        <f>VLOOKUP(D1496,Products!A:F,3,FALSE())</f>
        <v>Beauty</v>
      </c>
      <c r="M1496" t="str">
        <f>VLOOKUP(C1496,Customers!A:F,5,FALSE())</f>
        <v>Corporate</v>
      </c>
      <c r="O1496" t="str">
        <f>IFERROR(VLOOKUP(E1496,Sales_Reps!$A:$C,3,FALSE()),"")</f>
        <v/>
      </c>
      <c r="P1496">
        <f>IFERROR(VLOOKUP(C1496,Customers!$A:$C,3,FALSE()),"")</f>
        <v>57</v>
      </c>
      <c r="Q1496" t="str">
        <f t="shared" si="23"/>
        <v>Nov-24</v>
      </c>
      <c r="R1496">
        <f>IFERROR((VLOOKUP(D1496,Products!$A:$E,5,FALSE())-VLOOKUP(D1496,Products!$A:$E,4,FALSE()))/VLOOKUP(D1496,Products!$A:$E,5,FALSE()),"")</f>
        <v>0.43278688524590164</v>
      </c>
    </row>
    <row r="1497" spans="1:18" x14ac:dyDescent="0.3">
      <c r="A1497" s="22" t="s">
        <v>3470</v>
      </c>
      <c r="B1497" s="23">
        <v>45319</v>
      </c>
      <c r="C1497" s="22" t="s">
        <v>1253</v>
      </c>
      <c r="D1497" s="22" t="s">
        <v>171</v>
      </c>
      <c r="E1497" s="22" t="s">
        <v>3471</v>
      </c>
      <c r="F1497" s="24">
        <v>4</v>
      </c>
      <c r="G1497" s="24">
        <v>2400</v>
      </c>
      <c r="H1497" s="24">
        <v>11.5</v>
      </c>
      <c r="I1497" s="24">
        <v>8496</v>
      </c>
      <c r="J1497" s="22" t="s">
        <v>104</v>
      </c>
      <c r="K1497" s="22" t="s">
        <v>134</v>
      </c>
      <c r="L1497" t="str">
        <f>VLOOKUP(D1497,Products!A:F,3,FALSE())</f>
        <v>Sports</v>
      </c>
      <c r="M1497" t="str">
        <f>VLOOKUP(C1497,Customers!A:F,5,FALSE())</f>
        <v>Corporate</v>
      </c>
      <c r="O1497" t="str">
        <f>IFERROR(VLOOKUP(E1497,Sales_Reps!$A:$C,3,FALSE()),"")</f>
        <v/>
      </c>
      <c r="P1497">
        <f>IFERROR(VLOOKUP(C1497,Customers!$A:$C,3,FALSE()),"")</f>
        <v>41</v>
      </c>
      <c r="Q1497" t="str">
        <f t="shared" si="23"/>
        <v>Jan-24</v>
      </c>
      <c r="R1497">
        <f>IFERROR((VLOOKUP(D1497,Products!$A:$E,5,FALSE())-VLOOKUP(D1497,Products!$A:$E,4,FALSE()))/VLOOKUP(D1497,Products!$A:$E,5,FALSE()),"")</f>
        <v>0.59416666666666662</v>
      </c>
    </row>
    <row r="1498" spans="1:18" x14ac:dyDescent="0.3">
      <c r="A1498" s="22" t="s">
        <v>3472</v>
      </c>
      <c r="B1498" s="23">
        <v>45357</v>
      </c>
      <c r="C1498" s="22" t="s">
        <v>763</v>
      </c>
      <c r="D1498" s="22" t="s">
        <v>283</v>
      </c>
      <c r="E1498" s="22" t="s">
        <v>3473</v>
      </c>
      <c r="F1498" s="24">
        <v>2</v>
      </c>
      <c r="G1498" s="24">
        <v>6080</v>
      </c>
      <c r="H1498" s="24">
        <v>0.5</v>
      </c>
      <c r="I1498" s="24">
        <v>12099.2</v>
      </c>
      <c r="J1498" s="22" t="s">
        <v>159</v>
      </c>
      <c r="K1498" s="22" t="s">
        <v>129</v>
      </c>
      <c r="L1498" t="str">
        <f>VLOOKUP(D1498,Products!A:F,3,FALSE())</f>
        <v>Beauty</v>
      </c>
      <c r="M1498" t="str">
        <f>VLOOKUP(C1498,Customers!A:F,5,FALSE())</f>
        <v>Retail</v>
      </c>
      <c r="O1498" t="str">
        <f>IFERROR(VLOOKUP(E1498,Sales_Reps!$A:$C,3,FALSE()),"")</f>
        <v/>
      </c>
      <c r="P1498">
        <f>IFERROR(VLOOKUP(C1498,Customers!$A:$C,3,FALSE()),"")</f>
        <v>65</v>
      </c>
      <c r="Q1498" t="str">
        <f t="shared" si="23"/>
        <v>Mar-24</v>
      </c>
      <c r="R1498">
        <f>IFERROR((VLOOKUP(D1498,Products!$A:$E,5,FALSE())-VLOOKUP(D1498,Products!$A:$E,4,FALSE()))/VLOOKUP(D1498,Products!$A:$E,5,FALSE()),"")</f>
        <v>0.56957236842105263</v>
      </c>
    </row>
    <row r="1499" spans="1:18" x14ac:dyDescent="0.3">
      <c r="A1499" s="22" t="s">
        <v>3474</v>
      </c>
      <c r="B1499" s="23">
        <v>45384</v>
      </c>
      <c r="C1499" s="22" t="s">
        <v>1221</v>
      </c>
      <c r="D1499" s="22" t="s">
        <v>459</v>
      </c>
      <c r="E1499" s="22" t="s">
        <v>3475</v>
      </c>
      <c r="F1499" s="24">
        <v>7</v>
      </c>
      <c r="G1499" s="24">
        <v>2380</v>
      </c>
      <c r="H1499" s="24">
        <v>12.3</v>
      </c>
      <c r="I1499" s="24">
        <v>14610.82</v>
      </c>
      <c r="J1499" s="22" t="s">
        <v>104</v>
      </c>
      <c r="K1499" s="22" t="s">
        <v>111</v>
      </c>
      <c r="L1499" t="str">
        <f>VLOOKUP(D1499,Products!A:F,3,FALSE())</f>
        <v>Grocery</v>
      </c>
      <c r="M1499" t="str">
        <f>VLOOKUP(C1499,Customers!A:F,5,FALSE())</f>
        <v>Retail</v>
      </c>
      <c r="O1499" t="str">
        <f>IFERROR(VLOOKUP(E1499,Sales_Reps!$A:$C,3,FALSE()),"")</f>
        <v/>
      </c>
      <c r="P1499">
        <f>IFERROR(VLOOKUP(C1499,Customers!$A:$C,3,FALSE()),"")</f>
        <v>32</v>
      </c>
      <c r="Q1499" t="str">
        <f t="shared" si="23"/>
        <v>Apr-24</v>
      </c>
      <c r="R1499">
        <f>IFERROR((VLOOKUP(D1499,Products!$A:$E,5,FALSE())-VLOOKUP(D1499,Products!$A:$E,4,FALSE()))/VLOOKUP(D1499,Products!$A:$E,5,FALSE()),"")</f>
        <v>0.50336134453781511</v>
      </c>
    </row>
    <row r="1500" spans="1:18" x14ac:dyDescent="0.3">
      <c r="A1500" s="22" t="s">
        <v>3476</v>
      </c>
      <c r="B1500" s="23">
        <v>45509</v>
      </c>
      <c r="C1500" s="22" t="s">
        <v>462</v>
      </c>
      <c r="D1500" s="22" t="s">
        <v>308</v>
      </c>
      <c r="E1500" s="22" t="s">
        <v>3477</v>
      </c>
      <c r="F1500" s="24">
        <v>10</v>
      </c>
      <c r="G1500" s="24">
        <v>1540</v>
      </c>
      <c r="H1500" s="24">
        <v>20.6</v>
      </c>
      <c r="I1500" s="24">
        <v>12227.6</v>
      </c>
      <c r="J1500" s="22" t="s">
        <v>104</v>
      </c>
      <c r="K1500" s="22" t="s">
        <v>111</v>
      </c>
      <c r="L1500" t="str">
        <f>VLOOKUP(D1500,Products!A:F,3,FALSE())</f>
        <v>Beauty</v>
      </c>
      <c r="M1500" t="str">
        <f>VLOOKUP(C1500,Customers!A:F,5,FALSE())</f>
        <v>SMB</v>
      </c>
      <c r="O1500" t="str">
        <f>IFERROR(VLOOKUP(E1500,Sales_Reps!$A:$C,3,FALSE()),"")</f>
        <v/>
      </c>
      <c r="P1500">
        <f>IFERROR(VLOOKUP(C1500,Customers!$A:$C,3,FALSE()),"")</f>
        <v>62</v>
      </c>
      <c r="Q1500" t="str">
        <f t="shared" si="23"/>
        <v>Aug-24</v>
      </c>
      <c r="R1500">
        <f>IFERROR((VLOOKUP(D1500,Products!$A:$E,5,FALSE())-VLOOKUP(D1500,Products!$A:$E,4,FALSE()))/VLOOKUP(D1500,Products!$A:$E,5,FALSE()),"")</f>
        <v>0.57987012987012987</v>
      </c>
    </row>
    <row r="1501" spans="1:18" x14ac:dyDescent="0.3">
      <c r="A1501" s="22" t="s">
        <v>3478</v>
      </c>
      <c r="B1501" s="23">
        <v>45520</v>
      </c>
      <c r="C1501" s="22" t="s">
        <v>185</v>
      </c>
      <c r="D1501" s="22" t="s">
        <v>293</v>
      </c>
      <c r="E1501" s="22" t="s">
        <v>3479</v>
      </c>
      <c r="F1501" s="24">
        <v>7</v>
      </c>
      <c r="G1501" s="24">
        <v>3870</v>
      </c>
      <c r="H1501" s="24">
        <v>6.1</v>
      </c>
      <c r="I1501" s="24">
        <v>25437.51</v>
      </c>
      <c r="J1501" s="22" t="s">
        <v>104</v>
      </c>
      <c r="K1501" s="22" t="s">
        <v>111</v>
      </c>
      <c r="L1501" t="str">
        <f>VLOOKUP(D1501,Products!A:F,3,FALSE())</f>
        <v>Electronics</v>
      </c>
      <c r="M1501" t="str">
        <f>VLOOKUP(C1501,Customers!A:F,5,FALSE())</f>
        <v>Retail</v>
      </c>
      <c r="O1501" t="str">
        <f>IFERROR(VLOOKUP(E1501,Sales_Reps!$A:$C,3,FALSE()),"")</f>
        <v/>
      </c>
      <c r="P1501">
        <f>IFERROR(VLOOKUP(C1501,Customers!$A:$C,3,FALSE()),"")</f>
        <v>49</v>
      </c>
      <c r="Q1501" t="str">
        <f t="shared" si="23"/>
        <v>Aug-24</v>
      </c>
      <c r="R1501">
        <f>IFERROR((VLOOKUP(D1501,Products!$A:$E,5,FALSE())-VLOOKUP(D1501,Products!$A:$E,4,FALSE()))/VLOOKUP(D1501,Products!$A:$E,5,FALSE()),"")</f>
        <v>0.59715762273901807</v>
      </c>
    </row>
    <row r="1502" spans="1:18" x14ac:dyDescent="0.3">
      <c r="A1502" s="22" t="s">
        <v>3480</v>
      </c>
      <c r="B1502" s="23">
        <v>45383</v>
      </c>
      <c r="C1502" s="22" t="s">
        <v>802</v>
      </c>
      <c r="D1502" s="22" t="s">
        <v>127</v>
      </c>
      <c r="E1502" s="22" t="s">
        <v>3481</v>
      </c>
      <c r="F1502" s="24">
        <v>3</v>
      </c>
      <c r="G1502" s="24">
        <v>370</v>
      </c>
      <c r="H1502" s="24">
        <v>13.7</v>
      </c>
      <c r="I1502" s="24">
        <v>957.93</v>
      </c>
      <c r="J1502" s="22" t="s">
        <v>104</v>
      </c>
      <c r="K1502" s="22" t="s">
        <v>105</v>
      </c>
      <c r="L1502" t="str">
        <f>VLOOKUP(D1502,Products!A:F,3,FALSE())</f>
        <v>Home</v>
      </c>
      <c r="M1502" t="str">
        <f>VLOOKUP(C1502,Customers!A:F,5,FALSE())</f>
        <v>Corporate</v>
      </c>
      <c r="O1502" t="str">
        <f>IFERROR(VLOOKUP(E1502,Sales_Reps!$A:$C,3,FALSE()),"")</f>
        <v/>
      </c>
      <c r="P1502">
        <f>IFERROR(VLOOKUP(C1502,Customers!$A:$C,3,FALSE()),"")</f>
        <v>40</v>
      </c>
      <c r="Q1502" t="str">
        <f t="shared" si="23"/>
        <v>Apr-24</v>
      </c>
      <c r="R1502">
        <f>IFERROR((VLOOKUP(D1502,Products!$A:$E,5,FALSE())-VLOOKUP(D1502,Products!$A:$E,4,FALSE()))/VLOOKUP(D1502,Products!$A:$E,5,FALSE()),"")</f>
        <v>0.22162162162162163</v>
      </c>
    </row>
    <row r="1503" spans="1:18" x14ac:dyDescent="0.3">
      <c r="A1503" s="22" t="s">
        <v>3482</v>
      </c>
      <c r="B1503" s="23">
        <v>45328</v>
      </c>
      <c r="C1503" s="22" t="s">
        <v>465</v>
      </c>
      <c r="D1503" s="22" t="s">
        <v>167</v>
      </c>
      <c r="E1503" s="22" t="s">
        <v>3483</v>
      </c>
      <c r="F1503" s="24">
        <v>8</v>
      </c>
      <c r="G1503" s="24">
        <v>190</v>
      </c>
      <c r="H1503" s="24">
        <v>0.2</v>
      </c>
      <c r="I1503" s="24">
        <v>1516.96</v>
      </c>
      <c r="J1503" s="22" t="s">
        <v>104</v>
      </c>
      <c r="K1503" s="22" t="s">
        <v>129</v>
      </c>
      <c r="L1503" t="str">
        <f>VLOOKUP(D1503,Products!A:F,3,FALSE())</f>
        <v>Sports</v>
      </c>
      <c r="M1503" t="str">
        <f>VLOOKUP(C1503,Customers!A:F,5,FALSE())</f>
        <v>Retail</v>
      </c>
      <c r="O1503" t="str">
        <f>IFERROR(VLOOKUP(E1503,Sales_Reps!$A:$C,3,FALSE()),"")</f>
        <v/>
      </c>
      <c r="P1503">
        <f>IFERROR(VLOOKUP(C1503,Customers!$A:$C,3,FALSE()),"")</f>
        <v>42</v>
      </c>
      <c r="Q1503" t="str">
        <f t="shared" si="23"/>
        <v>Feb-24</v>
      </c>
      <c r="R1503">
        <f>IFERROR((VLOOKUP(D1503,Products!$A:$E,5,FALSE())-VLOOKUP(D1503,Products!$A:$E,4,FALSE()))/VLOOKUP(D1503,Products!$A:$E,5,FALSE()),"")</f>
        <v>0.22631578947368422</v>
      </c>
    </row>
    <row r="1504" spans="1:18" x14ac:dyDescent="0.3">
      <c r="A1504" s="22" t="s">
        <v>3484</v>
      </c>
      <c r="B1504" s="23">
        <v>45501</v>
      </c>
      <c r="C1504" s="22" t="s">
        <v>107</v>
      </c>
      <c r="D1504" s="22" t="s">
        <v>137</v>
      </c>
      <c r="E1504" s="22" t="s">
        <v>3485</v>
      </c>
      <c r="F1504" s="24">
        <v>6</v>
      </c>
      <c r="G1504" s="24">
        <v>1430</v>
      </c>
      <c r="H1504" s="24">
        <v>0.1</v>
      </c>
      <c r="I1504" s="24">
        <v>8571.42</v>
      </c>
      <c r="J1504" s="22" t="s">
        <v>104</v>
      </c>
      <c r="K1504" s="22" t="s">
        <v>111</v>
      </c>
      <c r="L1504" t="str">
        <f>VLOOKUP(D1504,Products!A:F,3,FALSE())</f>
        <v>Electronics</v>
      </c>
      <c r="M1504" t="str">
        <f>VLOOKUP(C1504,Customers!A:F,5,FALSE())</f>
        <v>Retail</v>
      </c>
      <c r="O1504" t="str">
        <f>IFERROR(VLOOKUP(E1504,Sales_Reps!$A:$C,3,FALSE()),"")</f>
        <v/>
      </c>
      <c r="P1504">
        <f>IFERROR(VLOOKUP(C1504,Customers!$A:$C,3,FALSE()),"")</f>
        <v>39</v>
      </c>
      <c r="Q1504" t="str">
        <f t="shared" si="23"/>
        <v>Jul-24</v>
      </c>
      <c r="R1504">
        <f>IFERROR((VLOOKUP(D1504,Products!$A:$E,5,FALSE())-VLOOKUP(D1504,Products!$A:$E,4,FALSE()))/VLOOKUP(D1504,Products!$A:$E,5,FALSE()),"")</f>
        <v>0.39790209790209791</v>
      </c>
    </row>
    <row r="1505" spans="1:18" x14ac:dyDescent="0.3">
      <c r="A1505" s="22" t="s">
        <v>3486</v>
      </c>
      <c r="B1505" s="23">
        <v>45346</v>
      </c>
      <c r="C1505" s="22" t="s">
        <v>623</v>
      </c>
      <c r="D1505" s="22" t="s">
        <v>114</v>
      </c>
      <c r="E1505" s="22" t="s">
        <v>3487</v>
      </c>
      <c r="F1505" s="24">
        <v>4</v>
      </c>
      <c r="G1505" s="24">
        <v>470</v>
      </c>
      <c r="H1505" s="24">
        <v>3</v>
      </c>
      <c r="I1505" s="24">
        <v>1823.6</v>
      </c>
      <c r="J1505" s="22" t="s">
        <v>104</v>
      </c>
      <c r="K1505" s="22" t="s">
        <v>111</v>
      </c>
      <c r="L1505" t="str">
        <f>VLOOKUP(D1505,Products!A:F,3,FALSE())</f>
        <v>Sports</v>
      </c>
      <c r="M1505" t="str">
        <f>VLOOKUP(C1505,Customers!A:F,5,FALSE())</f>
        <v>Corporate</v>
      </c>
      <c r="O1505" t="str">
        <f>IFERROR(VLOOKUP(E1505,Sales_Reps!$A:$C,3,FALSE()),"")</f>
        <v/>
      </c>
      <c r="P1505">
        <f>IFERROR(VLOOKUP(C1505,Customers!$A:$C,3,FALSE()),"")</f>
        <v>35</v>
      </c>
      <c r="Q1505" t="str">
        <f t="shared" si="23"/>
        <v>Feb-24</v>
      </c>
      <c r="R1505">
        <f>IFERROR((VLOOKUP(D1505,Products!$A:$E,5,FALSE())-VLOOKUP(D1505,Products!$A:$E,4,FALSE()))/VLOOKUP(D1505,Products!$A:$E,5,FALSE()),"")</f>
        <v>0.35744680851063831</v>
      </c>
    </row>
    <row r="1506" spans="1:18" x14ac:dyDescent="0.3">
      <c r="A1506" s="22" t="s">
        <v>3488</v>
      </c>
      <c r="B1506" s="23">
        <v>45446</v>
      </c>
      <c r="C1506" s="22" t="s">
        <v>645</v>
      </c>
      <c r="D1506" s="22" t="s">
        <v>935</v>
      </c>
      <c r="E1506" s="22" t="s">
        <v>3489</v>
      </c>
      <c r="F1506" s="24">
        <v>4</v>
      </c>
      <c r="G1506" s="24">
        <v>3560</v>
      </c>
      <c r="H1506" s="24">
        <v>1.1000000000000001</v>
      </c>
      <c r="I1506" s="24">
        <v>14083.36</v>
      </c>
      <c r="J1506" s="22" t="s">
        <v>104</v>
      </c>
      <c r="K1506" s="22" t="s">
        <v>105</v>
      </c>
      <c r="L1506" t="str">
        <f>VLOOKUP(D1506,Products!A:F,3,FALSE())</f>
        <v>Apparel</v>
      </c>
      <c r="M1506" t="str">
        <f>VLOOKUP(C1506,Customers!A:F,5,FALSE())</f>
        <v>Retail</v>
      </c>
      <c r="O1506" t="str">
        <f>IFERROR(VLOOKUP(E1506,Sales_Reps!$A:$C,3,FALSE()),"")</f>
        <v/>
      </c>
      <c r="P1506">
        <f>IFERROR(VLOOKUP(C1506,Customers!$A:$C,3,FALSE()),"")</f>
        <v>49</v>
      </c>
      <c r="Q1506" t="str">
        <f t="shared" si="23"/>
        <v>Jun-24</v>
      </c>
      <c r="R1506">
        <f>IFERROR((VLOOKUP(D1506,Products!$A:$E,5,FALSE())-VLOOKUP(D1506,Products!$A:$E,4,FALSE()))/VLOOKUP(D1506,Products!$A:$E,5,FALSE()),"")</f>
        <v>0.26151685393258428</v>
      </c>
    </row>
    <row r="1507" spans="1:18" x14ac:dyDescent="0.3">
      <c r="A1507" s="22" t="s">
        <v>3490</v>
      </c>
      <c r="B1507" s="23">
        <v>45521</v>
      </c>
      <c r="C1507" s="22" t="s">
        <v>892</v>
      </c>
      <c r="D1507" s="22" t="s">
        <v>212</v>
      </c>
      <c r="E1507" s="22" t="s">
        <v>3491</v>
      </c>
      <c r="F1507" s="24">
        <v>5</v>
      </c>
      <c r="G1507" s="24">
        <v>4880</v>
      </c>
      <c r="H1507" s="24">
        <v>17</v>
      </c>
      <c r="I1507" s="24">
        <v>20252</v>
      </c>
      <c r="J1507" s="22" t="s">
        <v>104</v>
      </c>
      <c r="K1507" s="22" t="s">
        <v>116</v>
      </c>
      <c r="L1507" t="str">
        <f>VLOOKUP(D1507,Products!A:F,3,FALSE())</f>
        <v>Beauty</v>
      </c>
      <c r="M1507" t="str">
        <f>VLOOKUP(C1507,Customers!A:F,5,FALSE())</f>
        <v>Retail</v>
      </c>
      <c r="O1507" t="str">
        <f>IFERROR(VLOOKUP(E1507,Sales_Reps!$A:$C,3,FALSE()),"")</f>
        <v/>
      </c>
      <c r="P1507">
        <f>IFERROR(VLOOKUP(C1507,Customers!$A:$C,3,FALSE()),"")</f>
        <v>49</v>
      </c>
      <c r="Q1507" t="str">
        <f t="shared" si="23"/>
        <v>Aug-24</v>
      </c>
      <c r="R1507">
        <f>IFERROR((VLOOKUP(D1507,Products!$A:$E,5,FALSE())-VLOOKUP(D1507,Products!$A:$E,4,FALSE()))/VLOOKUP(D1507,Products!$A:$E,5,FALSE()),"")</f>
        <v>0.43278688524590164</v>
      </c>
    </row>
    <row r="1508" spans="1:18" x14ac:dyDescent="0.3">
      <c r="A1508" s="22" t="s">
        <v>3492</v>
      </c>
      <c r="B1508" s="23">
        <v>45483</v>
      </c>
      <c r="C1508" s="22" t="s">
        <v>972</v>
      </c>
      <c r="D1508" s="22" t="s">
        <v>216</v>
      </c>
      <c r="E1508" s="22" t="s">
        <v>3493</v>
      </c>
      <c r="F1508" s="24">
        <v>9</v>
      </c>
      <c r="G1508" s="24">
        <v>3570</v>
      </c>
      <c r="H1508" s="24">
        <v>12</v>
      </c>
      <c r="I1508" s="24">
        <v>28274.400000000001</v>
      </c>
      <c r="J1508" s="22" t="s">
        <v>104</v>
      </c>
      <c r="K1508" s="22" t="s">
        <v>111</v>
      </c>
      <c r="L1508" t="str">
        <f>VLOOKUP(D1508,Products!A:F,3,FALSE())</f>
        <v>Electronics</v>
      </c>
      <c r="M1508" t="str">
        <f>VLOOKUP(C1508,Customers!A:F,5,FALSE())</f>
        <v>Retail</v>
      </c>
      <c r="O1508" t="str">
        <f>IFERROR(VLOOKUP(E1508,Sales_Reps!$A:$C,3,FALSE()),"")</f>
        <v/>
      </c>
      <c r="P1508">
        <f>IFERROR(VLOOKUP(C1508,Customers!$A:$C,3,FALSE()),"")</f>
        <v>26</v>
      </c>
      <c r="Q1508" t="str">
        <f t="shared" si="23"/>
        <v>Jul-24</v>
      </c>
      <c r="R1508">
        <f>IFERROR((VLOOKUP(D1508,Products!$A:$E,5,FALSE())-VLOOKUP(D1508,Products!$A:$E,4,FALSE()))/VLOOKUP(D1508,Products!$A:$E,5,FALSE()),"")</f>
        <v>0.53361344537815125</v>
      </c>
    </row>
    <row r="1509" spans="1:18" x14ac:dyDescent="0.3">
      <c r="A1509" s="22" t="s">
        <v>3494</v>
      </c>
      <c r="B1509" s="23">
        <v>45370</v>
      </c>
      <c r="C1509" s="22" t="s">
        <v>2227</v>
      </c>
      <c r="D1509" s="22" t="s">
        <v>182</v>
      </c>
      <c r="E1509" s="22" t="s">
        <v>3495</v>
      </c>
      <c r="F1509" s="24">
        <v>6</v>
      </c>
      <c r="G1509" s="24">
        <v>3450</v>
      </c>
      <c r="H1509" s="24">
        <v>22.7</v>
      </c>
      <c r="I1509" s="24">
        <v>16001.1</v>
      </c>
      <c r="J1509" s="22" t="s">
        <v>159</v>
      </c>
      <c r="K1509" s="22" t="s">
        <v>111</v>
      </c>
      <c r="L1509" t="str">
        <f>VLOOKUP(D1509,Products!A:F,3,FALSE())</f>
        <v>Sports</v>
      </c>
      <c r="M1509" t="str">
        <f>VLOOKUP(C1509,Customers!A:F,5,FALSE())</f>
        <v>Retail</v>
      </c>
      <c r="O1509" t="str">
        <f>IFERROR(VLOOKUP(E1509,Sales_Reps!$A:$C,3,FALSE()),"")</f>
        <v/>
      </c>
      <c r="P1509">
        <f>IFERROR(VLOOKUP(C1509,Customers!$A:$C,3,FALSE()),"")</f>
        <v>34</v>
      </c>
      <c r="Q1509" t="str">
        <f t="shared" si="23"/>
        <v>Mar-24</v>
      </c>
      <c r="R1509">
        <f>IFERROR((VLOOKUP(D1509,Products!$A:$E,5,FALSE())-VLOOKUP(D1509,Products!$A:$E,4,FALSE()))/VLOOKUP(D1509,Products!$A:$E,5,FALSE()),"")</f>
        <v>0.28492753623188405</v>
      </c>
    </row>
    <row r="1510" spans="1:18" x14ac:dyDescent="0.3">
      <c r="A1510" s="22" t="s">
        <v>3496</v>
      </c>
      <c r="B1510" s="23">
        <v>45456</v>
      </c>
      <c r="C1510" s="22" t="s">
        <v>204</v>
      </c>
      <c r="D1510" s="22" t="s">
        <v>186</v>
      </c>
      <c r="E1510" s="22" t="s">
        <v>3497</v>
      </c>
      <c r="F1510" s="24">
        <v>10</v>
      </c>
      <c r="G1510" s="24">
        <v>1080</v>
      </c>
      <c r="H1510" s="24">
        <v>27.4</v>
      </c>
      <c r="I1510" s="24">
        <v>7840.8</v>
      </c>
      <c r="J1510" s="22" t="s">
        <v>104</v>
      </c>
      <c r="K1510" s="22" t="s">
        <v>111</v>
      </c>
      <c r="L1510" t="str">
        <f>VLOOKUP(D1510,Products!A:F,3,FALSE())</f>
        <v>Home</v>
      </c>
      <c r="M1510" t="str">
        <f>VLOOKUP(C1510,Customers!A:F,5,FALSE())</f>
        <v>Corporate</v>
      </c>
      <c r="O1510" t="str">
        <f>IFERROR(VLOOKUP(E1510,Sales_Reps!$A:$C,3,FALSE()),"")</f>
        <v/>
      </c>
      <c r="P1510">
        <f>IFERROR(VLOOKUP(C1510,Customers!$A:$C,3,FALSE()),"")</f>
        <v>55</v>
      </c>
      <c r="Q1510" t="str">
        <f t="shared" si="23"/>
        <v>Jun-24</v>
      </c>
      <c r="R1510">
        <f>IFERROR((VLOOKUP(D1510,Products!$A:$E,5,FALSE())-VLOOKUP(D1510,Products!$A:$E,4,FALSE()))/VLOOKUP(D1510,Products!$A:$E,5,FALSE()),"")</f>
        <v>0.51944444444444449</v>
      </c>
    </row>
    <row r="1511" spans="1:18" x14ac:dyDescent="0.3">
      <c r="A1511" s="22" t="s">
        <v>3498</v>
      </c>
      <c r="B1511" s="23">
        <v>45605</v>
      </c>
      <c r="C1511" s="22" t="s">
        <v>1281</v>
      </c>
      <c r="D1511" s="22" t="s">
        <v>308</v>
      </c>
      <c r="E1511" s="22" t="s">
        <v>3499</v>
      </c>
      <c r="F1511" s="24">
        <v>6</v>
      </c>
      <c r="G1511" s="24">
        <v>1540</v>
      </c>
      <c r="H1511" s="24">
        <v>17.100000000000001</v>
      </c>
      <c r="I1511" s="24">
        <v>7659.96</v>
      </c>
      <c r="J1511" s="22" t="s">
        <v>104</v>
      </c>
      <c r="K1511" s="22" t="s">
        <v>105</v>
      </c>
      <c r="L1511" t="str">
        <f>VLOOKUP(D1511,Products!A:F,3,FALSE())</f>
        <v>Beauty</v>
      </c>
      <c r="M1511" t="str">
        <f>VLOOKUP(C1511,Customers!A:F,5,FALSE())</f>
        <v>SMB</v>
      </c>
      <c r="O1511" t="str">
        <f>IFERROR(VLOOKUP(E1511,Sales_Reps!$A:$C,3,FALSE()),"")</f>
        <v/>
      </c>
      <c r="P1511">
        <f>IFERROR(VLOOKUP(C1511,Customers!$A:$C,3,FALSE()),"")</f>
        <v>59</v>
      </c>
      <c r="Q1511" t="str">
        <f t="shared" si="23"/>
        <v>Nov-24</v>
      </c>
      <c r="R1511">
        <f>IFERROR((VLOOKUP(D1511,Products!$A:$E,5,FALSE())-VLOOKUP(D1511,Products!$A:$E,4,FALSE()))/VLOOKUP(D1511,Products!$A:$E,5,FALSE()),"")</f>
        <v>0.57987012987012987</v>
      </c>
    </row>
    <row r="1512" spans="1:18" x14ac:dyDescent="0.3">
      <c r="A1512" s="22" t="s">
        <v>3500</v>
      </c>
      <c r="B1512" s="23">
        <v>45556</v>
      </c>
      <c r="C1512" s="22" t="s">
        <v>3501</v>
      </c>
      <c r="D1512" s="22" t="s">
        <v>197</v>
      </c>
      <c r="E1512" s="22" t="s">
        <v>3502</v>
      </c>
      <c r="F1512" s="24">
        <v>6</v>
      </c>
      <c r="G1512" s="24">
        <v>2720</v>
      </c>
      <c r="H1512" s="24">
        <v>28.1</v>
      </c>
      <c r="I1512" s="24">
        <v>11734.08</v>
      </c>
      <c r="J1512" s="22" t="s">
        <v>104</v>
      </c>
      <c r="K1512" s="22" t="s">
        <v>129</v>
      </c>
      <c r="L1512" t="str">
        <f>VLOOKUP(D1512,Products!A:F,3,FALSE())</f>
        <v>Apparel</v>
      </c>
      <c r="M1512" t="e">
        <f>VLOOKUP(C1512,Customers!A:F,5,FALSE())</f>
        <v>#N/A</v>
      </c>
      <c r="O1512" t="str">
        <f>IFERROR(VLOOKUP(E1512,Sales_Reps!$A:$C,3,FALSE()),"")</f>
        <v/>
      </c>
      <c r="P1512" t="str">
        <f>IFERROR(VLOOKUP(C1512,Customers!$A:$C,3,FALSE()),"")</f>
        <v/>
      </c>
      <c r="Q1512" t="str">
        <f t="shared" si="23"/>
        <v>Sep-24</v>
      </c>
      <c r="R1512">
        <f>IFERROR((VLOOKUP(D1512,Products!$A:$E,5,FALSE())-VLOOKUP(D1512,Products!$A:$E,4,FALSE()))/VLOOKUP(D1512,Products!$A:$E,5,FALSE()),"")</f>
        <v>0.2786764705882353</v>
      </c>
    </row>
    <row r="1513" spans="1:18" x14ac:dyDescent="0.3">
      <c r="A1513" s="22" t="s">
        <v>3503</v>
      </c>
      <c r="B1513" s="23">
        <v>45569</v>
      </c>
      <c r="C1513" s="22" t="s">
        <v>304</v>
      </c>
      <c r="D1513" s="22" t="s">
        <v>577</v>
      </c>
      <c r="E1513" s="22" t="s">
        <v>3504</v>
      </c>
      <c r="F1513" s="24">
        <v>2</v>
      </c>
      <c r="G1513" s="24">
        <v>5080</v>
      </c>
      <c r="H1513" s="24">
        <v>11.1</v>
      </c>
      <c r="I1513" s="24">
        <v>9032.24</v>
      </c>
      <c r="J1513" s="22" t="s">
        <v>104</v>
      </c>
      <c r="K1513" s="22" t="s">
        <v>151</v>
      </c>
      <c r="L1513" t="str">
        <f>VLOOKUP(D1513,Products!A:F,3,FALSE())</f>
        <v>Home</v>
      </c>
      <c r="M1513" t="str">
        <f>VLOOKUP(C1513,Customers!A:F,5,FALSE())</f>
        <v>Retail</v>
      </c>
      <c r="O1513" t="str">
        <f>IFERROR(VLOOKUP(E1513,Sales_Reps!$A:$C,3,FALSE()),"")</f>
        <v/>
      </c>
      <c r="P1513">
        <f>IFERROR(VLOOKUP(C1513,Customers!$A:$C,3,FALSE()),"")</f>
        <v>27</v>
      </c>
      <c r="Q1513" t="str">
        <f t="shared" si="23"/>
        <v>Oct-24</v>
      </c>
      <c r="R1513">
        <f>IFERROR((VLOOKUP(D1513,Products!$A:$E,5,FALSE())-VLOOKUP(D1513,Products!$A:$E,4,FALSE()))/VLOOKUP(D1513,Products!$A:$E,5,FALSE()),"")</f>
        <v>0.51594488188976373</v>
      </c>
    </row>
    <row r="1514" spans="1:18" x14ac:dyDescent="0.3">
      <c r="A1514" s="22" t="s">
        <v>3505</v>
      </c>
      <c r="B1514" s="23">
        <v>45329</v>
      </c>
      <c r="C1514" s="22" t="s">
        <v>3506</v>
      </c>
      <c r="D1514" s="22" t="s">
        <v>352</v>
      </c>
      <c r="E1514" s="22" t="s">
        <v>3507</v>
      </c>
      <c r="F1514" s="24">
        <v>5</v>
      </c>
      <c r="G1514" s="24">
        <v>620</v>
      </c>
      <c r="H1514" s="24">
        <v>10.9</v>
      </c>
      <c r="I1514" s="24">
        <v>2762.1</v>
      </c>
      <c r="J1514" s="22" t="s">
        <v>110</v>
      </c>
      <c r="K1514" s="22" t="s">
        <v>111</v>
      </c>
      <c r="L1514" t="str">
        <f>VLOOKUP(D1514,Products!A:F,3,FALSE())</f>
        <v>Apparel</v>
      </c>
      <c r="M1514" t="e">
        <f>VLOOKUP(C1514,Customers!A:F,5,FALSE())</f>
        <v>#N/A</v>
      </c>
      <c r="O1514" t="str">
        <f>IFERROR(VLOOKUP(E1514,Sales_Reps!$A:$C,3,FALSE()),"")</f>
        <v/>
      </c>
      <c r="P1514" t="str">
        <f>IFERROR(VLOOKUP(C1514,Customers!$A:$C,3,FALSE()),"")</f>
        <v/>
      </c>
      <c r="Q1514" t="str">
        <f t="shared" si="23"/>
        <v>Feb-24</v>
      </c>
      <c r="R1514">
        <f>IFERROR((VLOOKUP(D1514,Products!$A:$E,5,FALSE())-VLOOKUP(D1514,Products!$A:$E,4,FALSE()))/VLOOKUP(D1514,Products!$A:$E,5,FALSE()),"")</f>
        <v>0.36129032258064514</v>
      </c>
    </row>
    <row r="1515" spans="1:18" x14ac:dyDescent="0.3">
      <c r="A1515" s="22" t="s">
        <v>3508</v>
      </c>
      <c r="B1515" s="23">
        <v>45377</v>
      </c>
      <c r="C1515" s="22" t="s">
        <v>374</v>
      </c>
      <c r="D1515" s="22" t="s">
        <v>190</v>
      </c>
      <c r="E1515" s="22" t="s">
        <v>3509</v>
      </c>
      <c r="F1515" s="24">
        <v>3</v>
      </c>
      <c r="G1515" s="24">
        <v>2480</v>
      </c>
      <c r="H1515" s="24">
        <v>5</v>
      </c>
      <c r="I1515" s="24">
        <v>7068</v>
      </c>
      <c r="J1515" s="22" t="s">
        <v>104</v>
      </c>
      <c r="K1515" s="22" t="s">
        <v>105</v>
      </c>
      <c r="L1515" t="str">
        <f>VLOOKUP(D1515,Products!A:F,3,FALSE())</f>
        <v>Apparel</v>
      </c>
      <c r="M1515" t="str">
        <f>VLOOKUP(C1515,Customers!A:F,5,FALSE())</f>
        <v>SMB</v>
      </c>
      <c r="O1515" t="str">
        <f>IFERROR(VLOOKUP(E1515,Sales_Reps!$A:$C,3,FALSE()),"")</f>
        <v/>
      </c>
      <c r="P1515">
        <f>IFERROR(VLOOKUP(C1515,Customers!$A:$C,3,FALSE()),"")</f>
        <v>54</v>
      </c>
      <c r="Q1515" t="str">
        <f t="shared" si="23"/>
        <v>Mar-24</v>
      </c>
      <c r="R1515">
        <f>IFERROR((VLOOKUP(D1515,Products!$A:$E,5,FALSE())-VLOOKUP(D1515,Products!$A:$E,4,FALSE()))/VLOOKUP(D1515,Products!$A:$E,5,FALSE()),"")</f>
        <v>0.52701612903225803</v>
      </c>
    </row>
    <row r="1516" spans="1:18" x14ac:dyDescent="0.3">
      <c r="A1516" s="22" t="s">
        <v>3510</v>
      </c>
      <c r="B1516" s="23">
        <v>45537</v>
      </c>
      <c r="C1516" s="22" t="s">
        <v>709</v>
      </c>
      <c r="D1516" s="22" t="s">
        <v>209</v>
      </c>
      <c r="E1516" s="22" t="s">
        <v>3511</v>
      </c>
      <c r="F1516" s="24">
        <v>9</v>
      </c>
      <c r="G1516" s="24">
        <v>1010</v>
      </c>
      <c r="H1516" s="24">
        <v>21.9</v>
      </c>
      <c r="I1516" s="24">
        <v>7099.29</v>
      </c>
      <c r="J1516" s="22" t="s">
        <v>104</v>
      </c>
      <c r="K1516" s="22" t="s">
        <v>129</v>
      </c>
      <c r="L1516" t="str">
        <f>VLOOKUP(D1516,Products!A:F,3,FALSE())</f>
        <v>Sports</v>
      </c>
      <c r="M1516" t="str">
        <f>VLOOKUP(C1516,Customers!A:F,5,FALSE())</f>
        <v>Corporate</v>
      </c>
      <c r="O1516" t="str">
        <f>IFERROR(VLOOKUP(E1516,Sales_Reps!$A:$C,3,FALSE()),"")</f>
        <v/>
      </c>
      <c r="P1516">
        <f>IFERROR(VLOOKUP(C1516,Customers!$A:$C,3,FALSE()),"")</f>
        <v>55</v>
      </c>
      <c r="Q1516" t="str">
        <f t="shared" si="23"/>
        <v>Sep-24</v>
      </c>
      <c r="R1516">
        <f>IFERROR((VLOOKUP(D1516,Products!$A:$E,5,FALSE())-VLOOKUP(D1516,Products!$A:$E,4,FALSE()))/VLOOKUP(D1516,Products!$A:$E,5,FALSE()),"")</f>
        <v>0.4891089108910891</v>
      </c>
    </row>
    <row r="1517" spans="1:18" x14ac:dyDescent="0.3">
      <c r="A1517" s="22" t="s">
        <v>3512</v>
      </c>
      <c r="B1517" s="23">
        <v>45550</v>
      </c>
      <c r="C1517" s="22" t="s">
        <v>529</v>
      </c>
      <c r="D1517" s="22" t="s">
        <v>186</v>
      </c>
      <c r="E1517" s="22" t="s">
        <v>3513</v>
      </c>
      <c r="F1517" s="24">
        <v>2</v>
      </c>
      <c r="G1517" s="24">
        <v>1080</v>
      </c>
      <c r="H1517" s="24">
        <v>8.5</v>
      </c>
      <c r="I1517" s="24">
        <v>1976.4</v>
      </c>
      <c r="J1517" s="22" t="s">
        <v>104</v>
      </c>
      <c r="K1517" s="22" t="s">
        <v>105</v>
      </c>
      <c r="L1517" t="str">
        <f>VLOOKUP(D1517,Products!A:F,3,FALSE())</f>
        <v>Home</v>
      </c>
      <c r="M1517" t="str">
        <f>VLOOKUP(C1517,Customers!A:F,5,FALSE())</f>
        <v>Retail</v>
      </c>
      <c r="O1517" t="str">
        <f>IFERROR(VLOOKUP(E1517,Sales_Reps!$A:$C,3,FALSE()),"")</f>
        <v/>
      </c>
      <c r="P1517">
        <f>IFERROR(VLOOKUP(C1517,Customers!$A:$C,3,FALSE()),"")</f>
        <v>22</v>
      </c>
      <c r="Q1517" t="str">
        <f t="shared" si="23"/>
        <v>Sep-24</v>
      </c>
      <c r="R1517">
        <f>IFERROR((VLOOKUP(D1517,Products!$A:$E,5,FALSE())-VLOOKUP(D1517,Products!$A:$E,4,FALSE()))/VLOOKUP(D1517,Products!$A:$E,5,FALSE()),"")</f>
        <v>0.51944444444444449</v>
      </c>
    </row>
    <row r="1518" spans="1:18" x14ac:dyDescent="0.3">
      <c r="A1518" s="22" t="s">
        <v>3514</v>
      </c>
      <c r="B1518" s="23">
        <v>45325</v>
      </c>
      <c r="C1518" s="22" t="s">
        <v>261</v>
      </c>
      <c r="D1518" s="22" t="s">
        <v>114</v>
      </c>
      <c r="E1518" s="22" t="s">
        <v>3515</v>
      </c>
      <c r="F1518" s="24">
        <v>5</v>
      </c>
      <c r="G1518" s="24">
        <v>470</v>
      </c>
      <c r="H1518" s="24">
        <v>8</v>
      </c>
      <c r="I1518" s="24">
        <v>2162</v>
      </c>
      <c r="J1518" s="22" t="s">
        <v>104</v>
      </c>
      <c r="K1518" s="22" t="s">
        <v>116</v>
      </c>
      <c r="L1518" t="str">
        <f>VLOOKUP(D1518,Products!A:F,3,FALSE())</f>
        <v>Sports</v>
      </c>
      <c r="M1518" t="str">
        <f>VLOOKUP(C1518,Customers!A:F,5,FALSE())</f>
        <v>Retail</v>
      </c>
      <c r="O1518" t="str">
        <f>IFERROR(VLOOKUP(E1518,Sales_Reps!$A:$C,3,FALSE()),"")</f>
        <v/>
      </c>
      <c r="P1518">
        <f>IFERROR(VLOOKUP(C1518,Customers!$A:$C,3,FALSE()),"")</f>
        <v>53</v>
      </c>
      <c r="Q1518" t="str">
        <f t="shared" si="23"/>
        <v>Feb-24</v>
      </c>
      <c r="R1518">
        <f>IFERROR((VLOOKUP(D1518,Products!$A:$E,5,FALSE())-VLOOKUP(D1518,Products!$A:$E,4,FALSE()))/VLOOKUP(D1518,Products!$A:$E,5,FALSE()),"")</f>
        <v>0.35744680851063831</v>
      </c>
    </row>
    <row r="1519" spans="1:18" x14ac:dyDescent="0.3">
      <c r="A1519" s="22" t="s">
        <v>3516</v>
      </c>
      <c r="B1519" s="23">
        <v>45375</v>
      </c>
      <c r="C1519" s="22" t="s">
        <v>422</v>
      </c>
      <c r="D1519" s="22" t="s">
        <v>521</v>
      </c>
      <c r="E1519" s="22" t="s">
        <v>3517</v>
      </c>
      <c r="F1519" s="24">
        <v>9</v>
      </c>
      <c r="G1519" s="24">
        <v>3970</v>
      </c>
      <c r="H1519" s="24">
        <v>18.5</v>
      </c>
      <c r="I1519" s="24">
        <v>29119.95</v>
      </c>
      <c r="J1519" s="22" t="s">
        <v>104</v>
      </c>
      <c r="K1519" s="22" t="s">
        <v>105</v>
      </c>
      <c r="L1519" t="str">
        <f>VLOOKUP(D1519,Products!A:F,3,FALSE())</f>
        <v>Electronics</v>
      </c>
      <c r="M1519" t="str">
        <f>VLOOKUP(C1519,Customers!A:F,5,FALSE())</f>
        <v>Retail</v>
      </c>
      <c r="O1519" t="str">
        <f>IFERROR(VLOOKUP(E1519,Sales_Reps!$A:$C,3,FALSE()),"")</f>
        <v/>
      </c>
      <c r="P1519">
        <f>IFERROR(VLOOKUP(C1519,Customers!$A:$C,3,FALSE()),"")</f>
        <v>25</v>
      </c>
      <c r="Q1519" t="str">
        <f t="shared" si="23"/>
        <v>Mar-24</v>
      </c>
      <c r="R1519">
        <f>IFERROR((VLOOKUP(D1519,Products!$A:$E,5,FALSE())-VLOOKUP(D1519,Products!$A:$E,4,FALSE()))/VLOOKUP(D1519,Products!$A:$E,5,FALSE()),"")</f>
        <v>0.27833753148614609</v>
      </c>
    </row>
    <row r="1520" spans="1:18" x14ac:dyDescent="0.3">
      <c r="A1520" s="22" t="s">
        <v>3518</v>
      </c>
      <c r="B1520" s="23">
        <v>45614</v>
      </c>
      <c r="C1520" s="22" t="s">
        <v>1984</v>
      </c>
      <c r="D1520" s="22" t="s">
        <v>201</v>
      </c>
      <c r="E1520" s="22" t="s">
        <v>3519</v>
      </c>
      <c r="F1520" s="24">
        <v>9</v>
      </c>
      <c r="G1520" s="24">
        <v>1650</v>
      </c>
      <c r="H1520" s="24">
        <v>19.5</v>
      </c>
      <c r="I1520" s="24">
        <v>11954.25</v>
      </c>
      <c r="J1520" s="22" t="s">
        <v>104</v>
      </c>
      <c r="K1520" s="22" t="s">
        <v>129</v>
      </c>
      <c r="L1520" t="str">
        <f>VLOOKUP(D1520,Products!A:F,3,FALSE())</f>
        <v>Beauty</v>
      </c>
      <c r="M1520" t="str">
        <f>VLOOKUP(C1520,Customers!A:F,5,FALSE())</f>
        <v>Retail</v>
      </c>
      <c r="O1520" t="str">
        <f>IFERROR(VLOOKUP(E1520,Sales_Reps!$A:$C,3,FALSE()),"")</f>
        <v/>
      </c>
      <c r="P1520">
        <f>IFERROR(VLOOKUP(C1520,Customers!$A:$C,3,FALSE()),"")</f>
        <v>29</v>
      </c>
      <c r="Q1520" t="str">
        <f t="shared" si="23"/>
        <v>Nov-24</v>
      </c>
      <c r="R1520">
        <f>IFERROR((VLOOKUP(D1520,Products!$A:$E,5,FALSE())-VLOOKUP(D1520,Products!$A:$E,4,FALSE()))/VLOOKUP(D1520,Products!$A:$E,5,FALSE()),"")</f>
        <v>0.2593939393939394</v>
      </c>
    </row>
    <row r="1521" spans="1:18" x14ac:dyDescent="0.3">
      <c r="A1521" s="22" t="s">
        <v>3520</v>
      </c>
      <c r="B1521" s="23">
        <v>45364</v>
      </c>
      <c r="C1521" s="22" t="s">
        <v>953</v>
      </c>
      <c r="D1521" s="22" t="s">
        <v>205</v>
      </c>
      <c r="E1521" s="22" t="s">
        <v>3521</v>
      </c>
      <c r="F1521" s="24">
        <v>9</v>
      </c>
      <c r="G1521" s="24">
        <v>3350</v>
      </c>
      <c r="H1521" s="24">
        <v>4.0999999999999996</v>
      </c>
      <c r="I1521" s="24">
        <v>28913.85</v>
      </c>
      <c r="J1521" s="22" t="s">
        <v>104</v>
      </c>
      <c r="K1521" s="22" t="s">
        <v>151</v>
      </c>
      <c r="L1521" t="str">
        <f>VLOOKUP(D1521,Products!A:F,3,FALSE())</f>
        <v>Beauty</v>
      </c>
      <c r="M1521" t="str">
        <f>VLOOKUP(C1521,Customers!A:F,5,FALSE())</f>
        <v>Retail</v>
      </c>
      <c r="O1521" t="str">
        <f>IFERROR(VLOOKUP(E1521,Sales_Reps!$A:$C,3,FALSE()),"")</f>
        <v/>
      </c>
      <c r="P1521">
        <f>IFERROR(VLOOKUP(C1521,Customers!$A:$C,3,FALSE()),"")</f>
        <v>31</v>
      </c>
      <c r="Q1521" t="str">
        <f t="shared" si="23"/>
        <v>Mar-24</v>
      </c>
      <c r="R1521">
        <f>IFERROR((VLOOKUP(D1521,Products!$A:$E,5,FALSE())-VLOOKUP(D1521,Products!$A:$E,4,FALSE()))/VLOOKUP(D1521,Products!$A:$E,5,FALSE()),"")</f>
        <v>0.48417910447761192</v>
      </c>
    </row>
    <row r="1522" spans="1:18" x14ac:dyDescent="0.3">
      <c r="A1522" s="22" t="s">
        <v>3522</v>
      </c>
      <c r="B1522" s="23">
        <v>45342</v>
      </c>
      <c r="C1522" s="22" t="s">
        <v>318</v>
      </c>
      <c r="D1522" s="22" t="s">
        <v>521</v>
      </c>
      <c r="E1522" s="22" t="s">
        <v>3523</v>
      </c>
      <c r="F1522" s="24">
        <v>7</v>
      </c>
      <c r="G1522" s="24">
        <v>3970</v>
      </c>
      <c r="H1522" s="24">
        <v>15.6</v>
      </c>
      <c r="I1522" s="24">
        <v>23454.76</v>
      </c>
      <c r="J1522" s="22" t="s">
        <v>104</v>
      </c>
      <c r="K1522" s="22" t="s">
        <v>116</v>
      </c>
      <c r="L1522" t="str">
        <f>VLOOKUP(D1522,Products!A:F,3,FALSE())</f>
        <v>Electronics</v>
      </c>
      <c r="M1522" t="str">
        <f>VLOOKUP(C1522,Customers!A:F,5,FALSE())</f>
        <v>Corporate</v>
      </c>
      <c r="O1522" t="str">
        <f>IFERROR(VLOOKUP(E1522,Sales_Reps!$A:$C,3,FALSE()),"")</f>
        <v/>
      </c>
      <c r="P1522">
        <f>IFERROR(VLOOKUP(C1522,Customers!$A:$C,3,FALSE()),"")</f>
        <v>55</v>
      </c>
      <c r="Q1522" t="str">
        <f t="shared" si="23"/>
        <v>Feb-24</v>
      </c>
      <c r="R1522">
        <f>IFERROR((VLOOKUP(D1522,Products!$A:$E,5,FALSE())-VLOOKUP(D1522,Products!$A:$E,4,FALSE()))/VLOOKUP(D1522,Products!$A:$E,5,FALSE()),"")</f>
        <v>0.27833753148614609</v>
      </c>
    </row>
    <row r="1523" spans="1:18" x14ac:dyDescent="0.3">
      <c r="A1523" s="22" t="s">
        <v>3524</v>
      </c>
      <c r="B1523" s="23">
        <v>45454</v>
      </c>
      <c r="C1523" s="22" t="s">
        <v>1072</v>
      </c>
      <c r="D1523" s="22" t="s">
        <v>275</v>
      </c>
      <c r="E1523" s="22" t="s">
        <v>3525</v>
      </c>
      <c r="F1523" s="24">
        <v>7</v>
      </c>
      <c r="G1523" s="24">
        <v>3780</v>
      </c>
      <c r="H1523" s="24">
        <v>18.7</v>
      </c>
      <c r="I1523" s="24">
        <v>21511.98</v>
      </c>
      <c r="J1523" s="22" t="s">
        <v>104</v>
      </c>
      <c r="K1523" s="22" t="s">
        <v>105</v>
      </c>
      <c r="L1523" t="str">
        <f>VLOOKUP(D1523,Products!A:F,3,FALSE())</f>
        <v>Grocery</v>
      </c>
      <c r="M1523" t="str">
        <f>VLOOKUP(C1523,Customers!A:F,5,FALSE())</f>
        <v>Retail</v>
      </c>
      <c r="O1523" t="str">
        <f>IFERROR(VLOOKUP(E1523,Sales_Reps!$A:$C,3,FALSE()),"")</f>
        <v/>
      </c>
      <c r="P1523">
        <f>IFERROR(VLOOKUP(C1523,Customers!$A:$C,3,FALSE()),"")</f>
        <v>36</v>
      </c>
      <c r="Q1523" t="str">
        <f t="shared" si="23"/>
        <v>Jun-24</v>
      </c>
      <c r="R1523">
        <f>IFERROR((VLOOKUP(D1523,Products!$A:$E,5,FALSE())-VLOOKUP(D1523,Products!$A:$E,4,FALSE()))/VLOOKUP(D1523,Products!$A:$E,5,FALSE()),"")</f>
        <v>0.35555555555555557</v>
      </c>
    </row>
    <row r="1524" spans="1:18" x14ac:dyDescent="0.3">
      <c r="A1524" s="22" t="s">
        <v>3526</v>
      </c>
      <c r="B1524" s="23">
        <v>45625</v>
      </c>
      <c r="C1524" s="22" t="s">
        <v>892</v>
      </c>
      <c r="D1524" s="22" t="s">
        <v>108</v>
      </c>
      <c r="E1524" s="22" t="s">
        <v>3527</v>
      </c>
      <c r="F1524" s="24">
        <v>4</v>
      </c>
      <c r="G1524" s="24">
        <v>820</v>
      </c>
      <c r="H1524" s="24">
        <v>18.8</v>
      </c>
      <c r="I1524" s="24">
        <v>2663.36</v>
      </c>
      <c r="J1524" s="22" t="s">
        <v>159</v>
      </c>
      <c r="K1524" s="22" t="s">
        <v>116</v>
      </c>
      <c r="L1524" t="str">
        <f>VLOOKUP(D1524,Products!A:F,3,FALSE())</f>
        <v>Apparel</v>
      </c>
      <c r="M1524" t="str">
        <f>VLOOKUP(C1524,Customers!A:F,5,FALSE())</f>
        <v>Retail</v>
      </c>
      <c r="O1524" t="str">
        <f>IFERROR(VLOOKUP(E1524,Sales_Reps!$A:$C,3,FALSE()),"")</f>
        <v/>
      </c>
      <c r="P1524">
        <f>IFERROR(VLOOKUP(C1524,Customers!$A:$C,3,FALSE()),"")</f>
        <v>49</v>
      </c>
      <c r="Q1524" t="str">
        <f t="shared" si="23"/>
        <v>Nov-24</v>
      </c>
      <c r="R1524">
        <f>IFERROR((VLOOKUP(D1524,Products!$A:$E,5,FALSE())-VLOOKUP(D1524,Products!$A:$E,4,FALSE()))/VLOOKUP(D1524,Products!$A:$E,5,FALSE()),"")</f>
        <v>0.52317073170731709</v>
      </c>
    </row>
    <row r="1525" spans="1:18" x14ac:dyDescent="0.3">
      <c r="A1525" s="22" t="s">
        <v>3528</v>
      </c>
      <c r="B1525" s="23">
        <v>45600</v>
      </c>
      <c r="C1525" s="22" t="s">
        <v>1056</v>
      </c>
      <c r="D1525" s="22" t="s">
        <v>201</v>
      </c>
      <c r="E1525" s="22" t="s">
        <v>3529</v>
      </c>
      <c r="F1525" s="24">
        <v>1</v>
      </c>
      <c r="G1525" s="24">
        <v>1650</v>
      </c>
      <c r="H1525" s="24">
        <v>18.8</v>
      </c>
      <c r="I1525" s="24">
        <v>1339.8</v>
      </c>
      <c r="J1525" s="22" t="s">
        <v>159</v>
      </c>
      <c r="K1525" s="22" t="s">
        <v>129</v>
      </c>
      <c r="L1525" t="str">
        <f>VLOOKUP(D1525,Products!A:F,3,FALSE())</f>
        <v>Beauty</v>
      </c>
      <c r="M1525" t="str">
        <f>VLOOKUP(C1525,Customers!A:F,5,FALSE())</f>
        <v>Retail</v>
      </c>
      <c r="O1525" t="str">
        <f>IFERROR(VLOOKUP(E1525,Sales_Reps!$A:$C,3,FALSE()),"")</f>
        <v/>
      </c>
      <c r="P1525">
        <f>IFERROR(VLOOKUP(C1525,Customers!$A:$C,3,FALSE()),"")</f>
        <v>56</v>
      </c>
      <c r="Q1525" t="str">
        <f t="shared" si="23"/>
        <v>Nov-24</v>
      </c>
      <c r="R1525">
        <f>IFERROR((VLOOKUP(D1525,Products!$A:$E,5,FALSE())-VLOOKUP(D1525,Products!$A:$E,4,FALSE()))/VLOOKUP(D1525,Products!$A:$E,5,FALSE()),"")</f>
        <v>0.2593939393939394</v>
      </c>
    </row>
    <row r="1526" spans="1:18" x14ac:dyDescent="0.3">
      <c r="A1526" s="22" t="s">
        <v>3530</v>
      </c>
      <c r="B1526" s="23">
        <v>45397</v>
      </c>
      <c r="C1526" s="22" t="s">
        <v>422</v>
      </c>
      <c r="D1526" s="22" t="s">
        <v>275</v>
      </c>
      <c r="E1526" s="22" t="s">
        <v>3531</v>
      </c>
      <c r="F1526" s="24">
        <v>2</v>
      </c>
      <c r="G1526" s="24">
        <v>3780</v>
      </c>
      <c r="H1526" s="24">
        <v>1</v>
      </c>
      <c r="I1526" s="24">
        <v>7484.4</v>
      </c>
      <c r="J1526" s="22" t="s">
        <v>164</v>
      </c>
      <c r="K1526" s="22" t="s">
        <v>105</v>
      </c>
      <c r="L1526" t="str">
        <f>VLOOKUP(D1526,Products!A:F,3,FALSE())</f>
        <v>Grocery</v>
      </c>
      <c r="M1526" t="str">
        <f>VLOOKUP(C1526,Customers!A:F,5,FALSE())</f>
        <v>Retail</v>
      </c>
      <c r="O1526" t="str">
        <f>IFERROR(VLOOKUP(E1526,Sales_Reps!$A:$C,3,FALSE()),"")</f>
        <v/>
      </c>
      <c r="P1526">
        <f>IFERROR(VLOOKUP(C1526,Customers!$A:$C,3,FALSE()),"")</f>
        <v>25</v>
      </c>
      <c r="Q1526" t="str">
        <f t="shared" si="23"/>
        <v>Apr-24</v>
      </c>
      <c r="R1526">
        <f>IFERROR((VLOOKUP(D1526,Products!$A:$E,5,FALSE())-VLOOKUP(D1526,Products!$A:$E,4,FALSE()))/VLOOKUP(D1526,Products!$A:$E,5,FALSE()),"")</f>
        <v>0.35555555555555557</v>
      </c>
    </row>
    <row r="1527" spans="1:18" x14ac:dyDescent="0.3">
      <c r="A1527" s="22" t="s">
        <v>3532</v>
      </c>
      <c r="B1527" s="23">
        <v>45417</v>
      </c>
      <c r="C1527" s="22" t="s">
        <v>584</v>
      </c>
      <c r="D1527" s="22" t="s">
        <v>419</v>
      </c>
      <c r="E1527" s="22" t="s">
        <v>3533</v>
      </c>
      <c r="F1527" s="24">
        <v>5</v>
      </c>
      <c r="G1527" s="24">
        <v>2210</v>
      </c>
      <c r="H1527" s="24">
        <v>16.600000000000001</v>
      </c>
      <c r="I1527" s="24">
        <v>9215.7000000000007</v>
      </c>
      <c r="J1527" s="22" t="s">
        <v>104</v>
      </c>
      <c r="K1527" s="22" t="s">
        <v>129</v>
      </c>
      <c r="L1527" t="str">
        <f>VLOOKUP(D1527,Products!A:F,3,FALSE())</f>
        <v>Grocery</v>
      </c>
      <c r="M1527" t="str">
        <f>VLOOKUP(C1527,Customers!A:F,5,FALSE())</f>
        <v>Retail</v>
      </c>
      <c r="O1527" t="str">
        <f>IFERROR(VLOOKUP(E1527,Sales_Reps!$A:$C,3,FALSE()),"")</f>
        <v/>
      </c>
      <c r="P1527">
        <f>IFERROR(VLOOKUP(C1527,Customers!$A:$C,3,FALSE()),"")</f>
        <v>41</v>
      </c>
      <c r="Q1527" t="str">
        <f t="shared" si="23"/>
        <v>May-24</v>
      </c>
      <c r="R1527">
        <f>IFERROR((VLOOKUP(D1527,Products!$A:$E,5,FALSE())-VLOOKUP(D1527,Products!$A:$E,4,FALSE()))/VLOOKUP(D1527,Products!$A:$E,5,FALSE()),"")</f>
        <v>0.54298642533936647</v>
      </c>
    </row>
    <row r="1528" spans="1:18" x14ac:dyDescent="0.3">
      <c r="A1528" s="22" t="s">
        <v>3534</v>
      </c>
      <c r="B1528" s="23">
        <v>45487</v>
      </c>
      <c r="C1528" s="22" t="s">
        <v>928</v>
      </c>
      <c r="D1528" s="22" t="s">
        <v>695</v>
      </c>
      <c r="E1528" s="22" t="s">
        <v>3535</v>
      </c>
      <c r="F1528" s="24">
        <v>10</v>
      </c>
      <c r="G1528" s="24">
        <v>6940</v>
      </c>
      <c r="H1528" s="24">
        <v>10.6</v>
      </c>
      <c r="I1528" s="24">
        <v>62043.6</v>
      </c>
      <c r="J1528" s="22" t="s">
        <v>104</v>
      </c>
      <c r="K1528" s="22" t="s">
        <v>151</v>
      </c>
      <c r="L1528" t="str">
        <f>VLOOKUP(D1528,Products!A:F,3,FALSE())</f>
        <v>Sports</v>
      </c>
      <c r="M1528" t="str">
        <f>VLOOKUP(C1528,Customers!A:F,5,FALSE())</f>
        <v>Retail</v>
      </c>
      <c r="O1528" t="str">
        <f>IFERROR(VLOOKUP(E1528,Sales_Reps!$A:$C,3,FALSE()),"")</f>
        <v/>
      </c>
      <c r="P1528">
        <f>IFERROR(VLOOKUP(C1528,Customers!$A:$C,3,FALSE()),"")</f>
        <v>27</v>
      </c>
      <c r="Q1528" t="str">
        <f t="shared" si="23"/>
        <v>Jul-24</v>
      </c>
      <c r="R1528">
        <f>IFERROR((VLOOKUP(D1528,Products!$A:$E,5,FALSE())-VLOOKUP(D1528,Products!$A:$E,4,FALSE()))/VLOOKUP(D1528,Products!$A:$E,5,FALSE()),"")</f>
        <v>0.5926512968299712</v>
      </c>
    </row>
    <row r="1529" spans="1:18" x14ac:dyDescent="0.3">
      <c r="A1529" s="22" t="s">
        <v>3536</v>
      </c>
      <c r="B1529" s="23">
        <v>45454</v>
      </c>
      <c r="C1529" s="22" t="s">
        <v>462</v>
      </c>
      <c r="D1529" s="22" t="s">
        <v>488</v>
      </c>
      <c r="E1529" s="22" t="s">
        <v>3537</v>
      </c>
      <c r="F1529" s="24">
        <v>8</v>
      </c>
      <c r="G1529" s="24">
        <v>2290</v>
      </c>
      <c r="H1529" s="24">
        <v>12.2</v>
      </c>
      <c r="I1529" s="24">
        <v>16084.96</v>
      </c>
      <c r="J1529" s="22" t="s">
        <v>104</v>
      </c>
      <c r="K1529" s="22" t="s">
        <v>111</v>
      </c>
      <c r="L1529" t="str">
        <f>VLOOKUP(D1529,Products!A:F,3,FALSE())</f>
        <v>Beauty</v>
      </c>
      <c r="M1529" t="str">
        <f>VLOOKUP(C1529,Customers!A:F,5,FALSE())</f>
        <v>SMB</v>
      </c>
      <c r="O1529" t="str">
        <f>IFERROR(VLOOKUP(E1529,Sales_Reps!$A:$C,3,FALSE()),"")</f>
        <v/>
      </c>
      <c r="P1529">
        <f>IFERROR(VLOOKUP(C1529,Customers!$A:$C,3,FALSE()),"")</f>
        <v>62</v>
      </c>
      <c r="Q1529" t="str">
        <f t="shared" si="23"/>
        <v>Jun-24</v>
      </c>
      <c r="R1529">
        <f>IFERROR((VLOOKUP(D1529,Products!$A:$E,5,FALSE())-VLOOKUP(D1529,Products!$A:$E,4,FALSE()))/VLOOKUP(D1529,Products!$A:$E,5,FALSE()),"")</f>
        <v>0.46768558951965067</v>
      </c>
    </row>
    <row r="1530" spans="1:18" x14ac:dyDescent="0.3">
      <c r="A1530" s="22" t="s">
        <v>3538</v>
      </c>
      <c r="B1530" s="23">
        <v>45529</v>
      </c>
      <c r="C1530" s="22" t="s">
        <v>425</v>
      </c>
      <c r="D1530" s="22" t="s">
        <v>356</v>
      </c>
      <c r="E1530" s="22" t="s">
        <v>3539</v>
      </c>
      <c r="F1530" s="24">
        <v>5</v>
      </c>
      <c r="G1530" s="24">
        <v>2030</v>
      </c>
      <c r="H1530" s="24">
        <v>23.8</v>
      </c>
      <c r="I1530" s="24">
        <v>7734.3</v>
      </c>
      <c r="J1530" s="22" t="s">
        <v>159</v>
      </c>
      <c r="K1530" s="22" t="s">
        <v>111</v>
      </c>
      <c r="L1530" t="str">
        <f>VLOOKUP(D1530,Products!A:F,3,FALSE())</f>
        <v>Home</v>
      </c>
      <c r="M1530" t="str">
        <f>VLOOKUP(C1530,Customers!A:F,5,FALSE())</f>
        <v>Retail</v>
      </c>
      <c r="O1530" t="str">
        <f>IFERROR(VLOOKUP(E1530,Sales_Reps!$A:$C,3,FALSE()),"")</f>
        <v/>
      </c>
      <c r="P1530">
        <f>IFERROR(VLOOKUP(C1530,Customers!$A:$C,3,FALSE()),"")</f>
        <v>26</v>
      </c>
      <c r="Q1530" t="str">
        <f t="shared" si="23"/>
        <v>Aug-24</v>
      </c>
      <c r="R1530">
        <f>IFERROR((VLOOKUP(D1530,Products!$A:$E,5,FALSE())-VLOOKUP(D1530,Products!$A:$E,4,FALSE()))/VLOOKUP(D1530,Products!$A:$E,5,FALSE()),"")</f>
        <v>0.43694581280788175</v>
      </c>
    </row>
    <row r="1531" spans="1:18" x14ac:dyDescent="0.3">
      <c r="A1531" s="22" t="s">
        <v>3540</v>
      </c>
      <c r="B1531" s="23">
        <v>45546</v>
      </c>
      <c r="C1531" s="22" t="s">
        <v>573</v>
      </c>
      <c r="D1531" s="22" t="s">
        <v>521</v>
      </c>
      <c r="E1531" s="22" t="s">
        <v>3541</v>
      </c>
      <c r="F1531" s="24">
        <v>3</v>
      </c>
      <c r="G1531" s="24">
        <v>3970</v>
      </c>
      <c r="H1531" s="24">
        <v>7.7</v>
      </c>
      <c r="I1531" s="24">
        <v>10992.93</v>
      </c>
      <c r="J1531" s="22" t="s">
        <v>104</v>
      </c>
      <c r="K1531" s="22" t="s">
        <v>105</v>
      </c>
      <c r="L1531" t="str">
        <f>VLOOKUP(D1531,Products!A:F,3,FALSE())</f>
        <v>Electronics</v>
      </c>
      <c r="M1531" t="str">
        <f>VLOOKUP(C1531,Customers!A:F,5,FALSE())</f>
        <v>SMB</v>
      </c>
      <c r="O1531" t="str">
        <f>IFERROR(VLOOKUP(E1531,Sales_Reps!$A:$C,3,FALSE()),"")</f>
        <v/>
      </c>
      <c r="P1531">
        <f>IFERROR(VLOOKUP(C1531,Customers!$A:$C,3,FALSE()),"")</f>
        <v>30</v>
      </c>
      <c r="Q1531" t="str">
        <f t="shared" si="23"/>
        <v>Sep-24</v>
      </c>
      <c r="R1531">
        <f>IFERROR((VLOOKUP(D1531,Products!$A:$E,5,FALSE())-VLOOKUP(D1531,Products!$A:$E,4,FALSE()))/VLOOKUP(D1531,Products!$A:$E,5,FALSE()),"")</f>
        <v>0.27833753148614609</v>
      </c>
    </row>
    <row r="1532" spans="1:18" x14ac:dyDescent="0.3">
      <c r="A1532" s="22" t="s">
        <v>3542</v>
      </c>
      <c r="B1532" s="23">
        <v>45481</v>
      </c>
      <c r="C1532" s="22" t="s">
        <v>1027</v>
      </c>
      <c r="D1532" s="22" t="s">
        <v>108</v>
      </c>
      <c r="E1532" s="22" t="s">
        <v>3543</v>
      </c>
      <c r="F1532" s="24">
        <v>1</v>
      </c>
      <c r="G1532" s="24">
        <v>820</v>
      </c>
      <c r="H1532" s="24">
        <v>5.4</v>
      </c>
      <c r="I1532" s="24">
        <v>775.72</v>
      </c>
      <c r="J1532" s="22" t="s">
        <v>104</v>
      </c>
      <c r="K1532" s="22" t="s">
        <v>129</v>
      </c>
      <c r="L1532" t="str">
        <f>VLOOKUP(D1532,Products!A:F,3,FALSE())</f>
        <v>Apparel</v>
      </c>
      <c r="M1532" t="str">
        <f>VLOOKUP(C1532,Customers!A:F,5,FALSE())</f>
        <v>Corporate</v>
      </c>
      <c r="O1532" t="str">
        <f>IFERROR(VLOOKUP(E1532,Sales_Reps!$A:$C,3,FALSE()),"")</f>
        <v/>
      </c>
      <c r="P1532">
        <f>IFERROR(VLOOKUP(C1532,Customers!$A:$C,3,FALSE()),"")</f>
        <v>51</v>
      </c>
      <c r="Q1532" t="str">
        <f t="shared" si="23"/>
        <v>Jul-24</v>
      </c>
      <c r="R1532">
        <f>IFERROR((VLOOKUP(D1532,Products!$A:$E,5,FALSE())-VLOOKUP(D1532,Products!$A:$E,4,FALSE()))/VLOOKUP(D1532,Products!$A:$E,5,FALSE()),"")</f>
        <v>0.52317073170731709</v>
      </c>
    </row>
    <row r="1533" spans="1:18" x14ac:dyDescent="0.3">
      <c r="A1533" s="22" t="s">
        <v>3544</v>
      </c>
      <c r="B1533" s="23">
        <v>45472</v>
      </c>
      <c r="C1533" s="22" t="s">
        <v>395</v>
      </c>
      <c r="D1533" s="22" t="s">
        <v>293</v>
      </c>
      <c r="E1533" s="22" t="s">
        <v>3545</v>
      </c>
      <c r="F1533" s="24">
        <v>3</v>
      </c>
      <c r="G1533" s="24">
        <v>3870</v>
      </c>
      <c r="H1533" s="24">
        <v>1.9</v>
      </c>
      <c r="I1533" s="24">
        <v>11389.41</v>
      </c>
      <c r="J1533" s="22" t="s">
        <v>104</v>
      </c>
      <c r="K1533" s="22" t="s">
        <v>116</v>
      </c>
      <c r="L1533" t="str">
        <f>VLOOKUP(D1533,Products!A:F,3,FALSE())</f>
        <v>Electronics</v>
      </c>
      <c r="M1533" t="str">
        <f>VLOOKUP(C1533,Customers!A:F,5,FALSE())</f>
        <v>Retail</v>
      </c>
      <c r="O1533" t="str">
        <f>IFERROR(VLOOKUP(E1533,Sales_Reps!$A:$C,3,FALSE()),"")</f>
        <v/>
      </c>
      <c r="P1533">
        <f>IFERROR(VLOOKUP(C1533,Customers!$A:$C,3,FALSE()),"")</f>
        <v>31</v>
      </c>
      <c r="Q1533" t="str">
        <f t="shared" si="23"/>
        <v>Jun-24</v>
      </c>
      <c r="R1533">
        <f>IFERROR((VLOOKUP(D1533,Products!$A:$E,5,FALSE())-VLOOKUP(D1533,Products!$A:$E,4,FALSE()))/VLOOKUP(D1533,Products!$A:$E,5,FALSE()),"")</f>
        <v>0.59715762273901807</v>
      </c>
    </row>
    <row r="1534" spans="1:18" x14ac:dyDescent="0.3">
      <c r="A1534" s="22" t="s">
        <v>3546</v>
      </c>
      <c r="B1534" s="23">
        <v>45296</v>
      </c>
      <c r="C1534" s="22" t="s">
        <v>716</v>
      </c>
      <c r="D1534" s="22" t="s">
        <v>145</v>
      </c>
      <c r="E1534" s="22" t="s">
        <v>3547</v>
      </c>
      <c r="F1534" s="24">
        <v>6</v>
      </c>
      <c r="G1534" s="24">
        <v>970</v>
      </c>
      <c r="H1534" s="24">
        <v>27.1</v>
      </c>
      <c r="I1534" s="24">
        <v>4242.78</v>
      </c>
      <c r="J1534" s="22" t="s">
        <v>104</v>
      </c>
      <c r="K1534" s="22" t="s">
        <v>129</v>
      </c>
      <c r="L1534" t="str">
        <f>VLOOKUP(D1534,Products!A:F,3,FALSE())</f>
        <v>Grocery</v>
      </c>
      <c r="M1534" t="str">
        <f>VLOOKUP(C1534,Customers!A:F,5,FALSE())</f>
        <v>Retail</v>
      </c>
      <c r="O1534" t="str">
        <f>IFERROR(VLOOKUP(E1534,Sales_Reps!$A:$C,3,FALSE()),"")</f>
        <v/>
      </c>
      <c r="P1534">
        <f>IFERROR(VLOOKUP(C1534,Customers!$A:$C,3,FALSE()),"")</f>
        <v>44</v>
      </c>
      <c r="Q1534" t="str">
        <f t="shared" si="23"/>
        <v>Jan-24</v>
      </c>
      <c r="R1534">
        <f>IFERROR((VLOOKUP(D1534,Products!$A:$E,5,FALSE())-VLOOKUP(D1534,Products!$A:$E,4,FALSE()))/VLOOKUP(D1534,Products!$A:$E,5,FALSE()),"")</f>
        <v>0.5525773195876289</v>
      </c>
    </row>
    <row r="1535" spans="1:18" x14ac:dyDescent="0.3">
      <c r="A1535" s="22" t="s">
        <v>3548</v>
      </c>
      <c r="B1535" s="23">
        <v>45567</v>
      </c>
      <c r="C1535" s="22" t="s">
        <v>355</v>
      </c>
      <c r="D1535" s="22" t="s">
        <v>212</v>
      </c>
      <c r="E1535" s="22" t="s">
        <v>3549</v>
      </c>
      <c r="F1535" s="24">
        <v>1</v>
      </c>
      <c r="G1535" s="24">
        <v>4880</v>
      </c>
      <c r="H1535" s="24">
        <v>26.8</v>
      </c>
      <c r="I1535" s="24">
        <v>3572.16</v>
      </c>
      <c r="J1535" s="22" t="s">
        <v>104</v>
      </c>
      <c r="K1535" s="22" t="s">
        <v>151</v>
      </c>
      <c r="L1535" t="str">
        <f>VLOOKUP(D1535,Products!A:F,3,FALSE())</f>
        <v>Beauty</v>
      </c>
      <c r="M1535" t="str">
        <f>VLOOKUP(C1535,Customers!A:F,5,FALSE())</f>
        <v>SMB</v>
      </c>
      <c r="O1535" t="str">
        <f>IFERROR(VLOOKUP(E1535,Sales_Reps!$A:$C,3,FALSE()),"")</f>
        <v/>
      </c>
      <c r="P1535">
        <f>IFERROR(VLOOKUP(C1535,Customers!$A:$C,3,FALSE()),"")</f>
        <v>43</v>
      </c>
      <c r="Q1535" t="str">
        <f t="shared" si="23"/>
        <v>Oct-24</v>
      </c>
      <c r="R1535">
        <f>IFERROR((VLOOKUP(D1535,Products!$A:$E,5,FALSE())-VLOOKUP(D1535,Products!$A:$E,4,FALSE()))/VLOOKUP(D1535,Products!$A:$E,5,FALSE()),"")</f>
        <v>0.43278688524590164</v>
      </c>
    </row>
    <row r="1536" spans="1:18" x14ac:dyDescent="0.3">
      <c r="A1536" s="22" t="s">
        <v>3550</v>
      </c>
      <c r="B1536" s="23">
        <v>45337</v>
      </c>
      <c r="C1536" s="22" t="s">
        <v>1253</v>
      </c>
      <c r="D1536" s="22" t="s">
        <v>289</v>
      </c>
      <c r="E1536" s="22" t="s">
        <v>3551</v>
      </c>
      <c r="F1536" s="24">
        <v>1</v>
      </c>
      <c r="G1536" s="24">
        <v>2270</v>
      </c>
      <c r="H1536" s="24">
        <v>22.2</v>
      </c>
      <c r="I1536" s="24">
        <v>1766.06</v>
      </c>
      <c r="J1536" s="22" t="s">
        <v>104</v>
      </c>
      <c r="K1536" s="22" t="s">
        <v>134</v>
      </c>
      <c r="L1536" t="str">
        <f>VLOOKUP(D1536,Products!A:F,3,FALSE())</f>
        <v>Grocery</v>
      </c>
      <c r="M1536" t="str">
        <f>VLOOKUP(C1536,Customers!A:F,5,FALSE())</f>
        <v>Corporate</v>
      </c>
      <c r="O1536" t="str">
        <f>IFERROR(VLOOKUP(E1536,Sales_Reps!$A:$C,3,FALSE()),"")</f>
        <v/>
      </c>
      <c r="P1536">
        <f>IFERROR(VLOOKUP(C1536,Customers!$A:$C,3,FALSE()),"")</f>
        <v>41</v>
      </c>
      <c r="Q1536" t="str">
        <f t="shared" si="23"/>
        <v>Feb-24</v>
      </c>
      <c r="R1536">
        <f>IFERROR((VLOOKUP(D1536,Products!$A:$E,5,FALSE())-VLOOKUP(D1536,Products!$A:$E,4,FALSE()))/VLOOKUP(D1536,Products!$A:$E,5,FALSE()),"")</f>
        <v>0.37797356828193834</v>
      </c>
    </row>
    <row r="1537" spans="1:18" x14ac:dyDescent="0.3">
      <c r="A1537" s="22" t="s">
        <v>3552</v>
      </c>
      <c r="B1537" s="23">
        <v>45376</v>
      </c>
      <c r="C1537" s="22" t="s">
        <v>174</v>
      </c>
      <c r="D1537" s="22" t="s">
        <v>178</v>
      </c>
      <c r="E1537" s="22" t="s">
        <v>3553</v>
      </c>
      <c r="F1537" s="24">
        <v>10</v>
      </c>
      <c r="G1537" s="24">
        <v>3450</v>
      </c>
      <c r="H1537" s="24">
        <v>21.9</v>
      </c>
      <c r="I1537" s="24">
        <v>26944.5</v>
      </c>
      <c r="J1537" s="22" t="s">
        <v>104</v>
      </c>
      <c r="K1537" s="22" t="s">
        <v>134</v>
      </c>
      <c r="L1537" t="str">
        <f>VLOOKUP(D1537,Products!A:F,3,FALSE())</f>
        <v>Beauty</v>
      </c>
      <c r="M1537" t="str">
        <f>VLOOKUP(C1537,Customers!A:F,5,FALSE())</f>
        <v>SMB</v>
      </c>
      <c r="O1537" t="str">
        <f>IFERROR(VLOOKUP(E1537,Sales_Reps!$A:$C,3,FALSE()),"")</f>
        <v/>
      </c>
      <c r="P1537">
        <f>IFERROR(VLOOKUP(C1537,Customers!$A:$C,3,FALSE()),"")</f>
        <v>46</v>
      </c>
      <c r="Q1537" t="str">
        <f t="shared" si="23"/>
        <v>Mar-24</v>
      </c>
      <c r="R1537">
        <f>IFERROR((VLOOKUP(D1537,Products!$A:$E,5,FALSE())-VLOOKUP(D1537,Products!$A:$E,4,FALSE()))/VLOOKUP(D1537,Products!$A:$E,5,FALSE()),"")</f>
        <v>0.29855072463768118</v>
      </c>
    </row>
    <row r="1538" spans="1:18" x14ac:dyDescent="0.3">
      <c r="A1538" s="22" t="s">
        <v>3554</v>
      </c>
      <c r="B1538" s="23">
        <v>45616</v>
      </c>
      <c r="C1538" s="22" t="s">
        <v>769</v>
      </c>
      <c r="D1538" s="22" t="s">
        <v>289</v>
      </c>
      <c r="E1538" s="22" t="s">
        <v>3555</v>
      </c>
      <c r="F1538" s="24">
        <v>3</v>
      </c>
      <c r="G1538" s="24">
        <v>2270</v>
      </c>
      <c r="H1538" s="24">
        <v>19.100000000000001</v>
      </c>
      <c r="I1538" s="24">
        <v>5509.29</v>
      </c>
      <c r="J1538" s="22" t="s">
        <v>159</v>
      </c>
      <c r="K1538" s="22" t="s">
        <v>151</v>
      </c>
      <c r="L1538" t="str">
        <f>VLOOKUP(D1538,Products!A:F,3,FALSE())</f>
        <v>Grocery</v>
      </c>
      <c r="M1538" t="str">
        <f>VLOOKUP(C1538,Customers!A:F,5,FALSE())</f>
        <v>SMB</v>
      </c>
      <c r="O1538" t="str">
        <f>IFERROR(VLOOKUP(E1538,Sales_Reps!$A:$C,3,FALSE()),"")</f>
        <v/>
      </c>
      <c r="P1538">
        <f>IFERROR(VLOOKUP(C1538,Customers!$A:$C,3,FALSE()),"")</f>
        <v>43</v>
      </c>
      <c r="Q1538" t="str">
        <f t="shared" ref="Q1538:Q1601" si="24">TEXT(B1538,"mmm-yy")</f>
        <v>Nov-24</v>
      </c>
      <c r="R1538">
        <f>IFERROR((VLOOKUP(D1538,Products!$A:$E,5,FALSE())-VLOOKUP(D1538,Products!$A:$E,4,FALSE()))/VLOOKUP(D1538,Products!$A:$E,5,FALSE()),"")</f>
        <v>0.37797356828193834</v>
      </c>
    </row>
    <row r="1539" spans="1:18" x14ac:dyDescent="0.3">
      <c r="A1539" s="22" t="s">
        <v>3556</v>
      </c>
      <c r="B1539" s="23">
        <v>45360</v>
      </c>
      <c r="C1539" s="22" t="s">
        <v>1396</v>
      </c>
      <c r="D1539" s="22" t="s">
        <v>419</v>
      </c>
      <c r="E1539" s="22" t="s">
        <v>3557</v>
      </c>
      <c r="F1539" s="24">
        <v>10</v>
      </c>
      <c r="G1539" s="24">
        <v>2210</v>
      </c>
      <c r="H1539" s="24">
        <v>22.3</v>
      </c>
      <c r="I1539" s="24">
        <v>17171.7</v>
      </c>
      <c r="J1539" s="22" t="s">
        <v>104</v>
      </c>
      <c r="K1539" s="22" t="s">
        <v>134</v>
      </c>
      <c r="L1539" t="str">
        <f>VLOOKUP(D1539,Products!A:F,3,FALSE())</f>
        <v>Grocery</v>
      </c>
      <c r="M1539" t="str">
        <f>VLOOKUP(C1539,Customers!A:F,5,FALSE())</f>
        <v>Retail</v>
      </c>
      <c r="O1539" t="str">
        <f>IFERROR(VLOOKUP(E1539,Sales_Reps!$A:$C,3,FALSE()),"")</f>
        <v/>
      </c>
      <c r="P1539">
        <f>IFERROR(VLOOKUP(C1539,Customers!$A:$C,3,FALSE()),"")</f>
        <v>28</v>
      </c>
      <c r="Q1539" t="str">
        <f t="shared" si="24"/>
        <v>Mar-24</v>
      </c>
      <c r="R1539">
        <f>IFERROR((VLOOKUP(D1539,Products!$A:$E,5,FALSE())-VLOOKUP(D1539,Products!$A:$E,4,FALSE()))/VLOOKUP(D1539,Products!$A:$E,5,FALSE()),"")</f>
        <v>0.54298642533936647</v>
      </c>
    </row>
    <row r="1540" spans="1:18" x14ac:dyDescent="0.3">
      <c r="A1540" s="22" t="s">
        <v>3558</v>
      </c>
      <c r="B1540" s="23">
        <v>45465</v>
      </c>
      <c r="C1540" s="22" t="s">
        <v>626</v>
      </c>
      <c r="D1540" s="22" t="s">
        <v>356</v>
      </c>
      <c r="E1540" s="22" t="s">
        <v>3559</v>
      </c>
      <c r="F1540" s="24">
        <v>9</v>
      </c>
      <c r="G1540" s="24">
        <v>2030</v>
      </c>
      <c r="H1540" s="24">
        <v>24.8</v>
      </c>
      <c r="I1540" s="24">
        <v>13739.04</v>
      </c>
      <c r="J1540" s="22" t="s">
        <v>104</v>
      </c>
      <c r="K1540" s="22" t="s">
        <v>116</v>
      </c>
      <c r="L1540" t="str">
        <f>VLOOKUP(D1540,Products!A:F,3,FALSE())</f>
        <v>Home</v>
      </c>
      <c r="M1540" t="str">
        <f>VLOOKUP(C1540,Customers!A:F,5,FALSE())</f>
        <v>SMB</v>
      </c>
      <c r="O1540" t="str">
        <f>IFERROR(VLOOKUP(E1540,Sales_Reps!$A:$C,3,FALSE()),"")</f>
        <v/>
      </c>
      <c r="P1540">
        <f>IFERROR(VLOOKUP(C1540,Customers!$A:$C,3,FALSE()),"")</f>
        <v>59</v>
      </c>
      <c r="Q1540" t="str">
        <f t="shared" si="24"/>
        <v>Jun-24</v>
      </c>
      <c r="R1540">
        <f>IFERROR((VLOOKUP(D1540,Products!$A:$E,5,FALSE())-VLOOKUP(D1540,Products!$A:$E,4,FALSE()))/VLOOKUP(D1540,Products!$A:$E,5,FALSE()),"")</f>
        <v>0.43694581280788175</v>
      </c>
    </row>
    <row r="1541" spans="1:18" x14ac:dyDescent="0.3">
      <c r="A1541" s="22" t="s">
        <v>3560</v>
      </c>
      <c r="B1541" s="23">
        <v>45380</v>
      </c>
      <c r="C1541" s="22" t="s">
        <v>491</v>
      </c>
      <c r="D1541" s="22" t="s">
        <v>205</v>
      </c>
      <c r="E1541" s="22" t="s">
        <v>3561</v>
      </c>
      <c r="F1541" s="24">
        <v>5</v>
      </c>
      <c r="G1541" s="24">
        <v>3350</v>
      </c>
      <c r="H1541" s="24">
        <v>18.2</v>
      </c>
      <c r="I1541" s="24">
        <v>13701.5</v>
      </c>
      <c r="J1541" s="22" t="s">
        <v>104</v>
      </c>
      <c r="K1541" s="22" t="s">
        <v>151</v>
      </c>
      <c r="L1541" t="str">
        <f>VLOOKUP(D1541,Products!A:F,3,FALSE())</f>
        <v>Beauty</v>
      </c>
      <c r="M1541" t="str">
        <f>VLOOKUP(C1541,Customers!A:F,5,FALSE())</f>
        <v>Retail</v>
      </c>
      <c r="O1541" t="str">
        <f>IFERROR(VLOOKUP(E1541,Sales_Reps!$A:$C,3,FALSE()),"")</f>
        <v/>
      </c>
      <c r="P1541">
        <f>IFERROR(VLOOKUP(C1541,Customers!$A:$C,3,FALSE()),"")</f>
        <v>44</v>
      </c>
      <c r="Q1541" t="str">
        <f t="shared" si="24"/>
        <v>Mar-24</v>
      </c>
      <c r="R1541">
        <f>IFERROR((VLOOKUP(D1541,Products!$A:$E,5,FALSE())-VLOOKUP(D1541,Products!$A:$E,4,FALSE()))/VLOOKUP(D1541,Products!$A:$E,5,FALSE()),"")</f>
        <v>0.48417910447761192</v>
      </c>
    </row>
    <row r="1542" spans="1:18" x14ac:dyDescent="0.3">
      <c r="A1542" s="22" t="s">
        <v>3562</v>
      </c>
      <c r="B1542" s="23">
        <v>45358</v>
      </c>
      <c r="C1542" s="22" t="s">
        <v>2755</v>
      </c>
      <c r="D1542" s="22" t="s">
        <v>279</v>
      </c>
      <c r="E1542" s="22" t="s">
        <v>3563</v>
      </c>
      <c r="F1542" s="24">
        <v>7</v>
      </c>
      <c r="G1542" s="24">
        <v>3640</v>
      </c>
      <c r="H1542" s="24">
        <v>14.4</v>
      </c>
      <c r="I1542" s="24">
        <v>21810.880000000001</v>
      </c>
      <c r="J1542" s="22" t="s">
        <v>104</v>
      </c>
      <c r="K1542" s="22" t="s">
        <v>111</v>
      </c>
      <c r="L1542" t="str">
        <f>VLOOKUP(D1542,Products!A:F,3,FALSE())</f>
        <v>Apparel</v>
      </c>
      <c r="M1542" t="str">
        <f>VLOOKUP(C1542,Customers!A:F,5,FALSE())</f>
        <v>Retail</v>
      </c>
      <c r="O1542" t="str">
        <f>IFERROR(VLOOKUP(E1542,Sales_Reps!$A:$C,3,FALSE()),"")</f>
        <v/>
      </c>
      <c r="P1542">
        <f>IFERROR(VLOOKUP(C1542,Customers!$A:$C,3,FALSE()),"")</f>
        <v>35</v>
      </c>
      <c r="Q1542" t="str">
        <f t="shared" si="24"/>
        <v>Mar-24</v>
      </c>
      <c r="R1542">
        <f>IFERROR((VLOOKUP(D1542,Products!$A:$E,5,FALSE())-VLOOKUP(D1542,Products!$A:$E,4,FALSE()))/VLOOKUP(D1542,Products!$A:$E,5,FALSE()),"")</f>
        <v>0.28269230769230769</v>
      </c>
    </row>
    <row r="1543" spans="1:18" x14ac:dyDescent="0.3">
      <c r="A1543" s="22" t="s">
        <v>3564</v>
      </c>
      <c r="B1543" s="23">
        <v>45385</v>
      </c>
      <c r="C1543" s="22" t="s">
        <v>1362</v>
      </c>
      <c r="D1543" s="22" t="s">
        <v>182</v>
      </c>
      <c r="E1543" s="22" t="s">
        <v>3565</v>
      </c>
      <c r="F1543" s="24">
        <v>9</v>
      </c>
      <c r="G1543" s="24">
        <v>3450</v>
      </c>
      <c r="H1543" s="24">
        <v>20.100000000000001</v>
      </c>
      <c r="I1543" s="24">
        <v>24808.95</v>
      </c>
      <c r="J1543" s="22" t="s">
        <v>104</v>
      </c>
      <c r="K1543" s="22" t="s">
        <v>129</v>
      </c>
      <c r="L1543" t="str">
        <f>VLOOKUP(D1543,Products!A:F,3,FALSE())</f>
        <v>Sports</v>
      </c>
      <c r="M1543" t="str">
        <f>VLOOKUP(C1543,Customers!A:F,5,FALSE())</f>
        <v>Retail</v>
      </c>
      <c r="O1543" t="str">
        <f>IFERROR(VLOOKUP(E1543,Sales_Reps!$A:$C,3,FALSE()),"")</f>
        <v/>
      </c>
      <c r="P1543">
        <f>IFERROR(VLOOKUP(C1543,Customers!$A:$C,3,FALSE()),"")</f>
        <v>37</v>
      </c>
      <c r="Q1543" t="str">
        <f t="shared" si="24"/>
        <v>Apr-24</v>
      </c>
      <c r="R1543">
        <f>IFERROR((VLOOKUP(D1543,Products!$A:$E,5,FALSE())-VLOOKUP(D1543,Products!$A:$E,4,FALSE()))/VLOOKUP(D1543,Products!$A:$E,5,FALSE()),"")</f>
        <v>0.28492753623188405</v>
      </c>
    </row>
    <row r="1544" spans="1:18" x14ac:dyDescent="0.3">
      <c r="A1544" s="22" t="s">
        <v>3566</v>
      </c>
      <c r="B1544" s="23">
        <v>45443</v>
      </c>
      <c r="C1544" s="22" t="s">
        <v>1303</v>
      </c>
      <c r="D1544" s="22" t="s">
        <v>178</v>
      </c>
      <c r="E1544" s="22" t="s">
        <v>3567</v>
      </c>
      <c r="F1544" s="24">
        <v>6</v>
      </c>
      <c r="G1544" s="24">
        <v>3450</v>
      </c>
      <c r="H1544" s="24">
        <v>19.899999999999999</v>
      </c>
      <c r="I1544" s="24">
        <v>16580.7</v>
      </c>
      <c r="J1544" s="22" t="s">
        <v>110</v>
      </c>
      <c r="K1544" s="22" t="s">
        <v>116</v>
      </c>
      <c r="L1544" t="str">
        <f>VLOOKUP(D1544,Products!A:F,3,FALSE())</f>
        <v>Beauty</v>
      </c>
      <c r="M1544" t="str">
        <f>VLOOKUP(C1544,Customers!A:F,5,FALSE())</f>
        <v>SMB</v>
      </c>
      <c r="O1544" t="str">
        <f>IFERROR(VLOOKUP(E1544,Sales_Reps!$A:$C,3,FALSE()),"")</f>
        <v/>
      </c>
      <c r="P1544">
        <f>IFERROR(VLOOKUP(C1544,Customers!$A:$C,3,FALSE()),"")</f>
        <v>38</v>
      </c>
      <c r="Q1544" t="str">
        <f t="shared" si="24"/>
        <v>May-24</v>
      </c>
      <c r="R1544">
        <f>IFERROR((VLOOKUP(D1544,Products!$A:$E,5,FALSE())-VLOOKUP(D1544,Products!$A:$E,4,FALSE()))/VLOOKUP(D1544,Products!$A:$E,5,FALSE()),"")</f>
        <v>0.29855072463768118</v>
      </c>
    </row>
    <row r="1545" spans="1:18" x14ac:dyDescent="0.3">
      <c r="A1545" s="22" t="s">
        <v>3568</v>
      </c>
      <c r="B1545" s="23">
        <v>45599</v>
      </c>
      <c r="C1545" s="22" t="s">
        <v>208</v>
      </c>
      <c r="D1545" s="22" t="s">
        <v>488</v>
      </c>
      <c r="E1545" s="22" t="s">
        <v>3569</v>
      </c>
      <c r="F1545" s="24">
        <v>4</v>
      </c>
      <c r="G1545" s="24">
        <v>2290</v>
      </c>
      <c r="H1545" s="24">
        <v>4.8</v>
      </c>
      <c r="I1545" s="24">
        <v>8720.32</v>
      </c>
      <c r="J1545" s="22" t="s">
        <v>110</v>
      </c>
      <c r="K1545" s="22" t="s">
        <v>116</v>
      </c>
      <c r="L1545" t="str">
        <f>VLOOKUP(D1545,Products!A:F,3,FALSE())</f>
        <v>Beauty</v>
      </c>
      <c r="M1545" t="str">
        <f>VLOOKUP(C1545,Customers!A:F,5,FALSE())</f>
        <v>Retail</v>
      </c>
      <c r="O1545" t="str">
        <f>IFERROR(VLOOKUP(E1545,Sales_Reps!$A:$C,3,FALSE()),"")</f>
        <v/>
      </c>
      <c r="P1545">
        <f>IFERROR(VLOOKUP(C1545,Customers!$A:$C,3,FALSE()),"")</f>
        <v>31</v>
      </c>
      <c r="Q1545" t="str">
        <f t="shared" si="24"/>
        <v>Nov-24</v>
      </c>
      <c r="R1545">
        <f>IFERROR((VLOOKUP(D1545,Products!$A:$E,5,FALSE())-VLOOKUP(D1545,Products!$A:$E,4,FALSE()))/VLOOKUP(D1545,Products!$A:$E,5,FALSE()),"")</f>
        <v>0.46768558951965067</v>
      </c>
    </row>
    <row r="1546" spans="1:18" x14ac:dyDescent="0.3">
      <c r="A1546" s="22" t="s">
        <v>3570</v>
      </c>
      <c r="B1546" s="23">
        <v>45479</v>
      </c>
      <c r="C1546" s="22" t="s">
        <v>1002</v>
      </c>
      <c r="D1546" s="22" t="s">
        <v>132</v>
      </c>
      <c r="E1546" s="22" t="s">
        <v>3571</v>
      </c>
      <c r="F1546" s="24">
        <v>9</v>
      </c>
      <c r="G1546" s="24">
        <v>960</v>
      </c>
      <c r="H1546" s="24">
        <v>2.4</v>
      </c>
      <c r="I1546" s="24">
        <v>8432.64</v>
      </c>
      <c r="J1546" s="22" t="s">
        <v>104</v>
      </c>
      <c r="K1546" s="22" t="s">
        <v>151</v>
      </c>
      <c r="L1546" t="str">
        <f>VLOOKUP(D1546,Products!A:F,3,FALSE())</f>
        <v>Sports</v>
      </c>
      <c r="M1546" t="str">
        <f>VLOOKUP(C1546,Customers!A:F,5,FALSE())</f>
        <v>Retail</v>
      </c>
      <c r="O1546" t="str">
        <f>IFERROR(VLOOKUP(E1546,Sales_Reps!$A:$C,3,FALSE()),"")</f>
        <v/>
      </c>
      <c r="P1546">
        <f>IFERROR(VLOOKUP(C1546,Customers!$A:$C,3,FALSE()),"")</f>
        <v>65</v>
      </c>
      <c r="Q1546" t="str">
        <f t="shared" si="24"/>
        <v>Jul-24</v>
      </c>
      <c r="R1546">
        <f>IFERROR((VLOOKUP(D1546,Products!$A:$E,5,FALSE())-VLOOKUP(D1546,Products!$A:$E,4,FALSE()))/VLOOKUP(D1546,Products!$A:$E,5,FALSE()),"")</f>
        <v>0.265625</v>
      </c>
    </row>
    <row r="1547" spans="1:18" x14ac:dyDescent="0.3">
      <c r="A1547" s="22" t="s">
        <v>3572</v>
      </c>
      <c r="B1547" s="23">
        <v>45489</v>
      </c>
      <c r="C1547" s="22" t="s">
        <v>1049</v>
      </c>
      <c r="D1547" s="22" t="s">
        <v>323</v>
      </c>
      <c r="E1547" s="22" t="s">
        <v>3573</v>
      </c>
      <c r="F1547" s="24">
        <v>9</v>
      </c>
      <c r="G1547" s="24">
        <v>4610</v>
      </c>
      <c r="H1547" s="24">
        <v>21.3</v>
      </c>
      <c r="I1547" s="24">
        <v>32652.63</v>
      </c>
      <c r="J1547" s="22" t="s">
        <v>104</v>
      </c>
      <c r="K1547" s="22" t="s">
        <v>116</v>
      </c>
      <c r="L1547" t="str">
        <f>VLOOKUP(D1547,Products!A:F,3,FALSE())</f>
        <v>Home</v>
      </c>
      <c r="M1547" t="str">
        <f>VLOOKUP(C1547,Customers!A:F,5,FALSE())</f>
        <v>SMB</v>
      </c>
      <c r="O1547" t="str">
        <f>IFERROR(VLOOKUP(E1547,Sales_Reps!$A:$C,3,FALSE()),"")</f>
        <v/>
      </c>
      <c r="P1547">
        <f>IFERROR(VLOOKUP(C1547,Customers!$A:$C,3,FALSE()),"")</f>
        <v>26</v>
      </c>
      <c r="Q1547" t="str">
        <f t="shared" si="24"/>
        <v>Jul-24</v>
      </c>
      <c r="R1547">
        <f>IFERROR((VLOOKUP(D1547,Products!$A:$E,5,FALSE())-VLOOKUP(D1547,Products!$A:$E,4,FALSE()))/VLOOKUP(D1547,Products!$A:$E,5,FALSE()),"")</f>
        <v>0.59869848156182215</v>
      </c>
    </row>
    <row r="1548" spans="1:18" x14ac:dyDescent="0.3">
      <c r="A1548" s="22" t="s">
        <v>3574</v>
      </c>
      <c r="B1548" s="23">
        <v>45514</v>
      </c>
      <c r="C1548" s="22" t="s">
        <v>1672</v>
      </c>
      <c r="D1548" s="22" t="s">
        <v>119</v>
      </c>
      <c r="E1548" s="22" t="s">
        <v>3575</v>
      </c>
      <c r="F1548" s="24">
        <v>1</v>
      </c>
      <c r="G1548" s="24">
        <v>3660</v>
      </c>
      <c r="H1548" s="24">
        <v>15.6</v>
      </c>
      <c r="I1548" s="24">
        <v>3089.04</v>
      </c>
      <c r="J1548" s="22" t="s">
        <v>104</v>
      </c>
      <c r="K1548" s="22" t="s">
        <v>129</v>
      </c>
      <c r="L1548" t="str">
        <f>VLOOKUP(D1548,Products!A:F,3,FALSE())</f>
        <v>Grocery</v>
      </c>
      <c r="M1548" t="str">
        <f>VLOOKUP(C1548,Customers!A:F,5,FALSE())</f>
        <v>SMB</v>
      </c>
      <c r="O1548" t="str">
        <f>IFERROR(VLOOKUP(E1548,Sales_Reps!$A:$C,3,FALSE()),"")</f>
        <v/>
      </c>
      <c r="P1548">
        <f>IFERROR(VLOOKUP(C1548,Customers!$A:$C,3,FALSE()),"")</f>
        <v>53</v>
      </c>
      <c r="Q1548" t="str">
        <f t="shared" si="24"/>
        <v>Aug-24</v>
      </c>
      <c r="R1548">
        <f>IFERROR((VLOOKUP(D1548,Products!$A:$E,5,FALSE())-VLOOKUP(D1548,Products!$A:$E,4,FALSE()))/VLOOKUP(D1548,Products!$A:$E,5,FALSE()),"")</f>
        <v>0.39508196721311473</v>
      </c>
    </row>
    <row r="1549" spans="1:18" x14ac:dyDescent="0.3">
      <c r="A1549" s="22" t="s">
        <v>3576</v>
      </c>
      <c r="B1549" s="23">
        <v>45653</v>
      </c>
      <c r="C1549" s="22" t="s">
        <v>369</v>
      </c>
      <c r="D1549" s="22" t="s">
        <v>334</v>
      </c>
      <c r="E1549" s="22" t="s">
        <v>3577</v>
      </c>
      <c r="F1549" s="24">
        <v>5</v>
      </c>
      <c r="G1549" s="24">
        <v>2660</v>
      </c>
      <c r="H1549" s="24">
        <v>20.399999999999999</v>
      </c>
      <c r="I1549" s="24">
        <v>10586.8</v>
      </c>
      <c r="J1549" s="22" t="s">
        <v>104</v>
      </c>
      <c r="K1549" s="22" t="s">
        <v>151</v>
      </c>
      <c r="L1549" t="str">
        <f>VLOOKUP(D1549,Products!A:F,3,FALSE())</f>
        <v>Electronics</v>
      </c>
      <c r="M1549" t="str">
        <f>VLOOKUP(C1549,Customers!A:F,5,FALSE())</f>
        <v>Corporate</v>
      </c>
      <c r="O1549" t="str">
        <f>IFERROR(VLOOKUP(E1549,Sales_Reps!$A:$C,3,FALSE()),"")</f>
        <v/>
      </c>
      <c r="P1549">
        <f>IFERROR(VLOOKUP(C1549,Customers!$A:$C,3,FALSE()),"")</f>
        <v>46</v>
      </c>
      <c r="Q1549" t="str">
        <f t="shared" si="24"/>
        <v>Dec-24</v>
      </c>
      <c r="R1549">
        <f>IFERROR((VLOOKUP(D1549,Products!$A:$E,5,FALSE())-VLOOKUP(D1549,Products!$A:$E,4,FALSE()))/VLOOKUP(D1549,Products!$A:$E,5,FALSE()),"")</f>
        <v>0.52669172932330832</v>
      </c>
    </row>
    <row r="1550" spans="1:18" x14ac:dyDescent="0.3">
      <c r="A1550" s="22" t="s">
        <v>3578</v>
      </c>
      <c r="B1550" s="23">
        <v>45401</v>
      </c>
      <c r="C1550" s="22" t="s">
        <v>1303</v>
      </c>
      <c r="D1550" s="22" t="s">
        <v>308</v>
      </c>
      <c r="E1550" s="22" t="s">
        <v>3579</v>
      </c>
      <c r="F1550" s="24">
        <v>8</v>
      </c>
      <c r="G1550" s="24">
        <v>1540</v>
      </c>
      <c r="H1550" s="24">
        <v>0.5</v>
      </c>
      <c r="I1550" s="24">
        <v>12258.4</v>
      </c>
      <c r="J1550" s="22" t="s">
        <v>104</v>
      </c>
      <c r="K1550" s="22" t="s">
        <v>116</v>
      </c>
      <c r="L1550" t="str">
        <f>VLOOKUP(D1550,Products!A:F,3,FALSE())</f>
        <v>Beauty</v>
      </c>
      <c r="M1550" t="str">
        <f>VLOOKUP(C1550,Customers!A:F,5,FALSE())</f>
        <v>SMB</v>
      </c>
      <c r="O1550" t="str">
        <f>IFERROR(VLOOKUP(E1550,Sales_Reps!$A:$C,3,FALSE()),"")</f>
        <v/>
      </c>
      <c r="P1550">
        <f>IFERROR(VLOOKUP(C1550,Customers!$A:$C,3,FALSE()),"")</f>
        <v>38</v>
      </c>
      <c r="Q1550" t="str">
        <f t="shared" si="24"/>
        <v>Apr-24</v>
      </c>
      <c r="R1550">
        <f>IFERROR((VLOOKUP(D1550,Products!$A:$E,5,FALSE())-VLOOKUP(D1550,Products!$A:$E,4,FALSE()))/VLOOKUP(D1550,Products!$A:$E,5,FALSE()),"")</f>
        <v>0.57987012987012987</v>
      </c>
    </row>
    <row r="1551" spans="1:18" x14ac:dyDescent="0.3">
      <c r="A1551" s="22" t="s">
        <v>3580</v>
      </c>
      <c r="B1551" s="23">
        <v>45621</v>
      </c>
      <c r="C1551" s="22" t="s">
        <v>682</v>
      </c>
      <c r="D1551" s="22" t="s">
        <v>521</v>
      </c>
      <c r="E1551" s="22" t="s">
        <v>3581</v>
      </c>
      <c r="F1551" s="24">
        <v>4</v>
      </c>
      <c r="G1551" s="24">
        <v>3970</v>
      </c>
      <c r="H1551" s="24">
        <v>22.5</v>
      </c>
      <c r="I1551" s="24">
        <v>12307</v>
      </c>
      <c r="J1551" s="22" t="s">
        <v>104</v>
      </c>
      <c r="K1551" s="22" t="s">
        <v>105</v>
      </c>
      <c r="L1551" t="str">
        <f>VLOOKUP(D1551,Products!A:F,3,FALSE())</f>
        <v>Electronics</v>
      </c>
      <c r="M1551" t="str">
        <f>VLOOKUP(C1551,Customers!A:F,5,FALSE())</f>
        <v>Retail</v>
      </c>
      <c r="O1551" t="str">
        <f>IFERROR(VLOOKUP(E1551,Sales_Reps!$A:$C,3,FALSE()),"")</f>
        <v/>
      </c>
      <c r="P1551">
        <f>IFERROR(VLOOKUP(C1551,Customers!$A:$C,3,FALSE()),"")</f>
        <v>59</v>
      </c>
      <c r="Q1551" t="str">
        <f t="shared" si="24"/>
        <v>Nov-24</v>
      </c>
      <c r="R1551">
        <f>IFERROR((VLOOKUP(D1551,Products!$A:$E,5,FALSE())-VLOOKUP(D1551,Products!$A:$E,4,FALSE()))/VLOOKUP(D1551,Products!$A:$E,5,FALSE()),"")</f>
        <v>0.27833753148614609</v>
      </c>
    </row>
    <row r="1552" spans="1:18" x14ac:dyDescent="0.3">
      <c r="A1552" s="22" t="s">
        <v>3582</v>
      </c>
      <c r="B1552" s="23">
        <v>45368</v>
      </c>
      <c r="C1552" s="22" t="s">
        <v>462</v>
      </c>
      <c r="D1552" s="22" t="s">
        <v>605</v>
      </c>
      <c r="E1552" s="22" t="s">
        <v>3583</v>
      </c>
      <c r="F1552" s="24">
        <v>8</v>
      </c>
      <c r="G1552" s="24">
        <v>3780</v>
      </c>
      <c r="H1552" s="24">
        <v>3.8</v>
      </c>
      <c r="I1552" s="24">
        <v>29090.880000000001</v>
      </c>
      <c r="J1552" s="22" t="s">
        <v>104</v>
      </c>
      <c r="K1552" s="22" t="s">
        <v>111</v>
      </c>
      <c r="L1552" t="str">
        <f>VLOOKUP(D1552,Products!A:F,3,FALSE())</f>
        <v>Sports</v>
      </c>
      <c r="M1552" t="str">
        <f>VLOOKUP(C1552,Customers!A:F,5,FALSE())</f>
        <v>SMB</v>
      </c>
      <c r="O1552" t="str">
        <f>IFERROR(VLOOKUP(E1552,Sales_Reps!$A:$C,3,FALSE()),"")</f>
        <v/>
      </c>
      <c r="P1552">
        <f>IFERROR(VLOOKUP(C1552,Customers!$A:$C,3,FALSE()),"")</f>
        <v>62</v>
      </c>
      <c r="Q1552" t="str">
        <f t="shared" si="24"/>
        <v>Mar-24</v>
      </c>
      <c r="R1552">
        <f>IFERROR((VLOOKUP(D1552,Products!$A:$E,5,FALSE())-VLOOKUP(D1552,Products!$A:$E,4,FALSE()))/VLOOKUP(D1552,Products!$A:$E,5,FALSE()),"")</f>
        <v>0.50793650793650791</v>
      </c>
    </row>
    <row r="1553" spans="1:18" x14ac:dyDescent="0.3">
      <c r="A1553" s="22" t="s">
        <v>3584</v>
      </c>
      <c r="B1553" s="23">
        <v>45550</v>
      </c>
      <c r="C1553" s="22" t="s">
        <v>500</v>
      </c>
      <c r="D1553" s="22" t="s">
        <v>289</v>
      </c>
      <c r="E1553" s="22" t="s">
        <v>3585</v>
      </c>
      <c r="F1553" s="24">
        <v>4</v>
      </c>
      <c r="G1553" s="24">
        <v>2270</v>
      </c>
      <c r="H1553" s="24">
        <v>3.8</v>
      </c>
      <c r="I1553" s="24">
        <v>8734.9599999999991</v>
      </c>
      <c r="J1553" s="22" t="s">
        <v>159</v>
      </c>
      <c r="K1553" s="22" t="s">
        <v>134</v>
      </c>
      <c r="L1553" t="str">
        <f>VLOOKUP(D1553,Products!A:F,3,FALSE())</f>
        <v>Grocery</v>
      </c>
      <c r="M1553" t="str">
        <f>VLOOKUP(C1553,Customers!A:F,5,FALSE())</f>
        <v>SMB</v>
      </c>
      <c r="O1553" t="str">
        <f>IFERROR(VLOOKUP(E1553,Sales_Reps!$A:$C,3,FALSE()),"")</f>
        <v/>
      </c>
      <c r="P1553">
        <f>IFERROR(VLOOKUP(C1553,Customers!$A:$C,3,FALSE()),"")</f>
        <v>28</v>
      </c>
      <c r="Q1553" t="str">
        <f t="shared" si="24"/>
        <v>Sep-24</v>
      </c>
      <c r="R1553">
        <f>IFERROR((VLOOKUP(D1553,Products!$A:$E,5,FALSE())-VLOOKUP(D1553,Products!$A:$E,4,FALSE()))/VLOOKUP(D1553,Products!$A:$E,5,FALSE()),"")</f>
        <v>0.37797356828193834</v>
      </c>
    </row>
    <row r="1554" spans="1:18" x14ac:dyDescent="0.3">
      <c r="A1554" s="22" t="s">
        <v>3586</v>
      </c>
      <c r="B1554" s="23">
        <v>45304</v>
      </c>
      <c r="C1554" s="22" t="s">
        <v>411</v>
      </c>
      <c r="D1554" s="22" t="s">
        <v>319</v>
      </c>
      <c r="E1554" s="22" t="s">
        <v>3587</v>
      </c>
      <c r="F1554" s="24">
        <v>10</v>
      </c>
      <c r="G1554" s="24">
        <v>1220</v>
      </c>
      <c r="H1554" s="24">
        <v>19.5</v>
      </c>
      <c r="I1554" s="24">
        <v>9821</v>
      </c>
      <c r="J1554" s="22" t="s">
        <v>104</v>
      </c>
      <c r="K1554" s="22" t="s">
        <v>151</v>
      </c>
      <c r="L1554" t="str">
        <f>VLOOKUP(D1554,Products!A:F,3,FALSE())</f>
        <v>Electronics</v>
      </c>
      <c r="M1554" t="str">
        <f>VLOOKUP(C1554,Customers!A:F,5,FALSE())</f>
        <v>SMB</v>
      </c>
      <c r="O1554" t="str">
        <f>IFERROR(VLOOKUP(E1554,Sales_Reps!$A:$C,3,FALSE()),"")</f>
        <v/>
      </c>
      <c r="P1554">
        <f>IFERROR(VLOOKUP(C1554,Customers!$A:$C,3,FALSE()),"")</f>
        <v>65</v>
      </c>
      <c r="Q1554" t="str">
        <f t="shared" si="24"/>
        <v>Jan-24</v>
      </c>
      <c r="R1554">
        <f>IFERROR((VLOOKUP(D1554,Products!$A:$E,5,FALSE())-VLOOKUP(D1554,Products!$A:$E,4,FALSE()))/VLOOKUP(D1554,Products!$A:$E,5,FALSE()),"")</f>
        <v>0.57622950819672136</v>
      </c>
    </row>
    <row r="1555" spans="1:18" x14ac:dyDescent="0.3">
      <c r="A1555" s="22" t="s">
        <v>3588</v>
      </c>
      <c r="B1555" s="23">
        <v>45321</v>
      </c>
      <c r="C1555" s="22" t="s">
        <v>361</v>
      </c>
      <c r="D1555" s="22" t="s">
        <v>205</v>
      </c>
      <c r="E1555" s="22" t="s">
        <v>3589</v>
      </c>
      <c r="F1555" s="24">
        <v>10</v>
      </c>
      <c r="G1555" s="24">
        <v>3350</v>
      </c>
      <c r="H1555" s="24">
        <v>7.8</v>
      </c>
      <c r="I1555" s="24">
        <v>30887</v>
      </c>
      <c r="J1555" s="22" t="s">
        <v>104</v>
      </c>
      <c r="K1555" s="22" t="s">
        <v>151</v>
      </c>
      <c r="L1555" t="str">
        <f>VLOOKUP(D1555,Products!A:F,3,FALSE())</f>
        <v>Beauty</v>
      </c>
      <c r="M1555" t="str">
        <f>VLOOKUP(C1555,Customers!A:F,5,FALSE())</f>
        <v>Retail</v>
      </c>
      <c r="O1555" t="str">
        <f>IFERROR(VLOOKUP(E1555,Sales_Reps!$A:$C,3,FALSE()),"")</f>
        <v/>
      </c>
      <c r="P1555">
        <f>IFERROR(VLOOKUP(C1555,Customers!$A:$C,3,FALSE()),"")</f>
        <v>29</v>
      </c>
      <c r="Q1555" t="str">
        <f t="shared" si="24"/>
        <v>Jan-24</v>
      </c>
      <c r="R1555">
        <f>IFERROR((VLOOKUP(D1555,Products!$A:$E,5,FALSE())-VLOOKUP(D1555,Products!$A:$E,4,FALSE()))/VLOOKUP(D1555,Products!$A:$E,5,FALSE()),"")</f>
        <v>0.48417910447761192</v>
      </c>
    </row>
    <row r="1556" spans="1:18" x14ac:dyDescent="0.3">
      <c r="A1556" s="22" t="s">
        <v>3590</v>
      </c>
      <c r="B1556" s="23">
        <v>45358</v>
      </c>
      <c r="C1556" s="22" t="s">
        <v>3591</v>
      </c>
      <c r="D1556" s="22" t="s">
        <v>205</v>
      </c>
      <c r="E1556" s="22" t="s">
        <v>3592</v>
      </c>
      <c r="F1556" s="24">
        <v>7</v>
      </c>
      <c r="G1556" s="24">
        <v>3350</v>
      </c>
      <c r="H1556" s="24">
        <v>14.5</v>
      </c>
      <c r="I1556" s="24">
        <v>20049.75</v>
      </c>
      <c r="J1556" s="22" t="s">
        <v>104</v>
      </c>
      <c r="K1556" s="22" t="s">
        <v>134</v>
      </c>
      <c r="L1556" t="str">
        <f>VLOOKUP(D1556,Products!A:F,3,FALSE())</f>
        <v>Beauty</v>
      </c>
      <c r="M1556" t="e">
        <f>VLOOKUP(C1556,Customers!A:F,5,FALSE())</f>
        <v>#N/A</v>
      </c>
      <c r="O1556" t="str">
        <f>IFERROR(VLOOKUP(E1556,Sales_Reps!$A:$C,3,FALSE()),"")</f>
        <v/>
      </c>
      <c r="P1556" t="str">
        <f>IFERROR(VLOOKUP(C1556,Customers!$A:$C,3,FALSE()),"")</f>
        <v/>
      </c>
      <c r="Q1556" t="str">
        <f t="shared" si="24"/>
        <v>Mar-24</v>
      </c>
      <c r="R1556">
        <f>IFERROR((VLOOKUP(D1556,Products!$A:$E,5,FALSE())-VLOOKUP(D1556,Products!$A:$E,4,FALSE()))/VLOOKUP(D1556,Products!$A:$E,5,FALSE()),"")</f>
        <v>0.48417910447761192</v>
      </c>
    </row>
    <row r="1557" spans="1:18" x14ac:dyDescent="0.3">
      <c r="A1557" s="22" t="s">
        <v>3593</v>
      </c>
      <c r="B1557" s="23">
        <v>45440</v>
      </c>
      <c r="C1557" s="22" t="s">
        <v>252</v>
      </c>
      <c r="D1557" s="22" t="s">
        <v>141</v>
      </c>
      <c r="E1557" s="22" t="s">
        <v>3594</v>
      </c>
      <c r="F1557" s="24">
        <v>6</v>
      </c>
      <c r="G1557" s="24">
        <v>5490</v>
      </c>
      <c r="H1557" s="24">
        <v>8</v>
      </c>
      <c r="I1557" s="24">
        <v>30304.799999999999</v>
      </c>
      <c r="J1557" s="22" t="s">
        <v>104</v>
      </c>
      <c r="K1557" s="22" t="s">
        <v>111</v>
      </c>
      <c r="L1557" t="str">
        <f>VLOOKUP(D1557,Products!A:F,3,FALSE())</f>
        <v>Home</v>
      </c>
      <c r="M1557" t="str">
        <f>VLOOKUP(C1557,Customers!A:F,5,FALSE())</f>
        <v>Retail</v>
      </c>
      <c r="O1557" t="str">
        <f>IFERROR(VLOOKUP(E1557,Sales_Reps!$A:$C,3,FALSE()),"")</f>
        <v/>
      </c>
      <c r="P1557">
        <f>IFERROR(VLOOKUP(C1557,Customers!$A:$C,3,FALSE()),"")</f>
        <v>51</v>
      </c>
      <c r="Q1557" t="str">
        <f t="shared" si="24"/>
        <v>May-24</v>
      </c>
      <c r="R1557">
        <f>IFERROR((VLOOKUP(D1557,Products!$A:$E,5,FALSE())-VLOOKUP(D1557,Products!$A:$E,4,FALSE()))/VLOOKUP(D1557,Products!$A:$E,5,FALSE()),"")</f>
        <v>0.53570127504553733</v>
      </c>
    </row>
    <row r="1558" spans="1:18" x14ac:dyDescent="0.3">
      <c r="A1558" s="22" t="s">
        <v>3595</v>
      </c>
      <c r="B1558" s="23">
        <v>45618</v>
      </c>
      <c r="C1558" s="22" t="s">
        <v>3596</v>
      </c>
      <c r="D1558" s="22" t="s">
        <v>224</v>
      </c>
      <c r="E1558" s="22" t="s">
        <v>3597</v>
      </c>
      <c r="F1558" s="24">
        <v>3</v>
      </c>
      <c r="G1558" s="24">
        <v>2860</v>
      </c>
      <c r="H1558" s="24">
        <v>19.899999999999999</v>
      </c>
      <c r="I1558" s="24">
        <v>6872.58</v>
      </c>
      <c r="J1558" s="22" t="s">
        <v>104</v>
      </c>
      <c r="K1558" s="22" t="s">
        <v>151</v>
      </c>
      <c r="L1558" t="str">
        <f>VLOOKUP(D1558,Products!A:F,3,FALSE())</f>
        <v>Sports</v>
      </c>
      <c r="M1558" t="str">
        <f>VLOOKUP(C1558,Customers!A:F,5,FALSE())</f>
        <v>SMB</v>
      </c>
      <c r="O1558" t="str">
        <f>IFERROR(VLOOKUP(E1558,Sales_Reps!$A:$C,3,FALSE()),"")</f>
        <v/>
      </c>
      <c r="P1558">
        <f>IFERROR(VLOOKUP(C1558,Customers!$A:$C,3,FALSE()),"")</f>
        <v>39</v>
      </c>
      <c r="Q1558" t="str">
        <f t="shared" si="24"/>
        <v>Nov-24</v>
      </c>
      <c r="R1558">
        <f>IFERROR((VLOOKUP(D1558,Products!$A:$E,5,FALSE())-VLOOKUP(D1558,Products!$A:$E,4,FALSE()))/VLOOKUP(D1558,Products!$A:$E,5,FALSE()),"")</f>
        <v>0.29090909090909089</v>
      </c>
    </row>
    <row r="1559" spans="1:18" x14ac:dyDescent="0.3">
      <c r="A1559" s="22" t="s">
        <v>3598</v>
      </c>
      <c r="B1559" s="23">
        <v>45295</v>
      </c>
      <c r="C1559" s="22" t="s">
        <v>1035</v>
      </c>
      <c r="D1559" s="22" t="s">
        <v>153</v>
      </c>
      <c r="E1559" s="22" t="s">
        <v>3599</v>
      </c>
      <c r="F1559" s="24">
        <v>3</v>
      </c>
      <c r="G1559" s="24">
        <v>2640</v>
      </c>
      <c r="H1559" s="24">
        <v>29.3</v>
      </c>
      <c r="I1559" s="24">
        <v>5599.44</v>
      </c>
      <c r="J1559" s="22" t="s">
        <v>104</v>
      </c>
      <c r="K1559" s="22" t="s">
        <v>111</v>
      </c>
      <c r="L1559" t="str">
        <f>VLOOKUP(D1559,Products!A:F,3,FALSE())</f>
        <v>Electronics</v>
      </c>
      <c r="M1559" t="str">
        <f>VLOOKUP(C1559,Customers!A:F,5,FALSE())</f>
        <v>Retail</v>
      </c>
      <c r="O1559" t="str">
        <f>IFERROR(VLOOKUP(E1559,Sales_Reps!$A:$C,3,FALSE()),"")</f>
        <v/>
      </c>
      <c r="P1559">
        <f>IFERROR(VLOOKUP(C1559,Customers!$A:$C,3,FALSE()),"")</f>
        <v>24</v>
      </c>
      <c r="Q1559" t="str">
        <f t="shared" si="24"/>
        <v>Jan-24</v>
      </c>
      <c r="R1559">
        <f>IFERROR((VLOOKUP(D1559,Products!$A:$E,5,FALSE())-VLOOKUP(D1559,Products!$A:$E,4,FALSE()))/VLOOKUP(D1559,Products!$A:$E,5,FALSE()),"")</f>
        <v>0.56477272727272732</v>
      </c>
    </row>
    <row r="1560" spans="1:18" x14ac:dyDescent="0.3">
      <c r="A1560" s="22" t="s">
        <v>3600</v>
      </c>
      <c r="B1560" s="23">
        <v>45384</v>
      </c>
      <c r="C1560" s="22" t="s">
        <v>737</v>
      </c>
      <c r="D1560" s="22" t="s">
        <v>591</v>
      </c>
      <c r="E1560" s="22" t="s">
        <v>3601</v>
      </c>
      <c r="F1560" s="24">
        <v>8</v>
      </c>
      <c r="G1560" s="24">
        <v>3450</v>
      </c>
      <c r="H1560" s="24">
        <v>15.2</v>
      </c>
      <c r="I1560" s="24">
        <v>23404.799999999999</v>
      </c>
      <c r="J1560" s="22" t="s">
        <v>159</v>
      </c>
      <c r="K1560" s="22" t="s">
        <v>111</v>
      </c>
      <c r="L1560" t="str">
        <f>VLOOKUP(D1560,Products!A:F,3,FALSE())</f>
        <v>Apparel</v>
      </c>
      <c r="M1560" t="str">
        <f>VLOOKUP(C1560,Customers!A:F,5,FALSE())</f>
        <v>Corporate</v>
      </c>
      <c r="O1560" t="str">
        <f>IFERROR(VLOOKUP(E1560,Sales_Reps!$A:$C,3,FALSE()),"")</f>
        <v/>
      </c>
      <c r="P1560">
        <f>IFERROR(VLOOKUP(C1560,Customers!$A:$C,3,FALSE()),"")</f>
        <v>34</v>
      </c>
      <c r="Q1560" t="str">
        <f t="shared" si="24"/>
        <v>Apr-24</v>
      </c>
      <c r="R1560">
        <f>IFERROR((VLOOKUP(D1560,Products!$A:$E,5,FALSE())-VLOOKUP(D1560,Products!$A:$E,4,FALSE()))/VLOOKUP(D1560,Products!$A:$E,5,FALSE()),"")</f>
        <v>0.49333333333333335</v>
      </c>
    </row>
    <row r="1561" spans="1:18" x14ac:dyDescent="0.3">
      <c r="A1561" s="22" t="s">
        <v>3602</v>
      </c>
      <c r="B1561" s="23">
        <v>45349</v>
      </c>
      <c r="C1561" s="22" t="s">
        <v>1303</v>
      </c>
      <c r="D1561" s="22" t="s">
        <v>127</v>
      </c>
      <c r="E1561" s="22" t="s">
        <v>3603</v>
      </c>
      <c r="F1561" s="24">
        <v>6</v>
      </c>
      <c r="G1561" s="24">
        <v>370</v>
      </c>
      <c r="H1561" s="24">
        <v>7</v>
      </c>
      <c r="I1561" s="24">
        <v>2064.6</v>
      </c>
      <c r="J1561" s="22" t="s">
        <v>104</v>
      </c>
      <c r="K1561" s="22" t="s">
        <v>116</v>
      </c>
      <c r="L1561" t="str">
        <f>VLOOKUP(D1561,Products!A:F,3,FALSE())</f>
        <v>Home</v>
      </c>
      <c r="M1561" t="str">
        <f>VLOOKUP(C1561,Customers!A:F,5,FALSE())</f>
        <v>SMB</v>
      </c>
      <c r="O1561" t="str">
        <f>IFERROR(VLOOKUP(E1561,Sales_Reps!$A:$C,3,FALSE()),"")</f>
        <v/>
      </c>
      <c r="P1561">
        <f>IFERROR(VLOOKUP(C1561,Customers!$A:$C,3,FALSE()),"")</f>
        <v>38</v>
      </c>
      <c r="Q1561" t="str">
        <f t="shared" si="24"/>
        <v>Feb-24</v>
      </c>
      <c r="R1561">
        <f>IFERROR((VLOOKUP(D1561,Products!$A:$E,5,FALSE())-VLOOKUP(D1561,Products!$A:$E,4,FALSE()))/VLOOKUP(D1561,Products!$A:$E,5,FALSE()),"")</f>
        <v>0.22162162162162163</v>
      </c>
    </row>
    <row r="1562" spans="1:18" x14ac:dyDescent="0.3">
      <c r="A1562" s="22" t="s">
        <v>3604</v>
      </c>
      <c r="B1562" s="23">
        <v>45439</v>
      </c>
      <c r="C1562" s="22" t="s">
        <v>435</v>
      </c>
      <c r="D1562" s="22" t="s">
        <v>436</v>
      </c>
      <c r="E1562" s="22" t="s">
        <v>3605</v>
      </c>
      <c r="F1562" s="24">
        <v>10</v>
      </c>
      <c r="G1562" s="24">
        <v>4060</v>
      </c>
      <c r="H1562" s="24">
        <v>4.7</v>
      </c>
      <c r="I1562" s="24">
        <v>38691.800000000003</v>
      </c>
      <c r="J1562" s="22" t="s">
        <v>159</v>
      </c>
      <c r="K1562" s="22" t="s">
        <v>129</v>
      </c>
      <c r="L1562" t="str">
        <f>VLOOKUP(D1562,Products!A:F,3,FALSE())</f>
        <v>Grocery</v>
      </c>
      <c r="M1562" t="str">
        <f>VLOOKUP(C1562,Customers!A:F,5,FALSE())</f>
        <v>SMB</v>
      </c>
      <c r="O1562" t="str">
        <f>IFERROR(VLOOKUP(E1562,Sales_Reps!$A:$C,3,FALSE()),"")</f>
        <v/>
      </c>
      <c r="P1562">
        <f>IFERROR(VLOOKUP(C1562,Customers!$A:$C,3,FALSE()),"")</f>
        <v>22</v>
      </c>
      <c r="Q1562" t="str">
        <f t="shared" si="24"/>
        <v>May-24</v>
      </c>
      <c r="R1562">
        <f>IFERROR((VLOOKUP(D1562,Products!$A:$E,5,FALSE())-VLOOKUP(D1562,Products!$A:$E,4,FALSE()))/VLOOKUP(D1562,Products!$A:$E,5,FALSE()),"")</f>
        <v>0.28300492610837441</v>
      </c>
    </row>
    <row r="1563" spans="1:18" x14ac:dyDescent="0.3">
      <c r="A1563" s="22" t="s">
        <v>3606</v>
      </c>
      <c r="B1563" s="23">
        <v>45426</v>
      </c>
      <c r="C1563" s="22" t="s">
        <v>1609</v>
      </c>
      <c r="D1563" s="22" t="s">
        <v>293</v>
      </c>
      <c r="E1563" s="22" t="s">
        <v>3607</v>
      </c>
      <c r="F1563" s="24">
        <v>1</v>
      </c>
      <c r="G1563" s="24">
        <v>3870</v>
      </c>
      <c r="H1563" s="24">
        <v>18.2</v>
      </c>
      <c r="I1563" s="24">
        <v>3165.66</v>
      </c>
      <c r="J1563" s="22" t="s">
        <v>110</v>
      </c>
      <c r="K1563" s="22" t="s">
        <v>134</v>
      </c>
      <c r="L1563" t="str">
        <f>VLOOKUP(D1563,Products!A:F,3,FALSE())</f>
        <v>Electronics</v>
      </c>
      <c r="M1563" t="str">
        <f>VLOOKUP(C1563,Customers!A:F,5,FALSE())</f>
        <v>Corporate</v>
      </c>
      <c r="O1563" t="str">
        <f>IFERROR(VLOOKUP(E1563,Sales_Reps!$A:$C,3,FALSE()),"")</f>
        <v/>
      </c>
      <c r="P1563">
        <f>IFERROR(VLOOKUP(C1563,Customers!$A:$C,3,FALSE()),"")</f>
        <v>55</v>
      </c>
      <c r="Q1563" t="str">
        <f t="shared" si="24"/>
        <v>May-24</v>
      </c>
      <c r="R1563">
        <f>IFERROR((VLOOKUP(D1563,Products!$A:$E,5,FALSE())-VLOOKUP(D1563,Products!$A:$E,4,FALSE()))/VLOOKUP(D1563,Products!$A:$E,5,FALSE()),"")</f>
        <v>0.59715762273901807</v>
      </c>
    </row>
    <row r="1564" spans="1:18" x14ac:dyDescent="0.3">
      <c r="A1564" s="22" t="s">
        <v>3608</v>
      </c>
      <c r="B1564" s="23">
        <v>45385</v>
      </c>
      <c r="C1564" s="22" t="s">
        <v>1719</v>
      </c>
      <c r="D1564" s="22" t="s">
        <v>455</v>
      </c>
      <c r="E1564" s="22" t="s">
        <v>3609</v>
      </c>
      <c r="F1564" s="24">
        <v>1</v>
      </c>
      <c r="G1564" s="24">
        <v>5330</v>
      </c>
      <c r="H1564" s="24">
        <v>3.9</v>
      </c>
      <c r="I1564" s="24">
        <v>5122.13</v>
      </c>
      <c r="J1564" s="22" t="s">
        <v>164</v>
      </c>
      <c r="K1564" s="22" t="s">
        <v>105</v>
      </c>
      <c r="L1564" t="str">
        <f>VLOOKUP(D1564,Products!A:F,3,FALSE())</f>
        <v>Electronics</v>
      </c>
      <c r="M1564" t="str">
        <f>VLOOKUP(C1564,Customers!A:F,5,FALSE())</f>
        <v>Corporate</v>
      </c>
      <c r="O1564" t="str">
        <f>IFERROR(VLOOKUP(E1564,Sales_Reps!$A:$C,3,FALSE()),"")</f>
        <v/>
      </c>
      <c r="P1564">
        <f>IFERROR(VLOOKUP(C1564,Customers!$A:$C,3,FALSE()),"")</f>
        <v>42</v>
      </c>
      <c r="Q1564" t="str">
        <f t="shared" si="24"/>
        <v>Apr-24</v>
      </c>
      <c r="R1564">
        <f>IFERROR((VLOOKUP(D1564,Products!$A:$E,5,FALSE())-VLOOKUP(D1564,Products!$A:$E,4,FALSE()))/VLOOKUP(D1564,Products!$A:$E,5,FALSE()),"")</f>
        <v>0.54878048780487809</v>
      </c>
    </row>
    <row r="1565" spans="1:18" x14ac:dyDescent="0.3">
      <c r="A1565" s="22" t="s">
        <v>3610</v>
      </c>
      <c r="B1565" s="23">
        <v>45312</v>
      </c>
      <c r="C1565" s="22" t="s">
        <v>928</v>
      </c>
      <c r="D1565" s="22" t="s">
        <v>127</v>
      </c>
      <c r="E1565" s="22" t="s">
        <v>3611</v>
      </c>
      <c r="F1565" s="24">
        <v>8</v>
      </c>
      <c r="G1565" s="24">
        <v>370</v>
      </c>
      <c r="H1565" s="24">
        <v>1.3</v>
      </c>
      <c r="I1565" s="24">
        <v>2921.52</v>
      </c>
      <c r="J1565" s="22" t="s">
        <v>104</v>
      </c>
      <c r="K1565" s="22" t="s">
        <v>151</v>
      </c>
      <c r="L1565" t="str">
        <f>VLOOKUP(D1565,Products!A:F,3,FALSE())</f>
        <v>Home</v>
      </c>
      <c r="M1565" t="str">
        <f>VLOOKUP(C1565,Customers!A:F,5,FALSE())</f>
        <v>Retail</v>
      </c>
      <c r="O1565" t="str">
        <f>IFERROR(VLOOKUP(E1565,Sales_Reps!$A:$C,3,FALSE()),"")</f>
        <v/>
      </c>
      <c r="P1565">
        <f>IFERROR(VLOOKUP(C1565,Customers!$A:$C,3,FALSE()),"")</f>
        <v>27</v>
      </c>
      <c r="Q1565" t="str">
        <f t="shared" si="24"/>
        <v>Jan-24</v>
      </c>
      <c r="R1565">
        <f>IFERROR((VLOOKUP(D1565,Products!$A:$E,5,FALSE())-VLOOKUP(D1565,Products!$A:$E,4,FALSE()))/VLOOKUP(D1565,Products!$A:$E,5,FALSE()),"")</f>
        <v>0.22162162162162163</v>
      </c>
    </row>
    <row r="1566" spans="1:18" x14ac:dyDescent="0.3">
      <c r="A1566" s="22" t="s">
        <v>3612</v>
      </c>
      <c r="B1566" s="23">
        <v>45622</v>
      </c>
      <c r="C1566" s="22" t="s">
        <v>611</v>
      </c>
      <c r="D1566" s="22" t="s">
        <v>338</v>
      </c>
      <c r="E1566" s="22" t="s">
        <v>3613</v>
      </c>
      <c r="F1566" s="24">
        <v>7</v>
      </c>
      <c r="G1566" s="24">
        <v>300</v>
      </c>
      <c r="H1566" s="24">
        <v>7.1</v>
      </c>
      <c r="I1566" s="24">
        <v>1950.9</v>
      </c>
      <c r="J1566" s="22" t="s">
        <v>104</v>
      </c>
      <c r="K1566" s="22" t="s">
        <v>129</v>
      </c>
      <c r="L1566" t="str">
        <f>VLOOKUP(D1566,Products!A:F,3,FALSE())</f>
        <v>Electronics</v>
      </c>
      <c r="M1566" t="str">
        <f>VLOOKUP(C1566,Customers!A:F,5,FALSE())</f>
        <v>Retail</v>
      </c>
      <c r="O1566" t="str">
        <f>IFERROR(VLOOKUP(E1566,Sales_Reps!$A:$C,3,FALSE()),"")</f>
        <v/>
      </c>
      <c r="P1566">
        <f>IFERROR(VLOOKUP(C1566,Customers!$A:$C,3,FALSE()),"")</f>
        <v>61</v>
      </c>
      <c r="Q1566" t="str">
        <f t="shared" si="24"/>
        <v>Nov-24</v>
      </c>
      <c r="R1566">
        <f>IFERROR((VLOOKUP(D1566,Products!$A:$E,5,FALSE())-VLOOKUP(D1566,Products!$A:$E,4,FALSE()))/VLOOKUP(D1566,Products!$A:$E,5,FALSE()),"")</f>
        <v>0.57333333333333336</v>
      </c>
    </row>
    <row r="1567" spans="1:18" x14ac:dyDescent="0.3">
      <c r="A1567" s="22" t="s">
        <v>3614</v>
      </c>
      <c r="B1567" s="23">
        <v>45508</v>
      </c>
      <c r="C1567" s="22" t="s">
        <v>858</v>
      </c>
      <c r="D1567" s="22" t="s">
        <v>205</v>
      </c>
      <c r="E1567" s="22" t="s">
        <v>3615</v>
      </c>
      <c r="F1567" s="24">
        <v>8</v>
      </c>
      <c r="G1567" s="24">
        <v>3350</v>
      </c>
      <c r="H1567" s="24">
        <v>11.2</v>
      </c>
      <c r="I1567" s="24">
        <v>23798.400000000001</v>
      </c>
      <c r="J1567" s="22" t="s">
        <v>104</v>
      </c>
      <c r="K1567" s="22" t="s">
        <v>129</v>
      </c>
      <c r="L1567" t="str">
        <f>VLOOKUP(D1567,Products!A:F,3,FALSE())</f>
        <v>Beauty</v>
      </c>
      <c r="M1567" t="str">
        <f>VLOOKUP(C1567,Customers!A:F,5,FALSE())</f>
        <v>Retail</v>
      </c>
      <c r="O1567" t="str">
        <f>IFERROR(VLOOKUP(E1567,Sales_Reps!$A:$C,3,FALSE()),"")</f>
        <v/>
      </c>
      <c r="P1567">
        <f>IFERROR(VLOOKUP(C1567,Customers!$A:$C,3,FALSE()),"")</f>
        <v>53</v>
      </c>
      <c r="Q1567" t="str">
        <f t="shared" si="24"/>
        <v>Aug-24</v>
      </c>
      <c r="R1567">
        <f>IFERROR((VLOOKUP(D1567,Products!$A:$E,5,FALSE())-VLOOKUP(D1567,Products!$A:$E,4,FALSE()))/VLOOKUP(D1567,Products!$A:$E,5,FALSE()),"")</f>
        <v>0.48417910447761192</v>
      </c>
    </row>
    <row r="1568" spans="1:18" x14ac:dyDescent="0.3">
      <c r="A1568" s="22" t="s">
        <v>3616</v>
      </c>
      <c r="B1568" s="23">
        <v>45528</v>
      </c>
      <c r="C1568" s="22" t="s">
        <v>2125</v>
      </c>
      <c r="D1568" s="22" t="s">
        <v>695</v>
      </c>
      <c r="E1568" s="22" t="s">
        <v>3617</v>
      </c>
      <c r="F1568" s="24">
        <v>6</v>
      </c>
      <c r="G1568" s="24">
        <v>6940</v>
      </c>
      <c r="H1568" s="24">
        <v>0.3</v>
      </c>
      <c r="I1568" s="24">
        <v>41515.08</v>
      </c>
      <c r="J1568" s="22" t="s">
        <v>104</v>
      </c>
      <c r="K1568" s="22" t="s">
        <v>111</v>
      </c>
      <c r="L1568" t="str">
        <f>VLOOKUP(D1568,Products!A:F,3,FALSE())</f>
        <v>Sports</v>
      </c>
      <c r="M1568" t="str">
        <f>VLOOKUP(C1568,Customers!A:F,5,FALSE())</f>
        <v>SMB</v>
      </c>
      <c r="O1568" t="str">
        <f>IFERROR(VLOOKUP(E1568,Sales_Reps!$A:$C,3,FALSE()),"")</f>
        <v/>
      </c>
      <c r="P1568">
        <f>IFERROR(VLOOKUP(C1568,Customers!$A:$C,3,FALSE()),"")</f>
        <v>51</v>
      </c>
      <c r="Q1568" t="str">
        <f t="shared" si="24"/>
        <v>Aug-24</v>
      </c>
      <c r="R1568">
        <f>IFERROR((VLOOKUP(D1568,Products!$A:$E,5,FALSE())-VLOOKUP(D1568,Products!$A:$E,4,FALSE()))/VLOOKUP(D1568,Products!$A:$E,5,FALSE()),"")</f>
        <v>0.5926512968299712</v>
      </c>
    </row>
    <row r="1569" spans="1:18" x14ac:dyDescent="0.3">
      <c r="A1569" s="22" t="s">
        <v>3618</v>
      </c>
      <c r="B1569" s="23">
        <v>45483</v>
      </c>
      <c r="C1569" s="22" t="s">
        <v>1097</v>
      </c>
      <c r="D1569" s="22" t="s">
        <v>479</v>
      </c>
      <c r="E1569" s="22" t="s">
        <v>3619</v>
      </c>
      <c r="F1569" s="24">
        <v>10</v>
      </c>
      <c r="G1569" s="24">
        <v>960</v>
      </c>
      <c r="H1569" s="24">
        <v>9.3000000000000007</v>
      </c>
      <c r="I1569" s="24">
        <v>8707.2000000000007</v>
      </c>
      <c r="J1569" s="22" t="s">
        <v>159</v>
      </c>
      <c r="K1569" s="22" t="s">
        <v>134</v>
      </c>
      <c r="L1569" t="str">
        <f>VLOOKUP(D1569,Products!A:F,3,FALSE())</f>
        <v>Beauty</v>
      </c>
      <c r="M1569" t="str">
        <f>VLOOKUP(C1569,Customers!A:F,5,FALSE())</f>
        <v>Retail</v>
      </c>
      <c r="O1569" t="str">
        <f>IFERROR(VLOOKUP(E1569,Sales_Reps!$A:$C,3,FALSE()),"")</f>
        <v/>
      </c>
      <c r="P1569">
        <f>IFERROR(VLOOKUP(C1569,Customers!$A:$C,3,FALSE()),"")</f>
        <v>32</v>
      </c>
      <c r="Q1569" t="str">
        <f t="shared" si="24"/>
        <v>Jul-24</v>
      </c>
      <c r="R1569">
        <f>IFERROR((VLOOKUP(D1569,Products!$A:$E,5,FALSE())-VLOOKUP(D1569,Products!$A:$E,4,FALSE()))/VLOOKUP(D1569,Products!$A:$E,5,FALSE()),"")</f>
        <v>0.296875</v>
      </c>
    </row>
    <row r="1570" spans="1:18" x14ac:dyDescent="0.3">
      <c r="A1570" s="22" t="s">
        <v>3620</v>
      </c>
      <c r="B1570" s="23">
        <v>45625</v>
      </c>
      <c r="C1570" s="22" t="s">
        <v>2207</v>
      </c>
      <c r="D1570" s="22" t="s">
        <v>231</v>
      </c>
      <c r="E1570" s="22" t="s">
        <v>3621</v>
      </c>
      <c r="F1570" s="24">
        <v>10</v>
      </c>
      <c r="G1570" s="24">
        <v>2760</v>
      </c>
      <c r="H1570" s="24">
        <v>17.2</v>
      </c>
      <c r="I1570" s="24">
        <v>22852.799999999999</v>
      </c>
      <c r="J1570" s="22" t="s">
        <v>104</v>
      </c>
      <c r="K1570" s="22" t="s">
        <v>129</v>
      </c>
      <c r="L1570" t="str">
        <f>VLOOKUP(D1570,Products!A:F,3,FALSE())</f>
        <v>Grocery</v>
      </c>
      <c r="M1570" t="str">
        <f>VLOOKUP(C1570,Customers!A:F,5,FALSE())</f>
        <v>Retail</v>
      </c>
      <c r="O1570" t="str">
        <f>IFERROR(VLOOKUP(E1570,Sales_Reps!$A:$C,3,FALSE()),"")</f>
        <v/>
      </c>
      <c r="P1570">
        <f>IFERROR(VLOOKUP(C1570,Customers!$A:$C,3,FALSE()),"")</f>
        <v>38</v>
      </c>
      <c r="Q1570" t="str">
        <f t="shared" si="24"/>
        <v>Nov-24</v>
      </c>
      <c r="R1570">
        <f>IFERROR((VLOOKUP(D1570,Products!$A:$E,5,FALSE())-VLOOKUP(D1570,Products!$A:$E,4,FALSE()))/VLOOKUP(D1570,Products!$A:$E,5,FALSE()),"")</f>
        <v>0.48007246376811596</v>
      </c>
    </row>
    <row r="1571" spans="1:18" x14ac:dyDescent="0.3">
      <c r="A1571" s="22" t="s">
        <v>3622</v>
      </c>
      <c r="B1571" s="23">
        <v>45358</v>
      </c>
      <c r="C1571" s="22" t="s">
        <v>271</v>
      </c>
      <c r="D1571" s="22" t="s">
        <v>149</v>
      </c>
      <c r="E1571" s="22" t="s">
        <v>3623</v>
      </c>
      <c r="F1571" s="24">
        <v>4</v>
      </c>
      <c r="G1571" s="24">
        <v>2270</v>
      </c>
      <c r="H1571" s="24">
        <v>26.8</v>
      </c>
      <c r="I1571" s="24">
        <v>6646.56</v>
      </c>
      <c r="J1571" s="22" t="s">
        <v>104</v>
      </c>
      <c r="K1571" s="22" t="s">
        <v>134</v>
      </c>
      <c r="L1571" t="str">
        <f>VLOOKUP(D1571,Products!A:F,3,FALSE())</f>
        <v>Grocery</v>
      </c>
      <c r="M1571" t="str">
        <f>VLOOKUP(C1571,Customers!A:F,5,FALSE())</f>
        <v>SMB</v>
      </c>
      <c r="O1571" t="str">
        <f>IFERROR(VLOOKUP(E1571,Sales_Reps!$A:$C,3,FALSE()),"")</f>
        <v/>
      </c>
      <c r="P1571">
        <f>IFERROR(VLOOKUP(C1571,Customers!$A:$C,3,FALSE()),"")</f>
        <v>64</v>
      </c>
      <c r="Q1571" t="str">
        <f t="shared" si="24"/>
        <v>Mar-24</v>
      </c>
      <c r="R1571">
        <f>IFERROR((VLOOKUP(D1571,Products!$A:$E,5,FALSE())-VLOOKUP(D1571,Products!$A:$E,4,FALSE()))/VLOOKUP(D1571,Products!$A:$E,5,FALSE()),"")</f>
        <v>0.47004405286343615</v>
      </c>
    </row>
    <row r="1572" spans="1:18" x14ac:dyDescent="0.3">
      <c r="A1572" s="22" t="s">
        <v>3624</v>
      </c>
      <c r="B1572" s="23">
        <v>45342</v>
      </c>
      <c r="C1572" s="22" t="s">
        <v>537</v>
      </c>
      <c r="D1572" s="22" t="s">
        <v>157</v>
      </c>
      <c r="E1572" s="22" t="s">
        <v>3625</v>
      </c>
      <c r="F1572" s="24">
        <v>2</v>
      </c>
      <c r="G1572" s="24">
        <v>2600</v>
      </c>
      <c r="H1572" s="24">
        <v>27</v>
      </c>
      <c r="I1572" s="24">
        <v>3796</v>
      </c>
      <c r="J1572" s="22" t="s">
        <v>104</v>
      </c>
      <c r="K1572" s="22" t="s">
        <v>151</v>
      </c>
      <c r="L1572" t="str">
        <f>VLOOKUP(D1572,Products!A:F,3,FALSE())</f>
        <v>Electronics</v>
      </c>
      <c r="M1572" t="str">
        <f>VLOOKUP(C1572,Customers!A:F,5,FALSE())</f>
        <v>Retail</v>
      </c>
      <c r="O1572" t="str">
        <f>IFERROR(VLOOKUP(E1572,Sales_Reps!$A:$C,3,FALSE()),"")</f>
        <v/>
      </c>
      <c r="P1572">
        <f>IFERROR(VLOOKUP(C1572,Customers!$A:$C,3,FALSE()),"")</f>
        <v>22</v>
      </c>
      <c r="Q1572" t="str">
        <f t="shared" si="24"/>
        <v>Feb-24</v>
      </c>
      <c r="R1572">
        <f>IFERROR((VLOOKUP(D1572,Products!$A:$E,5,FALSE())-VLOOKUP(D1572,Products!$A:$E,4,FALSE()))/VLOOKUP(D1572,Products!$A:$E,5,FALSE()),"")</f>
        <v>0.5953846153846154</v>
      </c>
    </row>
    <row r="1573" spans="1:18" x14ac:dyDescent="0.3">
      <c r="A1573" s="22" t="s">
        <v>3626</v>
      </c>
      <c r="B1573" s="23">
        <v>45304</v>
      </c>
      <c r="C1573" s="22" t="s">
        <v>1508</v>
      </c>
      <c r="D1573" s="22" t="s">
        <v>216</v>
      </c>
      <c r="E1573" s="22" t="s">
        <v>3627</v>
      </c>
      <c r="F1573" s="24">
        <v>4</v>
      </c>
      <c r="G1573" s="24">
        <v>3570</v>
      </c>
      <c r="H1573" s="24">
        <v>12.3</v>
      </c>
      <c r="I1573" s="24">
        <v>12523.56</v>
      </c>
      <c r="J1573" s="22" t="s">
        <v>104</v>
      </c>
      <c r="K1573" s="22" t="s">
        <v>134</v>
      </c>
      <c r="L1573" t="str">
        <f>VLOOKUP(D1573,Products!A:F,3,FALSE())</f>
        <v>Electronics</v>
      </c>
      <c r="M1573" t="str">
        <f>VLOOKUP(C1573,Customers!A:F,5,FALSE())</f>
        <v>SMB</v>
      </c>
      <c r="O1573" t="str">
        <f>IFERROR(VLOOKUP(E1573,Sales_Reps!$A:$C,3,FALSE()),"")</f>
        <v/>
      </c>
      <c r="P1573">
        <f>IFERROR(VLOOKUP(C1573,Customers!$A:$C,3,FALSE()),"")</f>
        <v>36</v>
      </c>
      <c r="Q1573" t="str">
        <f t="shared" si="24"/>
        <v>Jan-24</v>
      </c>
      <c r="R1573">
        <f>IFERROR((VLOOKUP(D1573,Products!$A:$E,5,FALSE())-VLOOKUP(D1573,Products!$A:$E,4,FALSE()))/VLOOKUP(D1573,Products!$A:$E,5,FALSE()),"")</f>
        <v>0.53361344537815125</v>
      </c>
    </row>
    <row r="1574" spans="1:18" x14ac:dyDescent="0.3">
      <c r="A1574" s="22" t="s">
        <v>3628</v>
      </c>
      <c r="B1574" s="23">
        <v>45316</v>
      </c>
      <c r="C1574" s="22" t="s">
        <v>757</v>
      </c>
      <c r="D1574" s="22" t="s">
        <v>577</v>
      </c>
      <c r="E1574" s="22" t="s">
        <v>3629</v>
      </c>
      <c r="F1574" s="24">
        <v>5</v>
      </c>
      <c r="G1574" s="24">
        <v>5080</v>
      </c>
      <c r="H1574" s="24">
        <v>1.3</v>
      </c>
      <c r="I1574" s="24">
        <v>25069.8</v>
      </c>
      <c r="J1574" s="22" t="s">
        <v>104</v>
      </c>
      <c r="K1574" s="22" t="s">
        <v>129</v>
      </c>
      <c r="L1574" t="str">
        <f>VLOOKUP(D1574,Products!A:F,3,FALSE())</f>
        <v>Home</v>
      </c>
      <c r="M1574" t="str">
        <f>VLOOKUP(C1574,Customers!A:F,5,FALSE())</f>
        <v>Retail</v>
      </c>
      <c r="O1574" t="str">
        <f>IFERROR(VLOOKUP(E1574,Sales_Reps!$A:$C,3,FALSE()),"")</f>
        <v/>
      </c>
      <c r="P1574">
        <f>IFERROR(VLOOKUP(C1574,Customers!$A:$C,3,FALSE()),"")</f>
        <v>65</v>
      </c>
      <c r="Q1574" t="str">
        <f t="shared" si="24"/>
        <v>Jan-24</v>
      </c>
      <c r="R1574">
        <f>IFERROR((VLOOKUP(D1574,Products!$A:$E,5,FALSE())-VLOOKUP(D1574,Products!$A:$E,4,FALSE()))/VLOOKUP(D1574,Products!$A:$E,5,FALSE()),"")</f>
        <v>0.51594488188976373</v>
      </c>
    </row>
    <row r="1575" spans="1:18" x14ac:dyDescent="0.3">
      <c r="A1575" s="22" t="s">
        <v>3630</v>
      </c>
      <c r="B1575" s="23">
        <v>45340</v>
      </c>
      <c r="C1575" s="22" t="s">
        <v>1484</v>
      </c>
      <c r="D1575" s="22" t="s">
        <v>479</v>
      </c>
      <c r="E1575" s="22" t="s">
        <v>3631</v>
      </c>
      <c r="F1575" s="24">
        <v>5</v>
      </c>
      <c r="G1575" s="24">
        <v>960</v>
      </c>
      <c r="H1575" s="24">
        <v>25.2</v>
      </c>
      <c r="I1575" s="24">
        <v>3590.4</v>
      </c>
      <c r="J1575" s="22" t="s">
        <v>104</v>
      </c>
      <c r="K1575" s="22" t="s">
        <v>129</v>
      </c>
      <c r="L1575" t="str">
        <f>VLOOKUP(D1575,Products!A:F,3,FALSE())</f>
        <v>Beauty</v>
      </c>
      <c r="M1575" t="str">
        <f>VLOOKUP(C1575,Customers!A:F,5,FALSE())</f>
        <v>Retail</v>
      </c>
      <c r="O1575" t="str">
        <f>IFERROR(VLOOKUP(E1575,Sales_Reps!$A:$C,3,FALSE()),"")</f>
        <v/>
      </c>
      <c r="P1575">
        <f>IFERROR(VLOOKUP(C1575,Customers!$A:$C,3,FALSE()),"")</f>
        <v>40</v>
      </c>
      <c r="Q1575" t="str">
        <f t="shared" si="24"/>
        <v>Feb-24</v>
      </c>
      <c r="R1575">
        <f>IFERROR((VLOOKUP(D1575,Products!$A:$E,5,FALSE())-VLOOKUP(D1575,Products!$A:$E,4,FALSE()))/VLOOKUP(D1575,Products!$A:$E,5,FALSE()),"")</f>
        <v>0.296875</v>
      </c>
    </row>
    <row r="1576" spans="1:18" x14ac:dyDescent="0.3">
      <c r="A1576" s="22" t="s">
        <v>3632</v>
      </c>
      <c r="B1576" s="23">
        <v>45604</v>
      </c>
      <c r="C1576" s="22" t="s">
        <v>1319</v>
      </c>
      <c r="D1576" s="22" t="s">
        <v>114</v>
      </c>
      <c r="E1576" s="22" t="s">
        <v>3633</v>
      </c>
      <c r="F1576" s="24">
        <v>7</v>
      </c>
      <c r="G1576" s="24">
        <v>470</v>
      </c>
      <c r="H1576" s="24">
        <v>21.6</v>
      </c>
      <c r="I1576" s="24">
        <v>2579.36</v>
      </c>
      <c r="J1576" s="22" t="s">
        <v>104</v>
      </c>
      <c r="K1576" s="22" t="s">
        <v>129</v>
      </c>
      <c r="L1576" t="str">
        <f>VLOOKUP(D1576,Products!A:F,3,FALSE())</f>
        <v>Sports</v>
      </c>
      <c r="M1576" t="str">
        <f>VLOOKUP(C1576,Customers!A:F,5,FALSE())</f>
        <v>Corporate</v>
      </c>
      <c r="O1576" t="str">
        <f>IFERROR(VLOOKUP(E1576,Sales_Reps!$A:$C,3,FALSE()),"")</f>
        <v/>
      </c>
      <c r="P1576">
        <f>IFERROR(VLOOKUP(C1576,Customers!$A:$C,3,FALSE()),"")</f>
        <v>62</v>
      </c>
      <c r="Q1576" t="str">
        <f t="shared" si="24"/>
        <v>Nov-24</v>
      </c>
      <c r="R1576">
        <f>IFERROR((VLOOKUP(D1576,Products!$A:$E,5,FALSE())-VLOOKUP(D1576,Products!$A:$E,4,FALSE()))/VLOOKUP(D1576,Products!$A:$E,5,FALSE()),"")</f>
        <v>0.35744680851063831</v>
      </c>
    </row>
    <row r="1577" spans="1:18" x14ac:dyDescent="0.3">
      <c r="A1577" s="22" t="s">
        <v>3634</v>
      </c>
      <c r="B1577" s="23">
        <v>45625</v>
      </c>
      <c r="C1577" s="22" t="s">
        <v>1015</v>
      </c>
      <c r="D1577" s="22" t="s">
        <v>319</v>
      </c>
      <c r="E1577" s="22" t="s">
        <v>3635</v>
      </c>
      <c r="F1577" s="24">
        <v>4</v>
      </c>
      <c r="G1577" s="24">
        <v>1220</v>
      </c>
      <c r="H1577" s="24">
        <v>12.6</v>
      </c>
      <c r="I1577" s="24">
        <v>4265.12</v>
      </c>
      <c r="J1577" s="22" t="s">
        <v>104</v>
      </c>
      <c r="K1577" s="22" t="s">
        <v>116</v>
      </c>
      <c r="L1577" t="str">
        <f>VLOOKUP(D1577,Products!A:F,3,FALSE())</f>
        <v>Electronics</v>
      </c>
      <c r="M1577" t="str">
        <f>VLOOKUP(C1577,Customers!A:F,5,FALSE())</f>
        <v>Retail</v>
      </c>
      <c r="O1577" t="str">
        <f>IFERROR(VLOOKUP(E1577,Sales_Reps!$A:$C,3,FALSE()),"")</f>
        <v/>
      </c>
      <c r="P1577">
        <f>IFERROR(VLOOKUP(C1577,Customers!$A:$C,3,FALSE()),"")</f>
        <v>53</v>
      </c>
      <c r="Q1577" t="str">
        <f t="shared" si="24"/>
        <v>Nov-24</v>
      </c>
      <c r="R1577">
        <f>IFERROR((VLOOKUP(D1577,Products!$A:$E,5,FALSE())-VLOOKUP(D1577,Products!$A:$E,4,FALSE()))/VLOOKUP(D1577,Products!$A:$E,5,FALSE()),"")</f>
        <v>0.57622950819672136</v>
      </c>
    </row>
    <row r="1578" spans="1:18" x14ac:dyDescent="0.3">
      <c r="A1578" s="22" t="s">
        <v>3636</v>
      </c>
      <c r="B1578" s="23">
        <v>45293</v>
      </c>
      <c r="C1578" s="22" t="s">
        <v>855</v>
      </c>
      <c r="D1578" s="22" t="s">
        <v>209</v>
      </c>
      <c r="E1578" s="22" t="s">
        <v>3637</v>
      </c>
      <c r="F1578" s="24">
        <v>4</v>
      </c>
      <c r="G1578" s="24">
        <v>1010</v>
      </c>
      <c r="H1578" s="24">
        <v>11.3</v>
      </c>
      <c r="I1578" s="24">
        <v>3583.48</v>
      </c>
      <c r="J1578" s="22" t="s">
        <v>104</v>
      </c>
      <c r="K1578" s="22" t="s">
        <v>129</v>
      </c>
      <c r="L1578" t="str">
        <f>VLOOKUP(D1578,Products!A:F,3,FALSE())</f>
        <v>Sports</v>
      </c>
      <c r="M1578" t="str">
        <f>VLOOKUP(C1578,Customers!A:F,5,FALSE())</f>
        <v>Retail</v>
      </c>
      <c r="O1578" t="str">
        <f>IFERROR(VLOOKUP(E1578,Sales_Reps!$A:$C,3,FALSE()),"")</f>
        <v/>
      </c>
      <c r="P1578">
        <f>IFERROR(VLOOKUP(C1578,Customers!$A:$C,3,FALSE()),"")</f>
        <v>44</v>
      </c>
      <c r="Q1578" t="str">
        <f t="shared" si="24"/>
        <v>Jan-24</v>
      </c>
      <c r="R1578">
        <f>IFERROR((VLOOKUP(D1578,Products!$A:$E,5,FALSE())-VLOOKUP(D1578,Products!$A:$E,4,FALSE()))/VLOOKUP(D1578,Products!$A:$E,5,FALSE()),"")</f>
        <v>0.4891089108910891</v>
      </c>
    </row>
    <row r="1579" spans="1:18" x14ac:dyDescent="0.3">
      <c r="A1579" s="22" t="s">
        <v>3638</v>
      </c>
      <c r="B1579" s="23">
        <v>45454</v>
      </c>
      <c r="C1579" s="22" t="s">
        <v>411</v>
      </c>
      <c r="D1579" s="22" t="s">
        <v>119</v>
      </c>
      <c r="E1579" s="22" t="s">
        <v>3639</v>
      </c>
      <c r="F1579" s="24">
        <v>4</v>
      </c>
      <c r="G1579" s="24">
        <v>3660</v>
      </c>
      <c r="H1579" s="24">
        <v>7.2</v>
      </c>
      <c r="I1579" s="24">
        <v>13585.92</v>
      </c>
      <c r="J1579" s="22" t="s">
        <v>104</v>
      </c>
      <c r="K1579" s="22" t="s">
        <v>151</v>
      </c>
      <c r="L1579" t="str">
        <f>VLOOKUP(D1579,Products!A:F,3,FALSE())</f>
        <v>Grocery</v>
      </c>
      <c r="M1579" t="str">
        <f>VLOOKUP(C1579,Customers!A:F,5,FALSE())</f>
        <v>SMB</v>
      </c>
      <c r="O1579" t="str">
        <f>IFERROR(VLOOKUP(E1579,Sales_Reps!$A:$C,3,FALSE()),"")</f>
        <v/>
      </c>
      <c r="P1579">
        <f>IFERROR(VLOOKUP(C1579,Customers!$A:$C,3,FALSE()),"")</f>
        <v>65</v>
      </c>
      <c r="Q1579" t="str">
        <f t="shared" si="24"/>
        <v>Jun-24</v>
      </c>
      <c r="R1579">
        <f>IFERROR((VLOOKUP(D1579,Products!$A:$E,5,FALSE())-VLOOKUP(D1579,Products!$A:$E,4,FALSE()))/VLOOKUP(D1579,Products!$A:$E,5,FALSE()),"")</f>
        <v>0.39508196721311473</v>
      </c>
    </row>
    <row r="1580" spans="1:18" x14ac:dyDescent="0.3">
      <c r="A1580" s="22" t="s">
        <v>3640</v>
      </c>
      <c r="B1580" s="23">
        <v>45345</v>
      </c>
      <c r="C1580" s="22" t="s">
        <v>1172</v>
      </c>
      <c r="D1580" s="22" t="s">
        <v>141</v>
      </c>
      <c r="E1580" s="22" t="s">
        <v>3641</v>
      </c>
      <c r="F1580" s="24">
        <v>4</v>
      </c>
      <c r="G1580" s="24">
        <v>5490</v>
      </c>
      <c r="H1580" s="24">
        <v>8</v>
      </c>
      <c r="I1580" s="24">
        <v>20203.2</v>
      </c>
      <c r="J1580" s="22" t="s">
        <v>104</v>
      </c>
      <c r="K1580" s="22" t="s">
        <v>111</v>
      </c>
      <c r="L1580" t="str">
        <f>VLOOKUP(D1580,Products!A:F,3,FALSE())</f>
        <v>Home</v>
      </c>
      <c r="M1580" t="str">
        <f>VLOOKUP(C1580,Customers!A:F,5,FALSE())</f>
        <v>Retail</v>
      </c>
      <c r="O1580" t="str">
        <f>IFERROR(VLOOKUP(E1580,Sales_Reps!$A:$C,3,FALSE()),"")</f>
        <v/>
      </c>
      <c r="P1580">
        <f>IFERROR(VLOOKUP(C1580,Customers!$A:$C,3,FALSE()),"")</f>
        <v>22</v>
      </c>
      <c r="Q1580" t="str">
        <f t="shared" si="24"/>
        <v>Feb-24</v>
      </c>
      <c r="R1580">
        <f>IFERROR((VLOOKUP(D1580,Products!$A:$E,5,FALSE())-VLOOKUP(D1580,Products!$A:$E,4,FALSE()))/VLOOKUP(D1580,Products!$A:$E,5,FALSE()),"")</f>
        <v>0.53570127504553733</v>
      </c>
    </row>
    <row r="1581" spans="1:18" x14ac:dyDescent="0.3">
      <c r="A1581" s="22" t="s">
        <v>3642</v>
      </c>
      <c r="B1581" s="23">
        <v>45645</v>
      </c>
      <c r="C1581" s="22" t="s">
        <v>551</v>
      </c>
      <c r="D1581" s="22" t="s">
        <v>289</v>
      </c>
      <c r="E1581" s="22" t="s">
        <v>3643</v>
      </c>
      <c r="F1581" s="24">
        <v>6</v>
      </c>
      <c r="G1581" s="24">
        <v>2270</v>
      </c>
      <c r="H1581" s="24">
        <v>17.100000000000001</v>
      </c>
      <c r="I1581" s="24">
        <v>11290.98</v>
      </c>
      <c r="J1581" s="22" t="s">
        <v>104</v>
      </c>
      <c r="K1581" s="22" t="s">
        <v>105</v>
      </c>
      <c r="L1581" t="str">
        <f>VLOOKUP(D1581,Products!A:F,3,FALSE())</f>
        <v>Grocery</v>
      </c>
      <c r="M1581" t="str">
        <f>VLOOKUP(C1581,Customers!A:F,5,FALSE())</f>
        <v>Corporate</v>
      </c>
      <c r="O1581" t="str">
        <f>IFERROR(VLOOKUP(E1581,Sales_Reps!$A:$C,3,FALSE()),"")</f>
        <v/>
      </c>
      <c r="P1581">
        <f>IFERROR(VLOOKUP(C1581,Customers!$A:$C,3,FALSE()),"")</f>
        <v>48</v>
      </c>
      <c r="Q1581" t="str">
        <f t="shared" si="24"/>
        <v>Dec-24</v>
      </c>
      <c r="R1581">
        <f>IFERROR((VLOOKUP(D1581,Products!$A:$E,5,FALSE())-VLOOKUP(D1581,Products!$A:$E,4,FALSE()))/VLOOKUP(D1581,Products!$A:$E,5,FALSE()),"")</f>
        <v>0.37797356828193834</v>
      </c>
    </row>
    <row r="1582" spans="1:18" x14ac:dyDescent="0.3">
      <c r="A1582" s="22" t="s">
        <v>3644</v>
      </c>
      <c r="B1582" s="23">
        <v>45588</v>
      </c>
      <c r="C1582" s="22" t="s">
        <v>337</v>
      </c>
      <c r="D1582" s="22" t="s">
        <v>289</v>
      </c>
      <c r="E1582" s="22" t="s">
        <v>3645</v>
      </c>
      <c r="F1582" s="24">
        <v>8</v>
      </c>
      <c r="G1582" s="24">
        <v>2270</v>
      </c>
      <c r="H1582" s="24">
        <v>11.9</v>
      </c>
      <c r="I1582" s="24">
        <v>15998.96</v>
      </c>
      <c r="J1582" s="22" t="s">
        <v>110</v>
      </c>
      <c r="K1582" s="22" t="s">
        <v>105</v>
      </c>
      <c r="L1582" t="str">
        <f>VLOOKUP(D1582,Products!A:F,3,FALSE())</f>
        <v>Grocery</v>
      </c>
      <c r="M1582" t="str">
        <f>VLOOKUP(C1582,Customers!A:F,5,FALSE())</f>
        <v>Retail</v>
      </c>
      <c r="O1582" t="str">
        <f>IFERROR(VLOOKUP(E1582,Sales_Reps!$A:$C,3,FALSE()),"")</f>
        <v/>
      </c>
      <c r="P1582">
        <f>IFERROR(VLOOKUP(C1582,Customers!$A:$C,3,FALSE()),"")</f>
        <v>25</v>
      </c>
      <c r="Q1582" t="str">
        <f t="shared" si="24"/>
        <v>Oct-24</v>
      </c>
      <c r="R1582">
        <f>IFERROR((VLOOKUP(D1582,Products!$A:$E,5,FALSE())-VLOOKUP(D1582,Products!$A:$E,4,FALSE()))/VLOOKUP(D1582,Products!$A:$E,5,FALSE()),"")</f>
        <v>0.37797356828193834</v>
      </c>
    </row>
    <row r="1583" spans="1:18" x14ac:dyDescent="0.3">
      <c r="A1583" s="22" t="s">
        <v>3646</v>
      </c>
      <c r="B1583" s="23">
        <v>45592</v>
      </c>
      <c r="C1583" s="22" t="s">
        <v>386</v>
      </c>
      <c r="D1583" s="22" t="s">
        <v>157</v>
      </c>
      <c r="E1583" s="22" t="s">
        <v>3647</v>
      </c>
      <c r="F1583" s="24">
        <v>6</v>
      </c>
      <c r="G1583" s="24">
        <v>2600</v>
      </c>
      <c r="H1583" s="24">
        <v>5.0999999999999996</v>
      </c>
      <c r="I1583" s="24">
        <v>14804.4</v>
      </c>
      <c r="J1583" s="22" t="s">
        <v>104</v>
      </c>
      <c r="K1583" s="22" t="s">
        <v>105</v>
      </c>
      <c r="L1583" t="str">
        <f>VLOOKUP(D1583,Products!A:F,3,FALSE())</f>
        <v>Electronics</v>
      </c>
      <c r="M1583" t="str">
        <f>VLOOKUP(C1583,Customers!A:F,5,FALSE())</f>
        <v>SMB</v>
      </c>
      <c r="O1583" t="str">
        <f>IFERROR(VLOOKUP(E1583,Sales_Reps!$A:$C,3,FALSE()),"")</f>
        <v/>
      </c>
      <c r="P1583">
        <f>IFERROR(VLOOKUP(C1583,Customers!$A:$C,3,FALSE()),"")</f>
        <v>60</v>
      </c>
      <c r="Q1583" t="str">
        <f t="shared" si="24"/>
        <v>Oct-24</v>
      </c>
      <c r="R1583">
        <f>IFERROR((VLOOKUP(D1583,Products!$A:$E,5,FALSE())-VLOOKUP(D1583,Products!$A:$E,4,FALSE()))/VLOOKUP(D1583,Products!$A:$E,5,FALSE()),"")</f>
        <v>0.5953846153846154</v>
      </c>
    </row>
    <row r="1584" spans="1:18" x14ac:dyDescent="0.3">
      <c r="A1584" s="22" t="s">
        <v>3648</v>
      </c>
      <c r="B1584" s="23">
        <v>45403</v>
      </c>
      <c r="C1584" s="22" t="s">
        <v>193</v>
      </c>
      <c r="D1584" s="22" t="s">
        <v>293</v>
      </c>
      <c r="E1584" s="22" t="s">
        <v>3649</v>
      </c>
      <c r="F1584" s="24">
        <v>9</v>
      </c>
      <c r="G1584" s="24">
        <v>3870</v>
      </c>
      <c r="H1584" s="24">
        <v>1.8</v>
      </c>
      <c r="I1584" s="24">
        <v>34203.06</v>
      </c>
      <c r="J1584" s="22" t="s">
        <v>159</v>
      </c>
      <c r="K1584" s="22" t="s">
        <v>129</v>
      </c>
      <c r="L1584" t="str">
        <f>VLOOKUP(D1584,Products!A:F,3,FALSE())</f>
        <v>Electronics</v>
      </c>
      <c r="M1584" t="str">
        <f>VLOOKUP(C1584,Customers!A:F,5,FALSE())</f>
        <v>Retail</v>
      </c>
      <c r="O1584" t="str">
        <f>IFERROR(VLOOKUP(E1584,Sales_Reps!$A:$C,3,FALSE()),"")</f>
        <v/>
      </c>
      <c r="P1584">
        <f>IFERROR(VLOOKUP(C1584,Customers!$A:$C,3,FALSE()),"")</f>
        <v>34</v>
      </c>
      <c r="Q1584" t="str">
        <f t="shared" si="24"/>
        <v>Apr-24</v>
      </c>
      <c r="R1584">
        <f>IFERROR((VLOOKUP(D1584,Products!$A:$E,5,FALSE())-VLOOKUP(D1584,Products!$A:$E,4,FALSE()))/VLOOKUP(D1584,Products!$A:$E,5,FALSE()),"")</f>
        <v>0.59715762273901807</v>
      </c>
    </row>
    <row r="1585" spans="1:18" x14ac:dyDescent="0.3">
      <c r="A1585" s="22" t="s">
        <v>3650</v>
      </c>
      <c r="B1585" s="23">
        <v>45459</v>
      </c>
      <c r="C1585" s="22" t="s">
        <v>520</v>
      </c>
      <c r="D1585" s="22" t="s">
        <v>521</v>
      </c>
      <c r="E1585" s="22" t="s">
        <v>3651</v>
      </c>
      <c r="F1585" s="24">
        <v>3</v>
      </c>
      <c r="G1585" s="24">
        <v>3970</v>
      </c>
      <c r="H1585" s="24">
        <v>8.1999999999999993</v>
      </c>
      <c r="I1585" s="24">
        <v>10933.38</v>
      </c>
      <c r="J1585" s="22" t="s">
        <v>104</v>
      </c>
      <c r="K1585" s="22" t="s">
        <v>105</v>
      </c>
      <c r="L1585" t="str">
        <f>VLOOKUP(D1585,Products!A:F,3,FALSE())</f>
        <v>Electronics</v>
      </c>
      <c r="M1585" t="str">
        <f>VLOOKUP(C1585,Customers!A:F,5,FALSE())</f>
        <v>SMB</v>
      </c>
      <c r="O1585" t="str">
        <f>IFERROR(VLOOKUP(E1585,Sales_Reps!$A:$C,3,FALSE()),"")</f>
        <v/>
      </c>
      <c r="P1585">
        <f>IFERROR(VLOOKUP(C1585,Customers!$A:$C,3,FALSE()),"")</f>
        <v>53</v>
      </c>
      <c r="Q1585" t="str">
        <f t="shared" si="24"/>
        <v>Jun-24</v>
      </c>
      <c r="R1585">
        <f>IFERROR((VLOOKUP(D1585,Products!$A:$E,5,FALSE())-VLOOKUP(D1585,Products!$A:$E,4,FALSE()))/VLOOKUP(D1585,Products!$A:$E,5,FALSE()),"")</f>
        <v>0.27833753148614609</v>
      </c>
    </row>
    <row r="1586" spans="1:18" x14ac:dyDescent="0.3">
      <c r="A1586" s="22" t="s">
        <v>3652</v>
      </c>
      <c r="B1586" s="23">
        <v>45438</v>
      </c>
      <c r="C1586" s="22" t="s">
        <v>341</v>
      </c>
      <c r="D1586" s="22" t="s">
        <v>479</v>
      </c>
      <c r="E1586" s="22" t="s">
        <v>3653</v>
      </c>
      <c r="F1586" s="24">
        <v>9</v>
      </c>
      <c r="G1586" s="24">
        <v>960</v>
      </c>
      <c r="H1586" s="24">
        <v>21.7</v>
      </c>
      <c r="I1586" s="24">
        <v>6765.12</v>
      </c>
      <c r="J1586" s="22" t="s">
        <v>159</v>
      </c>
      <c r="K1586" s="22" t="s">
        <v>111</v>
      </c>
      <c r="L1586" t="str">
        <f>VLOOKUP(D1586,Products!A:F,3,FALSE())</f>
        <v>Beauty</v>
      </c>
      <c r="M1586" t="str">
        <f>VLOOKUP(C1586,Customers!A:F,5,FALSE())</f>
        <v>Retail</v>
      </c>
      <c r="O1586" t="str">
        <f>IFERROR(VLOOKUP(E1586,Sales_Reps!$A:$C,3,FALSE()),"")</f>
        <v/>
      </c>
      <c r="P1586">
        <f>IFERROR(VLOOKUP(C1586,Customers!$A:$C,3,FALSE()),"")</f>
        <v>28</v>
      </c>
      <c r="Q1586" t="str">
        <f t="shared" si="24"/>
        <v>May-24</v>
      </c>
      <c r="R1586">
        <f>IFERROR((VLOOKUP(D1586,Products!$A:$E,5,FALSE())-VLOOKUP(D1586,Products!$A:$E,4,FALSE()))/VLOOKUP(D1586,Products!$A:$E,5,FALSE()),"")</f>
        <v>0.296875</v>
      </c>
    </row>
    <row r="1587" spans="1:18" x14ac:dyDescent="0.3">
      <c r="A1587" s="22" t="s">
        <v>3654</v>
      </c>
      <c r="B1587" s="23">
        <v>45632</v>
      </c>
      <c r="C1587" s="22" t="s">
        <v>1175</v>
      </c>
      <c r="D1587" s="22" t="s">
        <v>449</v>
      </c>
      <c r="E1587" s="22" t="s">
        <v>3655</v>
      </c>
      <c r="F1587" s="24">
        <v>3</v>
      </c>
      <c r="G1587" s="24">
        <v>5410</v>
      </c>
      <c r="H1587" s="24">
        <v>20.3</v>
      </c>
      <c r="I1587" s="24">
        <v>12935.31</v>
      </c>
      <c r="J1587" s="22" t="s">
        <v>104</v>
      </c>
      <c r="K1587" s="22" t="s">
        <v>116</v>
      </c>
      <c r="L1587" t="str">
        <f>VLOOKUP(D1587,Products!A:F,3,FALSE())</f>
        <v>Sports</v>
      </c>
      <c r="M1587" t="str">
        <f>VLOOKUP(C1587,Customers!A:F,5,FALSE())</f>
        <v>Retail</v>
      </c>
      <c r="O1587" t="str">
        <f>IFERROR(VLOOKUP(E1587,Sales_Reps!$A:$C,3,FALSE()),"")</f>
        <v/>
      </c>
      <c r="P1587">
        <f>IFERROR(VLOOKUP(C1587,Customers!$A:$C,3,FALSE()),"")</f>
        <v>63</v>
      </c>
      <c r="Q1587" t="str">
        <f t="shared" si="24"/>
        <v>Dec-24</v>
      </c>
      <c r="R1587">
        <f>IFERROR((VLOOKUP(D1587,Products!$A:$E,5,FALSE())-VLOOKUP(D1587,Products!$A:$E,4,FALSE()))/VLOOKUP(D1587,Products!$A:$E,5,FALSE()),"")</f>
        <v>0.58133086876155271</v>
      </c>
    </row>
    <row r="1588" spans="1:18" x14ac:dyDescent="0.3">
      <c r="A1588" s="22" t="s">
        <v>3656</v>
      </c>
      <c r="B1588" s="23">
        <v>45579</v>
      </c>
      <c r="C1588" s="22" t="s">
        <v>1333</v>
      </c>
      <c r="D1588" s="22" t="s">
        <v>591</v>
      </c>
      <c r="E1588" s="22" t="s">
        <v>3657</v>
      </c>
      <c r="F1588" s="24">
        <v>3</v>
      </c>
      <c r="G1588" s="24">
        <v>3450</v>
      </c>
      <c r="H1588" s="24">
        <v>11.6</v>
      </c>
      <c r="I1588" s="24">
        <v>9149.4</v>
      </c>
      <c r="J1588" s="22" t="s">
        <v>104</v>
      </c>
      <c r="K1588" s="22" t="s">
        <v>111</v>
      </c>
      <c r="L1588" t="str">
        <f>VLOOKUP(D1588,Products!A:F,3,FALSE())</f>
        <v>Apparel</v>
      </c>
      <c r="M1588" t="str">
        <f>VLOOKUP(C1588,Customers!A:F,5,FALSE())</f>
        <v>Corporate</v>
      </c>
      <c r="O1588" t="str">
        <f>IFERROR(VLOOKUP(E1588,Sales_Reps!$A:$C,3,FALSE()),"")</f>
        <v/>
      </c>
      <c r="P1588">
        <f>IFERROR(VLOOKUP(C1588,Customers!$A:$C,3,FALSE()),"")</f>
        <v>44</v>
      </c>
      <c r="Q1588" t="str">
        <f t="shared" si="24"/>
        <v>Oct-24</v>
      </c>
      <c r="R1588">
        <f>IFERROR((VLOOKUP(D1588,Products!$A:$E,5,FALSE())-VLOOKUP(D1588,Products!$A:$E,4,FALSE()))/VLOOKUP(D1588,Products!$A:$E,5,FALSE()),"")</f>
        <v>0.49333333333333335</v>
      </c>
    </row>
    <row r="1589" spans="1:18" x14ac:dyDescent="0.3">
      <c r="A1589" s="22" t="s">
        <v>3658</v>
      </c>
      <c r="B1589" s="23">
        <v>45392</v>
      </c>
      <c r="C1589" s="22" t="s">
        <v>261</v>
      </c>
      <c r="D1589" s="22" t="s">
        <v>330</v>
      </c>
      <c r="E1589" s="22" t="s">
        <v>3659</v>
      </c>
      <c r="F1589" s="24">
        <v>2</v>
      </c>
      <c r="G1589" s="24">
        <v>3020</v>
      </c>
      <c r="H1589" s="24">
        <v>20.8</v>
      </c>
      <c r="I1589" s="24">
        <v>4783.68</v>
      </c>
      <c r="J1589" s="22" t="s">
        <v>110</v>
      </c>
      <c r="K1589" s="22" t="s">
        <v>116</v>
      </c>
      <c r="L1589" t="str">
        <f>VLOOKUP(D1589,Products!A:F,3,FALSE())</f>
        <v>Beauty</v>
      </c>
      <c r="M1589" t="str">
        <f>VLOOKUP(C1589,Customers!A:F,5,FALSE())</f>
        <v>Retail</v>
      </c>
      <c r="O1589" t="str">
        <f>IFERROR(VLOOKUP(E1589,Sales_Reps!$A:$C,3,FALSE()),"")</f>
        <v/>
      </c>
      <c r="P1589">
        <f>IFERROR(VLOOKUP(C1589,Customers!$A:$C,3,FALSE()),"")</f>
        <v>53</v>
      </c>
      <c r="Q1589" t="str">
        <f t="shared" si="24"/>
        <v>Apr-24</v>
      </c>
      <c r="R1589">
        <f>IFERROR((VLOOKUP(D1589,Products!$A:$E,5,FALSE())-VLOOKUP(D1589,Products!$A:$E,4,FALSE()))/VLOOKUP(D1589,Products!$A:$E,5,FALSE()),"")</f>
        <v>0.46158940397350995</v>
      </c>
    </row>
    <row r="1590" spans="1:18" x14ac:dyDescent="0.3">
      <c r="A1590" s="22" t="s">
        <v>3660</v>
      </c>
      <c r="B1590" s="23">
        <v>45563</v>
      </c>
      <c r="C1590" s="22" t="s">
        <v>1654</v>
      </c>
      <c r="D1590" s="22" t="s">
        <v>167</v>
      </c>
      <c r="E1590" s="22" t="s">
        <v>3661</v>
      </c>
      <c r="F1590" s="24">
        <v>3</v>
      </c>
      <c r="G1590" s="24">
        <v>190</v>
      </c>
      <c r="H1590" s="24">
        <v>10.7</v>
      </c>
      <c r="I1590" s="24">
        <v>509.01</v>
      </c>
      <c r="J1590" s="22" t="s">
        <v>104</v>
      </c>
      <c r="K1590" s="22" t="s">
        <v>129</v>
      </c>
      <c r="L1590" t="str">
        <f>VLOOKUP(D1590,Products!A:F,3,FALSE())</f>
        <v>Sports</v>
      </c>
      <c r="M1590" t="str">
        <f>VLOOKUP(C1590,Customers!A:F,5,FALSE())</f>
        <v>SMB</v>
      </c>
      <c r="O1590" t="str">
        <f>IFERROR(VLOOKUP(E1590,Sales_Reps!$A:$C,3,FALSE()),"")</f>
        <v/>
      </c>
      <c r="P1590">
        <f>IFERROR(VLOOKUP(C1590,Customers!$A:$C,3,FALSE()),"")</f>
        <v>54</v>
      </c>
      <c r="Q1590" t="str">
        <f t="shared" si="24"/>
        <v>Sep-24</v>
      </c>
      <c r="R1590">
        <f>IFERROR((VLOOKUP(D1590,Products!$A:$E,5,FALSE())-VLOOKUP(D1590,Products!$A:$E,4,FALSE()))/VLOOKUP(D1590,Products!$A:$E,5,FALSE()),"")</f>
        <v>0.22631578947368422</v>
      </c>
    </row>
    <row r="1591" spans="1:18" x14ac:dyDescent="0.3">
      <c r="A1591" s="22" t="s">
        <v>3662</v>
      </c>
      <c r="B1591" s="23">
        <v>45294</v>
      </c>
      <c r="C1591" s="22" t="s">
        <v>223</v>
      </c>
      <c r="D1591" s="22" t="s">
        <v>265</v>
      </c>
      <c r="E1591" s="22" t="s">
        <v>3663</v>
      </c>
      <c r="F1591" s="24">
        <v>4</v>
      </c>
      <c r="G1591" s="24">
        <v>3730</v>
      </c>
      <c r="H1591" s="24">
        <v>6.9</v>
      </c>
      <c r="I1591" s="24">
        <v>13890.52</v>
      </c>
      <c r="J1591" s="22" t="s">
        <v>104</v>
      </c>
      <c r="K1591" s="22" t="s">
        <v>105</v>
      </c>
      <c r="L1591" t="str">
        <f>VLOOKUP(D1591,Products!A:F,3,FALSE())</f>
        <v>Home</v>
      </c>
      <c r="M1591" t="str">
        <f>VLOOKUP(C1591,Customers!A:F,5,FALSE())</f>
        <v>SMB</v>
      </c>
      <c r="O1591" t="str">
        <f>IFERROR(VLOOKUP(E1591,Sales_Reps!$A:$C,3,FALSE()),"")</f>
        <v/>
      </c>
      <c r="P1591">
        <f>IFERROR(VLOOKUP(C1591,Customers!$A:$C,3,FALSE()),"")</f>
        <v>44</v>
      </c>
      <c r="Q1591" t="str">
        <f t="shared" si="24"/>
        <v>Jan-24</v>
      </c>
      <c r="R1591">
        <f>IFERROR((VLOOKUP(D1591,Products!$A:$E,5,FALSE())-VLOOKUP(D1591,Products!$A:$E,4,FALSE()))/VLOOKUP(D1591,Products!$A:$E,5,FALSE()),"")</f>
        <v>0.42761394101876676</v>
      </c>
    </row>
    <row r="1592" spans="1:18" x14ac:dyDescent="0.3">
      <c r="A1592" s="22" t="s">
        <v>3664</v>
      </c>
      <c r="B1592" s="23">
        <v>45503</v>
      </c>
      <c r="C1592" s="22" t="s">
        <v>1589</v>
      </c>
      <c r="D1592" s="22" t="s">
        <v>182</v>
      </c>
      <c r="E1592" s="22" t="s">
        <v>3665</v>
      </c>
      <c r="F1592" s="24">
        <v>9</v>
      </c>
      <c r="G1592" s="24">
        <v>3450</v>
      </c>
      <c r="H1592" s="24">
        <v>22.2</v>
      </c>
      <c r="I1592" s="24">
        <v>24156.9</v>
      </c>
      <c r="J1592" s="22" t="s">
        <v>159</v>
      </c>
      <c r="K1592" s="22" t="s">
        <v>129</v>
      </c>
      <c r="L1592" t="str">
        <f>VLOOKUP(D1592,Products!A:F,3,FALSE())</f>
        <v>Sports</v>
      </c>
      <c r="M1592" t="str">
        <f>VLOOKUP(C1592,Customers!A:F,5,FALSE())</f>
        <v>SMB</v>
      </c>
      <c r="O1592" t="str">
        <f>IFERROR(VLOOKUP(E1592,Sales_Reps!$A:$C,3,FALSE()),"")</f>
        <v/>
      </c>
      <c r="P1592">
        <f>IFERROR(VLOOKUP(C1592,Customers!$A:$C,3,FALSE()),"")</f>
        <v>47</v>
      </c>
      <c r="Q1592" t="str">
        <f t="shared" si="24"/>
        <v>Jul-24</v>
      </c>
      <c r="R1592">
        <f>IFERROR((VLOOKUP(D1592,Products!$A:$E,5,FALSE())-VLOOKUP(D1592,Products!$A:$E,4,FALSE()))/VLOOKUP(D1592,Products!$A:$E,5,FALSE()),"")</f>
        <v>0.28492753623188405</v>
      </c>
    </row>
    <row r="1593" spans="1:18" x14ac:dyDescent="0.3">
      <c r="A1593" s="22" t="s">
        <v>3666</v>
      </c>
      <c r="B1593" s="23">
        <v>45336</v>
      </c>
      <c r="C1593" s="22" t="s">
        <v>677</v>
      </c>
      <c r="D1593" s="22" t="s">
        <v>521</v>
      </c>
      <c r="E1593" s="22" t="s">
        <v>3667</v>
      </c>
      <c r="F1593" s="24">
        <v>3</v>
      </c>
      <c r="G1593" s="24">
        <v>3970</v>
      </c>
      <c r="H1593" s="24">
        <v>6.8</v>
      </c>
      <c r="I1593" s="24">
        <v>11100.12</v>
      </c>
      <c r="J1593" s="22" t="s">
        <v>104</v>
      </c>
      <c r="K1593" s="22" t="s">
        <v>134</v>
      </c>
      <c r="L1593" t="str">
        <f>VLOOKUP(D1593,Products!A:F,3,FALSE())</f>
        <v>Electronics</v>
      </c>
      <c r="M1593" t="str">
        <f>VLOOKUP(C1593,Customers!A:F,5,FALSE())</f>
        <v>Corporate</v>
      </c>
      <c r="O1593" t="str">
        <f>IFERROR(VLOOKUP(E1593,Sales_Reps!$A:$C,3,FALSE()),"")</f>
        <v/>
      </c>
      <c r="P1593">
        <f>IFERROR(VLOOKUP(C1593,Customers!$A:$C,3,FALSE()),"")</f>
        <v>36</v>
      </c>
      <c r="Q1593" t="str">
        <f t="shared" si="24"/>
        <v>Feb-24</v>
      </c>
      <c r="R1593">
        <f>IFERROR((VLOOKUP(D1593,Products!$A:$E,5,FALSE())-VLOOKUP(D1593,Products!$A:$E,4,FALSE()))/VLOOKUP(D1593,Products!$A:$E,5,FALSE()),"")</f>
        <v>0.27833753148614609</v>
      </c>
    </row>
    <row r="1594" spans="1:18" x14ac:dyDescent="0.3">
      <c r="A1594" s="22" t="s">
        <v>3668</v>
      </c>
      <c r="B1594" s="23">
        <v>45462</v>
      </c>
      <c r="C1594" s="22" t="s">
        <v>844</v>
      </c>
      <c r="D1594" s="22" t="s">
        <v>674</v>
      </c>
      <c r="E1594" s="22" t="s">
        <v>3669</v>
      </c>
      <c r="F1594" s="24">
        <v>3</v>
      </c>
      <c r="G1594" s="24">
        <v>1090</v>
      </c>
      <c r="H1594" s="24">
        <v>23.7</v>
      </c>
      <c r="I1594" s="24">
        <v>2495.0100000000002</v>
      </c>
      <c r="J1594" s="22" t="s">
        <v>104</v>
      </c>
      <c r="K1594" s="22" t="s">
        <v>129</v>
      </c>
      <c r="L1594" t="str">
        <f>VLOOKUP(D1594,Products!A:F,3,FALSE())</f>
        <v>Home</v>
      </c>
      <c r="M1594" t="str">
        <f>VLOOKUP(C1594,Customers!A:F,5,FALSE())</f>
        <v>Retail</v>
      </c>
      <c r="O1594" t="str">
        <f>IFERROR(VLOOKUP(E1594,Sales_Reps!$A:$C,3,FALSE()),"")</f>
        <v/>
      </c>
      <c r="P1594">
        <f>IFERROR(VLOOKUP(C1594,Customers!$A:$C,3,FALSE()),"")</f>
        <v>52</v>
      </c>
      <c r="Q1594" t="str">
        <f t="shared" si="24"/>
        <v>Jun-24</v>
      </c>
      <c r="R1594">
        <f>IFERROR((VLOOKUP(D1594,Products!$A:$E,5,FALSE())-VLOOKUP(D1594,Products!$A:$E,4,FALSE()))/VLOOKUP(D1594,Products!$A:$E,5,FALSE()),"")</f>
        <v>0.57431192660550456</v>
      </c>
    </row>
    <row r="1595" spans="1:18" x14ac:dyDescent="0.3">
      <c r="A1595" s="22" t="s">
        <v>3670</v>
      </c>
      <c r="B1595" s="23">
        <v>45300</v>
      </c>
      <c r="C1595" s="22" t="s">
        <v>635</v>
      </c>
      <c r="D1595" s="22" t="s">
        <v>356</v>
      </c>
      <c r="E1595" s="22" t="s">
        <v>3671</v>
      </c>
      <c r="F1595" s="24">
        <v>3</v>
      </c>
      <c r="G1595" s="24">
        <v>2030</v>
      </c>
      <c r="H1595" s="24">
        <v>18.8</v>
      </c>
      <c r="I1595" s="24">
        <v>4945.08</v>
      </c>
      <c r="J1595" s="22" t="s">
        <v>104</v>
      </c>
      <c r="K1595" s="22" t="s">
        <v>105</v>
      </c>
      <c r="L1595" t="str">
        <f>VLOOKUP(D1595,Products!A:F,3,FALSE())</f>
        <v>Home</v>
      </c>
      <c r="M1595" t="str">
        <f>VLOOKUP(C1595,Customers!A:F,5,FALSE())</f>
        <v>SMB</v>
      </c>
      <c r="O1595" t="str">
        <f>IFERROR(VLOOKUP(E1595,Sales_Reps!$A:$C,3,FALSE()),"")</f>
        <v/>
      </c>
      <c r="P1595">
        <f>IFERROR(VLOOKUP(C1595,Customers!$A:$C,3,FALSE()),"")</f>
        <v>49</v>
      </c>
      <c r="Q1595" t="str">
        <f t="shared" si="24"/>
        <v>Jan-24</v>
      </c>
      <c r="R1595">
        <f>IFERROR((VLOOKUP(D1595,Products!$A:$E,5,FALSE())-VLOOKUP(D1595,Products!$A:$E,4,FALSE()))/VLOOKUP(D1595,Products!$A:$E,5,FALSE()),"")</f>
        <v>0.43694581280788175</v>
      </c>
    </row>
    <row r="1596" spans="1:18" x14ac:dyDescent="0.3">
      <c r="A1596" s="22" t="s">
        <v>3672</v>
      </c>
      <c r="B1596" s="23">
        <v>45367</v>
      </c>
      <c r="C1596" s="22" t="s">
        <v>868</v>
      </c>
      <c r="D1596" s="22" t="s">
        <v>315</v>
      </c>
      <c r="E1596" s="22" t="s">
        <v>3673</v>
      </c>
      <c r="F1596" s="24">
        <v>2</v>
      </c>
      <c r="G1596" s="24">
        <v>4070</v>
      </c>
      <c r="H1596" s="24">
        <v>14.3</v>
      </c>
      <c r="I1596" s="24">
        <v>6975.98</v>
      </c>
      <c r="J1596" s="22" t="s">
        <v>104</v>
      </c>
      <c r="K1596" s="22" t="s">
        <v>3674</v>
      </c>
      <c r="L1596" t="str">
        <f>VLOOKUP(D1596,Products!A:F,3,FALSE())</f>
        <v>Grocery</v>
      </c>
      <c r="M1596" t="str">
        <f>VLOOKUP(C1596,Customers!A:F,5,FALSE())</f>
        <v>Corporate</v>
      </c>
      <c r="O1596" t="str">
        <f>IFERROR(VLOOKUP(E1596,Sales_Reps!$A:$C,3,FALSE()),"")</f>
        <v/>
      </c>
      <c r="P1596">
        <f>IFERROR(VLOOKUP(C1596,Customers!$A:$C,3,FALSE()),"")</f>
        <v>22</v>
      </c>
      <c r="Q1596" t="str">
        <f t="shared" si="24"/>
        <v>Mar-24</v>
      </c>
      <c r="R1596">
        <f>IFERROR((VLOOKUP(D1596,Products!$A:$E,5,FALSE())-VLOOKUP(D1596,Products!$A:$E,4,FALSE()))/VLOOKUP(D1596,Products!$A:$E,5,FALSE()),"")</f>
        <v>0.50196560196560192</v>
      </c>
    </row>
    <row r="1597" spans="1:18" x14ac:dyDescent="0.3">
      <c r="A1597" s="22" t="s">
        <v>3675</v>
      </c>
      <c r="B1597" s="23">
        <v>45410</v>
      </c>
      <c r="C1597" s="22" t="s">
        <v>1882</v>
      </c>
      <c r="D1597" s="22" t="s">
        <v>102</v>
      </c>
      <c r="E1597" s="22" t="s">
        <v>3676</v>
      </c>
      <c r="F1597" s="24">
        <v>3</v>
      </c>
      <c r="G1597" s="24">
        <v>3620</v>
      </c>
      <c r="H1597" s="24">
        <v>13.5</v>
      </c>
      <c r="I1597" s="24">
        <v>9393.9</v>
      </c>
      <c r="J1597" s="22" t="s">
        <v>104</v>
      </c>
      <c r="K1597" s="22" t="s">
        <v>111</v>
      </c>
      <c r="L1597" t="str">
        <f>VLOOKUP(D1597,Products!A:F,3,FALSE())</f>
        <v>Apparel</v>
      </c>
      <c r="M1597" t="str">
        <f>VLOOKUP(C1597,Customers!A:F,5,FALSE())</f>
        <v>Corporate</v>
      </c>
      <c r="O1597" t="str">
        <f>IFERROR(VLOOKUP(E1597,Sales_Reps!$A:$C,3,FALSE()),"")</f>
        <v/>
      </c>
      <c r="P1597">
        <f>IFERROR(VLOOKUP(C1597,Customers!$A:$C,3,FALSE()),"")</f>
        <v>49</v>
      </c>
      <c r="Q1597" t="str">
        <f t="shared" si="24"/>
        <v>Apr-24</v>
      </c>
      <c r="R1597">
        <f>IFERROR((VLOOKUP(D1597,Products!$A:$E,5,FALSE())-VLOOKUP(D1597,Products!$A:$E,4,FALSE()))/VLOOKUP(D1597,Products!$A:$E,5,FALSE()),"")</f>
        <v>0.3069060773480663</v>
      </c>
    </row>
    <row r="1598" spans="1:18" x14ac:dyDescent="0.3">
      <c r="A1598" s="22" t="s">
        <v>3677</v>
      </c>
      <c r="B1598" s="23">
        <v>45623</v>
      </c>
      <c r="C1598" s="22" t="s">
        <v>1154</v>
      </c>
      <c r="D1598" s="22" t="s">
        <v>209</v>
      </c>
      <c r="E1598" s="22" t="s">
        <v>3678</v>
      </c>
      <c r="F1598" s="24">
        <v>4</v>
      </c>
      <c r="G1598" s="24">
        <v>1010</v>
      </c>
      <c r="H1598" s="24">
        <v>3.3</v>
      </c>
      <c r="I1598" s="24">
        <v>3906.68</v>
      </c>
      <c r="J1598" s="22" t="s">
        <v>104</v>
      </c>
      <c r="K1598" s="22" t="s">
        <v>105</v>
      </c>
      <c r="L1598" t="str">
        <f>VLOOKUP(D1598,Products!A:F,3,FALSE())</f>
        <v>Sports</v>
      </c>
      <c r="M1598" t="str">
        <f>VLOOKUP(C1598,Customers!A:F,5,FALSE())</f>
        <v>Retail</v>
      </c>
      <c r="O1598" t="str">
        <f>IFERROR(VLOOKUP(E1598,Sales_Reps!$A:$C,3,FALSE()),"")</f>
        <v/>
      </c>
      <c r="P1598">
        <f>IFERROR(VLOOKUP(C1598,Customers!$A:$C,3,FALSE()),"")</f>
        <v>31</v>
      </c>
      <c r="Q1598" t="str">
        <f t="shared" si="24"/>
        <v>Nov-24</v>
      </c>
      <c r="R1598">
        <f>IFERROR((VLOOKUP(D1598,Products!$A:$E,5,FALSE())-VLOOKUP(D1598,Products!$A:$E,4,FALSE()))/VLOOKUP(D1598,Products!$A:$E,5,FALSE()),"")</f>
        <v>0.4891089108910891</v>
      </c>
    </row>
    <row r="1599" spans="1:18" x14ac:dyDescent="0.3">
      <c r="A1599" s="22" t="s">
        <v>3679</v>
      </c>
      <c r="B1599" s="23">
        <v>45491</v>
      </c>
      <c r="C1599" s="22" t="s">
        <v>445</v>
      </c>
      <c r="D1599" s="22" t="s">
        <v>145</v>
      </c>
      <c r="E1599" s="22" t="s">
        <v>3680</v>
      </c>
      <c r="F1599" s="24">
        <v>7</v>
      </c>
      <c r="G1599" s="24">
        <v>970</v>
      </c>
      <c r="H1599" s="24">
        <v>0.1</v>
      </c>
      <c r="I1599" s="24">
        <v>6783.21</v>
      </c>
      <c r="J1599" s="22" t="s">
        <v>104</v>
      </c>
      <c r="K1599" s="22" t="s">
        <v>116</v>
      </c>
      <c r="L1599" t="str">
        <f>VLOOKUP(D1599,Products!A:F,3,FALSE())</f>
        <v>Grocery</v>
      </c>
      <c r="M1599" t="str">
        <f>VLOOKUP(C1599,Customers!A:F,5,FALSE())</f>
        <v>SMB</v>
      </c>
      <c r="O1599" t="str">
        <f>IFERROR(VLOOKUP(E1599,Sales_Reps!$A:$C,3,FALSE()),"")</f>
        <v/>
      </c>
      <c r="P1599">
        <f>IFERROR(VLOOKUP(C1599,Customers!$A:$C,3,FALSE()),"")</f>
        <v>38</v>
      </c>
      <c r="Q1599" t="str">
        <f t="shared" si="24"/>
        <v>Jul-24</v>
      </c>
      <c r="R1599">
        <f>IFERROR((VLOOKUP(D1599,Products!$A:$E,5,FALSE())-VLOOKUP(D1599,Products!$A:$E,4,FALSE()))/VLOOKUP(D1599,Products!$A:$E,5,FALSE()),"")</f>
        <v>0.5525773195876289</v>
      </c>
    </row>
    <row r="1600" spans="1:18" x14ac:dyDescent="0.3">
      <c r="A1600" s="22" t="s">
        <v>3681</v>
      </c>
      <c r="B1600" s="23">
        <v>45571</v>
      </c>
      <c r="C1600" s="22" t="s">
        <v>1306</v>
      </c>
      <c r="D1600" s="22" t="s">
        <v>114</v>
      </c>
      <c r="E1600" s="22" t="s">
        <v>3682</v>
      </c>
      <c r="F1600" s="24">
        <v>5</v>
      </c>
      <c r="G1600" s="24">
        <v>470</v>
      </c>
      <c r="H1600" s="24">
        <v>18.3</v>
      </c>
      <c r="I1600" s="24">
        <v>1919.95</v>
      </c>
      <c r="J1600" s="22" t="s">
        <v>164</v>
      </c>
      <c r="K1600" s="22" t="s">
        <v>134</v>
      </c>
      <c r="L1600" t="str">
        <f>VLOOKUP(D1600,Products!A:F,3,FALSE())</f>
        <v>Sports</v>
      </c>
      <c r="M1600" t="str">
        <f>VLOOKUP(C1600,Customers!A:F,5,FALSE())</f>
        <v>Retail</v>
      </c>
      <c r="O1600" t="str">
        <f>IFERROR(VLOOKUP(E1600,Sales_Reps!$A:$C,3,FALSE()),"")</f>
        <v/>
      </c>
      <c r="P1600">
        <f>IFERROR(VLOOKUP(C1600,Customers!$A:$C,3,FALSE()),"")</f>
        <v>47</v>
      </c>
      <c r="Q1600" t="str">
        <f t="shared" si="24"/>
        <v>Oct-24</v>
      </c>
      <c r="R1600">
        <f>IFERROR((VLOOKUP(D1600,Products!$A:$E,5,FALSE())-VLOOKUP(D1600,Products!$A:$E,4,FALSE()))/VLOOKUP(D1600,Products!$A:$E,5,FALSE()),"")</f>
        <v>0.35744680851063831</v>
      </c>
    </row>
    <row r="1601" spans="1:18" x14ac:dyDescent="0.3">
      <c r="A1601" s="22" t="s">
        <v>3683</v>
      </c>
      <c r="B1601" s="23">
        <v>45393</v>
      </c>
      <c r="C1601" s="22" t="s">
        <v>760</v>
      </c>
      <c r="D1601" s="22" t="s">
        <v>591</v>
      </c>
      <c r="E1601" s="22" t="s">
        <v>3684</v>
      </c>
      <c r="F1601" s="24">
        <v>8</v>
      </c>
      <c r="G1601" s="24">
        <v>3450</v>
      </c>
      <c r="H1601" s="24">
        <v>5.0999999999999996</v>
      </c>
      <c r="I1601" s="24">
        <v>26192.400000000001</v>
      </c>
      <c r="J1601" s="22" t="s">
        <v>164</v>
      </c>
      <c r="K1601" s="22" t="s">
        <v>129</v>
      </c>
      <c r="L1601" t="str">
        <f>VLOOKUP(D1601,Products!A:F,3,FALSE())</f>
        <v>Apparel</v>
      </c>
      <c r="M1601" t="str">
        <f>VLOOKUP(C1601,Customers!A:F,5,FALSE())</f>
        <v>Retail</v>
      </c>
      <c r="O1601" t="str">
        <f>IFERROR(VLOOKUP(E1601,Sales_Reps!$A:$C,3,FALSE()),"")</f>
        <v/>
      </c>
      <c r="P1601">
        <f>IFERROR(VLOOKUP(C1601,Customers!$A:$C,3,FALSE()),"")</f>
        <v>37</v>
      </c>
      <c r="Q1601" t="str">
        <f t="shared" si="24"/>
        <v>Apr-24</v>
      </c>
      <c r="R1601">
        <f>IFERROR((VLOOKUP(D1601,Products!$A:$E,5,FALSE())-VLOOKUP(D1601,Products!$A:$E,4,FALSE()))/VLOOKUP(D1601,Products!$A:$E,5,FALSE()),"")</f>
        <v>0.49333333333333335</v>
      </c>
    </row>
    <row r="1602" spans="1:18" x14ac:dyDescent="0.3">
      <c r="A1602" s="22" t="s">
        <v>3685</v>
      </c>
      <c r="B1602" s="23">
        <v>45465</v>
      </c>
      <c r="C1602" s="22" t="s">
        <v>847</v>
      </c>
      <c r="D1602" s="22" t="s">
        <v>153</v>
      </c>
      <c r="E1602" s="22" t="s">
        <v>3686</v>
      </c>
      <c r="F1602" s="24">
        <v>1</v>
      </c>
      <c r="G1602" s="24">
        <v>2640</v>
      </c>
      <c r="H1602" s="24">
        <v>5.9</v>
      </c>
      <c r="I1602" s="24">
        <v>2484.2399999999998</v>
      </c>
      <c r="J1602" s="22" t="s">
        <v>104</v>
      </c>
      <c r="K1602" s="22" t="s">
        <v>105</v>
      </c>
      <c r="L1602" t="str">
        <f>VLOOKUP(D1602,Products!A:F,3,FALSE())</f>
        <v>Electronics</v>
      </c>
      <c r="M1602" t="str">
        <f>VLOOKUP(C1602,Customers!A:F,5,FALSE())</f>
        <v>Corporate</v>
      </c>
      <c r="O1602" t="str">
        <f>IFERROR(VLOOKUP(E1602,Sales_Reps!$A:$C,3,FALSE()),"")</f>
        <v/>
      </c>
      <c r="P1602">
        <f>IFERROR(VLOOKUP(C1602,Customers!$A:$C,3,FALSE()),"")</f>
        <v>40</v>
      </c>
      <c r="Q1602" t="str">
        <f t="shared" ref="Q1602:Q1665" si="25">TEXT(B1602,"mmm-yy")</f>
        <v>Jun-24</v>
      </c>
      <c r="R1602">
        <f>IFERROR((VLOOKUP(D1602,Products!$A:$E,5,FALSE())-VLOOKUP(D1602,Products!$A:$E,4,FALSE()))/VLOOKUP(D1602,Products!$A:$E,5,FALSE()),"")</f>
        <v>0.56477272727272732</v>
      </c>
    </row>
    <row r="1603" spans="1:18" x14ac:dyDescent="0.3">
      <c r="A1603" s="22" t="s">
        <v>3687</v>
      </c>
      <c r="B1603" s="23">
        <v>45354</v>
      </c>
      <c r="C1603" s="22" t="s">
        <v>810</v>
      </c>
      <c r="D1603" s="22" t="s">
        <v>216</v>
      </c>
      <c r="E1603" s="22" t="s">
        <v>3688</v>
      </c>
      <c r="F1603" s="24">
        <v>10</v>
      </c>
      <c r="G1603" s="24">
        <v>3570</v>
      </c>
      <c r="H1603" s="24">
        <v>21.5</v>
      </c>
      <c r="I1603" s="24">
        <v>28024.5</v>
      </c>
      <c r="J1603" s="22" t="s">
        <v>104</v>
      </c>
      <c r="K1603" s="22" t="s">
        <v>111</v>
      </c>
      <c r="L1603" t="str">
        <f>VLOOKUP(D1603,Products!A:F,3,FALSE())</f>
        <v>Electronics</v>
      </c>
      <c r="M1603" t="str">
        <f>VLOOKUP(C1603,Customers!A:F,5,FALSE())</f>
        <v>Retail</v>
      </c>
      <c r="O1603" t="str">
        <f>IFERROR(VLOOKUP(E1603,Sales_Reps!$A:$C,3,FALSE()),"")</f>
        <v/>
      </c>
      <c r="P1603">
        <f>IFERROR(VLOOKUP(C1603,Customers!$A:$C,3,FALSE()),"")</f>
        <v>26</v>
      </c>
      <c r="Q1603" t="str">
        <f t="shared" si="25"/>
        <v>Mar-24</v>
      </c>
      <c r="R1603">
        <f>IFERROR((VLOOKUP(D1603,Products!$A:$E,5,FALSE())-VLOOKUP(D1603,Products!$A:$E,4,FALSE()))/VLOOKUP(D1603,Products!$A:$E,5,FALSE()),"")</f>
        <v>0.53361344537815125</v>
      </c>
    </row>
    <row r="1604" spans="1:18" x14ac:dyDescent="0.3">
      <c r="A1604" s="22" t="s">
        <v>3689</v>
      </c>
      <c r="B1604" s="23">
        <v>45581</v>
      </c>
      <c r="C1604" s="22" t="s">
        <v>822</v>
      </c>
      <c r="D1604" s="22" t="s">
        <v>137</v>
      </c>
      <c r="E1604" s="22" t="s">
        <v>3690</v>
      </c>
      <c r="F1604" s="24">
        <v>10</v>
      </c>
      <c r="G1604" s="24">
        <v>1430</v>
      </c>
      <c r="H1604" s="24">
        <v>11.4</v>
      </c>
      <c r="I1604" s="24">
        <v>12669.8</v>
      </c>
      <c r="J1604" s="22" t="s">
        <v>159</v>
      </c>
      <c r="K1604" s="22" t="s">
        <v>151</v>
      </c>
      <c r="L1604" t="str">
        <f>VLOOKUP(D1604,Products!A:F,3,FALSE())</f>
        <v>Electronics</v>
      </c>
      <c r="M1604" t="str">
        <f>VLOOKUP(C1604,Customers!A:F,5,FALSE())</f>
        <v>Retail</v>
      </c>
      <c r="O1604" t="str">
        <f>IFERROR(VLOOKUP(E1604,Sales_Reps!$A:$C,3,FALSE()),"")</f>
        <v/>
      </c>
      <c r="P1604">
        <f>IFERROR(VLOOKUP(C1604,Customers!$A:$C,3,FALSE()),"")</f>
        <v>22</v>
      </c>
      <c r="Q1604" t="str">
        <f t="shared" si="25"/>
        <v>Oct-24</v>
      </c>
      <c r="R1604">
        <f>IFERROR((VLOOKUP(D1604,Products!$A:$E,5,FALSE())-VLOOKUP(D1604,Products!$A:$E,4,FALSE()))/VLOOKUP(D1604,Products!$A:$E,5,FALSE()),"")</f>
        <v>0.39790209790209791</v>
      </c>
    </row>
    <row r="1605" spans="1:18" x14ac:dyDescent="0.3">
      <c r="A1605" s="22" t="s">
        <v>3691</v>
      </c>
      <c r="B1605" s="23">
        <v>45643</v>
      </c>
      <c r="C1605" s="22" t="s">
        <v>1221</v>
      </c>
      <c r="D1605" s="22" t="s">
        <v>132</v>
      </c>
      <c r="E1605" s="22" t="s">
        <v>3692</v>
      </c>
      <c r="F1605" s="24">
        <v>7</v>
      </c>
      <c r="G1605" s="24">
        <v>960</v>
      </c>
      <c r="H1605" s="24">
        <v>22.9</v>
      </c>
      <c r="I1605" s="24">
        <v>5181.12</v>
      </c>
      <c r="J1605" s="22" t="s">
        <v>104</v>
      </c>
      <c r="K1605" s="22" t="s">
        <v>111</v>
      </c>
      <c r="L1605" t="str">
        <f>VLOOKUP(D1605,Products!A:F,3,FALSE())</f>
        <v>Sports</v>
      </c>
      <c r="M1605" t="str">
        <f>VLOOKUP(C1605,Customers!A:F,5,FALSE())</f>
        <v>Retail</v>
      </c>
      <c r="O1605" t="str">
        <f>IFERROR(VLOOKUP(E1605,Sales_Reps!$A:$C,3,FALSE()),"")</f>
        <v/>
      </c>
      <c r="P1605">
        <f>IFERROR(VLOOKUP(C1605,Customers!$A:$C,3,FALSE()),"")</f>
        <v>32</v>
      </c>
      <c r="Q1605" t="str">
        <f t="shared" si="25"/>
        <v>Dec-24</v>
      </c>
      <c r="R1605">
        <f>IFERROR((VLOOKUP(D1605,Products!$A:$E,5,FALSE())-VLOOKUP(D1605,Products!$A:$E,4,FALSE()))/VLOOKUP(D1605,Products!$A:$E,5,FALSE()),"")</f>
        <v>0.265625</v>
      </c>
    </row>
    <row r="1606" spans="1:18" x14ac:dyDescent="0.3">
      <c r="A1606" s="22" t="s">
        <v>3693</v>
      </c>
      <c r="B1606" s="23">
        <v>45606</v>
      </c>
      <c r="C1606" s="22" t="s">
        <v>1539</v>
      </c>
      <c r="D1606" s="22" t="s">
        <v>162</v>
      </c>
      <c r="E1606" s="22" t="s">
        <v>3694</v>
      </c>
      <c r="F1606" s="24">
        <v>8</v>
      </c>
      <c r="G1606" s="24">
        <v>3250</v>
      </c>
      <c r="H1606" s="24">
        <v>1.9</v>
      </c>
      <c r="I1606" s="24">
        <v>25506</v>
      </c>
      <c r="J1606" s="22" t="s">
        <v>104</v>
      </c>
      <c r="K1606" s="22" t="s">
        <v>134</v>
      </c>
      <c r="L1606" t="str">
        <f>VLOOKUP(D1606,Products!A:F,3,FALSE())</f>
        <v>Home</v>
      </c>
      <c r="M1606" t="str">
        <f>VLOOKUP(C1606,Customers!A:F,5,FALSE())</f>
        <v>Retail</v>
      </c>
      <c r="O1606" t="str">
        <f>IFERROR(VLOOKUP(E1606,Sales_Reps!$A:$C,3,FALSE()),"")</f>
        <v/>
      </c>
      <c r="P1606">
        <f>IFERROR(VLOOKUP(C1606,Customers!$A:$C,3,FALSE()),"")</f>
        <v>27</v>
      </c>
      <c r="Q1606" t="str">
        <f t="shared" si="25"/>
        <v>Nov-24</v>
      </c>
      <c r="R1606">
        <f>IFERROR((VLOOKUP(D1606,Products!$A:$E,5,FALSE())-VLOOKUP(D1606,Products!$A:$E,4,FALSE()))/VLOOKUP(D1606,Products!$A:$E,5,FALSE()),"")</f>
        <v>0.52123076923076928</v>
      </c>
    </row>
    <row r="1607" spans="1:18" x14ac:dyDescent="0.3">
      <c r="A1607" s="22" t="s">
        <v>3695</v>
      </c>
      <c r="B1607" s="23">
        <v>45356</v>
      </c>
      <c r="C1607" s="22" t="s">
        <v>879</v>
      </c>
      <c r="D1607" s="22" t="s">
        <v>182</v>
      </c>
      <c r="E1607" s="22" t="s">
        <v>3696</v>
      </c>
      <c r="F1607" s="24">
        <v>9</v>
      </c>
      <c r="G1607" s="24">
        <v>3450</v>
      </c>
      <c r="H1607" s="24">
        <v>18</v>
      </c>
      <c r="I1607" s="24">
        <v>25461</v>
      </c>
      <c r="J1607" s="22" t="s">
        <v>104</v>
      </c>
      <c r="K1607" s="22" t="s">
        <v>151</v>
      </c>
      <c r="L1607" t="str">
        <f>VLOOKUP(D1607,Products!A:F,3,FALSE())</f>
        <v>Sports</v>
      </c>
      <c r="M1607" t="str">
        <f>VLOOKUP(C1607,Customers!A:F,5,FALSE())</f>
        <v>Corporate</v>
      </c>
      <c r="O1607" t="str">
        <f>IFERROR(VLOOKUP(E1607,Sales_Reps!$A:$C,3,FALSE()),"")</f>
        <v/>
      </c>
      <c r="P1607">
        <f>IFERROR(VLOOKUP(C1607,Customers!$A:$C,3,FALSE()),"")</f>
        <v>22</v>
      </c>
      <c r="Q1607" t="str">
        <f t="shared" si="25"/>
        <v>Mar-24</v>
      </c>
      <c r="R1607">
        <f>IFERROR((VLOOKUP(D1607,Products!$A:$E,5,FALSE())-VLOOKUP(D1607,Products!$A:$E,4,FALSE()))/VLOOKUP(D1607,Products!$A:$E,5,FALSE()),"")</f>
        <v>0.28492753623188405</v>
      </c>
    </row>
    <row r="1608" spans="1:18" x14ac:dyDescent="0.3">
      <c r="A1608" s="22" t="s">
        <v>3697</v>
      </c>
      <c r="B1608" s="23">
        <v>45343</v>
      </c>
      <c r="C1608" s="22" t="s">
        <v>200</v>
      </c>
      <c r="D1608" s="22" t="s">
        <v>149</v>
      </c>
      <c r="E1608" s="22" t="s">
        <v>3698</v>
      </c>
      <c r="F1608" s="24">
        <v>5</v>
      </c>
      <c r="G1608" s="24">
        <v>2270</v>
      </c>
      <c r="H1608" s="24">
        <v>11.5</v>
      </c>
      <c r="I1608" s="24">
        <v>10044.75</v>
      </c>
      <c r="J1608" s="22" t="s">
        <v>104</v>
      </c>
      <c r="K1608" s="22" t="s">
        <v>151</v>
      </c>
      <c r="L1608" t="str">
        <f>VLOOKUP(D1608,Products!A:F,3,FALSE())</f>
        <v>Grocery</v>
      </c>
      <c r="M1608" t="str">
        <f>VLOOKUP(C1608,Customers!A:F,5,FALSE())</f>
        <v>SMB</v>
      </c>
      <c r="O1608" t="str">
        <f>IFERROR(VLOOKUP(E1608,Sales_Reps!$A:$C,3,FALSE()),"")</f>
        <v/>
      </c>
      <c r="P1608">
        <f>IFERROR(VLOOKUP(C1608,Customers!$A:$C,3,FALSE()),"")</f>
        <v>40</v>
      </c>
      <c r="Q1608" t="str">
        <f t="shared" si="25"/>
        <v>Feb-24</v>
      </c>
      <c r="R1608">
        <f>IFERROR((VLOOKUP(D1608,Products!$A:$E,5,FALSE())-VLOOKUP(D1608,Products!$A:$E,4,FALSE()))/VLOOKUP(D1608,Products!$A:$E,5,FALSE()),"")</f>
        <v>0.47004405286343615</v>
      </c>
    </row>
    <row r="1609" spans="1:18" x14ac:dyDescent="0.3">
      <c r="A1609" s="22" t="s">
        <v>3699</v>
      </c>
      <c r="B1609" s="23">
        <v>45449</v>
      </c>
      <c r="C1609" s="22" t="s">
        <v>1350</v>
      </c>
      <c r="D1609" s="22" t="s">
        <v>330</v>
      </c>
      <c r="E1609" s="22" t="s">
        <v>3700</v>
      </c>
      <c r="F1609" s="24">
        <v>6</v>
      </c>
      <c r="G1609" s="24">
        <v>3020</v>
      </c>
      <c r="H1609" s="24">
        <v>12.6</v>
      </c>
      <c r="I1609" s="24">
        <v>15836.88</v>
      </c>
      <c r="J1609" s="22" t="s">
        <v>104</v>
      </c>
      <c r="K1609" s="22" t="s">
        <v>134</v>
      </c>
      <c r="L1609" t="str">
        <f>VLOOKUP(D1609,Products!A:F,3,FALSE())</f>
        <v>Beauty</v>
      </c>
      <c r="M1609" t="str">
        <f>VLOOKUP(C1609,Customers!A:F,5,FALSE())</f>
        <v>Retail</v>
      </c>
      <c r="O1609" t="str">
        <f>IFERROR(VLOOKUP(E1609,Sales_Reps!$A:$C,3,FALSE()),"")</f>
        <v/>
      </c>
      <c r="P1609">
        <f>IFERROR(VLOOKUP(C1609,Customers!$A:$C,3,FALSE()),"")</f>
        <v>46</v>
      </c>
      <c r="Q1609" t="str">
        <f t="shared" si="25"/>
        <v>Jun-24</v>
      </c>
      <c r="R1609">
        <f>IFERROR((VLOOKUP(D1609,Products!$A:$E,5,FALSE())-VLOOKUP(D1609,Products!$A:$E,4,FALSE()))/VLOOKUP(D1609,Products!$A:$E,5,FALSE()),"")</f>
        <v>0.46158940397350995</v>
      </c>
    </row>
    <row r="1610" spans="1:18" x14ac:dyDescent="0.3">
      <c r="A1610" s="22" t="s">
        <v>3701</v>
      </c>
      <c r="B1610" s="23">
        <v>45317</v>
      </c>
      <c r="C1610" s="22" t="s">
        <v>608</v>
      </c>
      <c r="D1610" s="22" t="s">
        <v>153</v>
      </c>
      <c r="E1610" s="22" t="s">
        <v>3702</v>
      </c>
      <c r="F1610" s="24">
        <v>8</v>
      </c>
      <c r="G1610" s="24">
        <v>2640</v>
      </c>
      <c r="H1610" s="24">
        <v>14.5</v>
      </c>
      <c r="I1610" s="24">
        <v>18057.599999999999</v>
      </c>
      <c r="J1610" s="22" t="s">
        <v>164</v>
      </c>
      <c r="K1610" s="22" t="s">
        <v>134</v>
      </c>
      <c r="L1610" t="str">
        <f>VLOOKUP(D1610,Products!A:F,3,FALSE())</f>
        <v>Electronics</v>
      </c>
      <c r="M1610" t="str">
        <f>VLOOKUP(C1610,Customers!A:F,5,FALSE())</f>
        <v>Retail</v>
      </c>
      <c r="O1610" t="str">
        <f>IFERROR(VLOOKUP(E1610,Sales_Reps!$A:$C,3,FALSE()),"")</f>
        <v/>
      </c>
      <c r="P1610">
        <f>IFERROR(VLOOKUP(C1610,Customers!$A:$C,3,FALSE()),"")</f>
        <v>55</v>
      </c>
      <c r="Q1610" t="str">
        <f t="shared" si="25"/>
        <v>Jan-24</v>
      </c>
      <c r="R1610">
        <f>IFERROR((VLOOKUP(D1610,Products!$A:$E,5,FALSE())-VLOOKUP(D1610,Products!$A:$E,4,FALSE()))/VLOOKUP(D1610,Products!$A:$E,5,FALSE()),"")</f>
        <v>0.56477272727272732</v>
      </c>
    </row>
    <row r="1611" spans="1:18" x14ac:dyDescent="0.3">
      <c r="A1611" s="22" t="s">
        <v>3703</v>
      </c>
      <c r="B1611" s="23">
        <v>45561</v>
      </c>
      <c r="C1611" s="22" t="s">
        <v>140</v>
      </c>
      <c r="D1611" s="22" t="s">
        <v>149</v>
      </c>
      <c r="E1611" s="22" t="s">
        <v>3704</v>
      </c>
      <c r="F1611" s="24">
        <v>2</v>
      </c>
      <c r="G1611" s="24">
        <v>2270</v>
      </c>
      <c r="H1611" s="24">
        <v>27</v>
      </c>
      <c r="I1611" s="24">
        <v>3314.2</v>
      </c>
      <c r="J1611" s="22" t="s">
        <v>104</v>
      </c>
      <c r="K1611" s="22" t="s">
        <v>134</v>
      </c>
      <c r="L1611" t="str">
        <f>VLOOKUP(D1611,Products!A:F,3,FALSE())</f>
        <v>Grocery</v>
      </c>
      <c r="M1611" t="str">
        <f>VLOOKUP(C1611,Customers!A:F,5,FALSE())</f>
        <v>Retail</v>
      </c>
      <c r="O1611" t="str">
        <f>IFERROR(VLOOKUP(E1611,Sales_Reps!$A:$C,3,FALSE()),"")</f>
        <v/>
      </c>
      <c r="P1611">
        <f>IFERROR(VLOOKUP(C1611,Customers!$A:$C,3,FALSE()),"")</f>
        <v>42</v>
      </c>
      <c r="Q1611" t="str">
        <f t="shared" si="25"/>
        <v>Sep-24</v>
      </c>
      <c r="R1611">
        <f>IFERROR((VLOOKUP(D1611,Products!$A:$E,5,FALSE())-VLOOKUP(D1611,Products!$A:$E,4,FALSE()))/VLOOKUP(D1611,Products!$A:$E,5,FALSE()),"")</f>
        <v>0.47004405286343615</v>
      </c>
    </row>
    <row r="1612" spans="1:18" x14ac:dyDescent="0.3">
      <c r="A1612" s="22" t="s">
        <v>3705</v>
      </c>
      <c r="B1612" s="23">
        <v>45636</v>
      </c>
      <c r="C1612" s="22" t="s">
        <v>122</v>
      </c>
      <c r="D1612" s="22" t="s">
        <v>231</v>
      </c>
      <c r="E1612" s="22" t="s">
        <v>3706</v>
      </c>
      <c r="F1612" s="24">
        <v>8</v>
      </c>
      <c r="G1612" s="24">
        <v>2760</v>
      </c>
      <c r="H1612" s="24">
        <v>18</v>
      </c>
      <c r="I1612" s="24">
        <v>18105.599999999999</v>
      </c>
      <c r="J1612" s="22" t="s">
        <v>159</v>
      </c>
      <c r="K1612" s="22" t="s">
        <v>111</v>
      </c>
      <c r="L1612" t="str">
        <f>VLOOKUP(D1612,Products!A:F,3,FALSE())</f>
        <v>Grocery</v>
      </c>
      <c r="M1612" t="str">
        <f>VLOOKUP(C1612,Customers!A:F,5,FALSE())</f>
        <v>Retail</v>
      </c>
      <c r="O1612" t="str">
        <f>IFERROR(VLOOKUP(E1612,Sales_Reps!$A:$C,3,FALSE()),"")</f>
        <v/>
      </c>
      <c r="P1612">
        <f>IFERROR(VLOOKUP(C1612,Customers!$A:$C,3,FALSE()),"")</f>
        <v>36</v>
      </c>
      <c r="Q1612" t="str">
        <f t="shared" si="25"/>
        <v>Dec-24</v>
      </c>
      <c r="R1612">
        <f>IFERROR((VLOOKUP(D1612,Products!$A:$E,5,FALSE())-VLOOKUP(D1612,Products!$A:$E,4,FALSE()))/VLOOKUP(D1612,Products!$A:$E,5,FALSE()),"")</f>
        <v>0.48007246376811596</v>
      </c>
    </row>
    <row r="1613" spans="1:18" x14ac:dyDescent="0.3">
      <c r="A1613" s="22" t="s">
        <v>3707</v>
      </c>
      <c r="B1613" s="23">
        <v>45398</v>
      </c>
      <c r="C1613" s="22" t="s">
        <v>953</v>
      </c>
      <c r="D1613" s="22" t="s">
        <v>102</v>
      </c>
      <c r="E1613" s="22" t="s">
        <v>3708</v>
      </c>
      <c r="F1613" s="24">
        <v>8</v>
      </c>
      <c r="G1613" s="24">
        <v>3620</v>
      </c>
      <c r="H1613" s="24">
        <v>7.1</v>
      </c>
      <c r="I1613" s="24">
        <v>26903.84</v>
      </c>
      <c r="J1613" s="22" t="s">
        <v>104</v>
      </c>
      <c r="K1613" s="22" t="s">
        <v>151</v>
      </c>
      <c r="L1613" t="str">
        <f>VLOOKUP(D1613,Products!A:F,3,FALSE())</f>
        <v>Apparel</v>
      </c>
      <c r="M1613" t="str">
        <f>VLOOKUP(C1613,Customers!A:F,5,FALSE())</f>
        <v>Retail</v>
      </c>
      <c r="O1613" t="str">
        <f>IFERROR(VLOOKUP(E1613,Sales_Reps!$A:$C,3,FALSE()),"")</f>
        <v/>
      </c>
      <c r="P1613">
        <f>IFERROR(VLOOKUP(C1613,Customers!$A:$C,3,FALSE()),"")</f>
        <v>31</v>
      </c>
      <c r="Q1613" t="str">
        <f t="shared" si="25"/>
        <v>Apr-24</v>
      </c>
      <c r="R1613">
        <f>IFERROR((VLOOKUP(D1613,Products!$A:$E,5,FALSE())-VLOOKUP(D1613,Products!$A:$E,4,FALSE()))/VLOOKUP(D1613,Products!$A:$E,5,FALSE()),"")</f>
        <v>0.3069060773480663</v>
      </c>
    </row>
    <row r="1614" spans="1:18" x14ac:dyDescent="0.3">
      <c r="A1614" s="22" t="s">
        <v>3709</v>
      </c>
      <c r="B1614" s="23">
        <v>45477</v>
      </c>
      <c r="C1614" s="22" t="s">
        <v>1067</v>
      </c>
      <c r="D1614" s="22" t="s">
        <v>488</v>
      </c>
      <c r="E1614" s="22" t="s">
        <v>3710</v>
      </c>
      <c r="F1614" s="24">
        <v>8</v>
      </c>
      <c r="G1614" s="24">
        <v>2290</v>
      </c>
      <c r="H1614" s="24">
        <v>16.399999999999999</v>
      </c>
      <c r="I1614" s="24">
        <v>15315.52</v>
      </c>
      <c r="J1614" s="22" t="s">
        <v>104</v>
      </c>
      <c r="K1614" s="22" t="s">
        <v>105</v>
      </c>
      <c r="L1614" t="str">
        <f>VLOOKUP(D1614,Products!A:F,3,FALSE())</f>
        <v>Beauty</v>
      </c>
      <c r="M1614" t="str">
        <f>VLOOKUP(C1614,Customers!A:F,5,FALSE())</f>
        <v>Retail</v>
      </c>
      <c r="O1614" t="str">
        <f>IFERROR(VLOOKUP(E1614,Sales_Reps!$A:$C,3,FALSE()),"")</f>
        <v/>
      </c>
      <c r="P1614">
        <f>IFERROR(VLOOKUP(C1614,Customers!$A:$C,3,FALSE()),"")</f>
        <v>54</v>
      </c>
      <c r="Q1614" t="str">
        <f t="shared" si="25"/>
        <v>Jul-24</v>
      </c>
      <c r="R1614">
        <f>IFERROR((VLOOKUP(D1614,Products!$A:$E,5,FALSE())-VLOOKUP(D1614,Products!$A:$E,4,FALSE()))/VLOOKUP(D1614,Products!$A:$E,5,FALSE()),"")</f>
        <v>0.46768558951965067</v>
      </c>
    </row>
    <row r="1615" spans="1:18" x14ac:dyDescent="0.3">
      <c r="A1615" s="22" t="s">
        <v>3711</v>
      </c>
      <c r="B1615" s="23">
        <v>45462</v>
      </c>
      <c r="C1615" s="22" t="s">
        <v>1253</v>
      </c>
      <c r="D1615" s="22" t="s">
        <v>201</v>
      </c>
      <c r="E1615" s="22" t="s">
        <v>3712</v>
      </c>
      <c r="F1615" s="24">
        <v>3</v>
      </c>
      <c r="G1615" s="24">
        <v>1650</v>
      </c>
      <c r="H1615" s="24">
        <v>1.8</v>
      </c>
      <c r="I1615" s="24">
        <v>4860.8999999999996</v>
      </c>
      <c r="J1615" s="22" t="s">
        <v>159</v>
      </c>
      <c r="K1615" s="22" t="s">
        <v>134</v>
      </c>
      <c r="L1615" t="str">
        <f>VLOOKUP(D1615,Products!A:F,3,FALSE())</f>
        <v>Beauty</v>
      </c>
      <c r="M1615" t="str">
        <f>VLOOKUP(C1615,Customers!A:F,5,FALSE())</f>
        <v>Corporate</v>
      </c>
      <c r="O1615" t="str">
        <f>IFERROR(VLOOKUP(E1615,Sales_Reps!$A:$C,3,FALSE()),"")</f>
        <v/>
      </c>
      <c r="P1615">
        <f>IFERROR(VLOOKUP(C1615,Customers!$A:$C,3,FALSE()),"")</f>
        <v>41</v>
      </c>
      <c r="Q1615" t="str">
        <f t="shared" si="25"/>
        <v>Jun-24</v>
      </c>
      <c r="R1615">
        <f>IFERROR((VLOOKUP(D1615,Products!$A:$E,5,FALSE())-VLOOKUP(D1615,Products!$A:$E,4,FALSE()))/VLOOKUP(D1615,Products!$A:$E,5,FALSE()),"")</f>
        <v>0.2593939393939394</v>
      </c>
    </row>
    <row r="1616" spans="1:18" x14ac:dyDescent="0.3">
      <c r="A1616" s="22" t="s">
        <v>3713</v>
      </c>
      <c r="B1616" s="23">
        <v>45642</v>
      </c>
      <c r="C1616" s="22" t="s">
        <v>703</v>
      </c>
      <c r="D1616" s="22" t="s">
        <v>455</v>
      </c>
      <c r="E1616" s="22" t="s">
        <v>3714</v>
      </c>
      <c r="F1616" s="24">
        <v>3</v>
      </c>
      <c r="G1616" s="24">
        <v>5330</v>
      </c>
      <c r="H1616" s="24">
        <v>22.2</v>
      </c>
      <c r="I1616" s="24">
        <v>12440.22</v>
      </c>
      <c r="J1616" s="22" t="s">
        <v>104</v>
      </c>
      <c r="K1616" s="22" t="s">
        <v>129</v>
      </c>
      <c r="L1616" t="str">
        <f>VLOOKUP(D1616,Products!A:F,3,FALSE())</f>
        <v>Electronics</v>
      </c>
      <c r="M1616" t="str">
        <f>VLOOKUP(C1616,Customers!A:F,5,FALSE())</f>
        <v>Corporate</v>
      </c>
      <c r="O1616" t="str">
        <f>IFERROR(VLOOKUP(E1616,Sales_Reps!$A:$C,3,FALSE()),"")</f>
        <v/>
      </c>
      <c r="P1616">
        <f>IFERROR(VLOOKUP(C1616,Customers!$A:$C,3,FALSE()),"")</f>
        <v>35</v>
      </c>
      <c r="Q1616" t="str">
        <f t="shared" si="25"/>
        <v>Dec-24</v>
      </c>
      <c r="R1616">
        <f>IFERROR((VLOOKUP(D1616,Products!$A:$E,5,FALSE())-VLOOKUP(D1616,Products!$A:$E,4,FALSE()))/VLOOKUP(D1616,Products!$A:$E,5,FALSE()),"")</f>
        <v>0.54878048780487809</v>
      </c>
    </row>
    <row r="1617" spans="1:18" x14ac:dyDescent="0.3">
      <c r="A1617" s="22" t="s">
        <v>3715</v>
      </c>
      <c r="B1617" s="23">
        <v>45534</v>
      </c>
      <c r="C1617" s="22" t="s">
        <v>982</v>
      </c>
      <c r="D1617" s="22" t="s">
        <v>186</v>
      </c>
      <c r="E1617" s="22" t="s">
        <v>3716</v>
      </c>
      <c r="F1617" s="24">
        <v>7</v>
      </c>
      <c r="G1617" s="24">
        <v>1080</v>
      </c>
      <c r="H1617" s="24">
        <v>17.899999999999999</v>
      </c>
      <c r="I1617" s="24">
        <v>6206.76</v>
      </c>
      <c r="J1617" s="22" t="s">
        <v>104</v>
      </c>
      <c r="K1617" s="22" t="s">
        <v>129</v>
      </c>
      <c r="L1617" t="str">
        <f>VLOOKUP(D1617,Products!A:F,3,FALSE())</f>
        <v>Home</v>
      </c>
      <c r="M1617" t="str">
        <f>VLOOKUP(C1617,Customers!A:F,5,FALSE())</f>
        <v>Retail</v>
      </c>
      <c r="O1617" t="str">
        <f>IFERROR(VLOOKUP(E1617,Sales_Reps!$A:$C,3,FALSE()),"")</f>
        <v/>
      </c>
      <c r="P1617">
        <f>IFERROR(VLOOKUP(C1617,Customers!$A:$C,3,FALSE()),"")</f>
        <v>35</v>
      </c>
      <c r="Q1617" t="str">
        <f t="shared" si="25"/>
        <v>Aug-24</v>
      </c>
      <c r="R1617">
        <f>IFERROR((VLOOKUP(D1617,Products!$A:$E,5,FALSE())-VLOOKUP(D1617,Products!$A:$E,4,FALSE()))/VLOOKUP(D1617,Products!$A:$E,5,FALSE()),"")</f>
        <v>0.51944444444444449</v>
      </c>
    </row>
    <row r="1618" spans="1:18" x14ac:dyDescent="0.3">
      <c r="A1618" s="22" t="s">
        <v>3717</v>
      </c>
      <c r="B1618" s="23">
        <v>45460</v>
      </c>
      <c r="C1618" s="22" t="s">
        <v>118</v>
      </c>
      <c r="D1618" s="22" t="s">
        <v>319</v>
      </c>
      <c r="E1618" s="22" t="s">
        <v>3718</v>
      </c>
      <c r="F1618" s="24">
        <v>10</v>
      </c>
      <c r="G1618" s="24">
        <v>1220</v>
      </c>
      <c r="H1618" s="24">
        <v>5.7</v>
      </c>
      <c r="I1618" s="24">
        <v>11504.6</v>
      </c>
      <c r="J1618" s="22" t="s">
        <v>104</v>
      </c>
      <c r="K1618" s="22" t="s">
        <v>116</v>
      </c>
      <c r="L1618" t="str">
        <f>VLOOKUP(D1618,Products!A:F,3,FALSE())</f>
        <v>Electronics</v>
      </c>
      <c r="M1618" t="str">
        <f>VLOOKUP(C1618,Customers!A:F,5,FALSE())</f>
        <v>Corporate</v>
      </c>
      <c r="O1618" t="str">
        <f>IFERROR(VLOOKUP(E1618,Sales_Reps!$A:$C,3,FALSE()),"")</f>
        <v/>
      </c>
      <c r="P1618">
        <f>IFERROR(VLOOKUP(C1618,Customers!$A:$C,3,FALSE()),"")</f>
        <v>46</v>
      </c>
      <c r="Q1618" t="str">
        <f t="shared" si="25"/>
        <v>Jun-24</v>
      </c>
      <c r="R1618">
        <f>IFERROR((VLOOKUP(D1618,Products!$A:$E,5,FALSE())-VLOOKUP(D1618,Products!$A:$E,4,FALSE()))/VLOOKUP(D1618,Products!$A:$E,5,FALSE()),"")</f>
        <v>0.57622950819672136</v>
      </c>
    </row>
    <row r="1619" spans="1:18" x14ac:dyDescent="0.3">
      <c r="A1619" s="22" t="s">
        <v>3719</v>
      </c>
      <c r="B1619" s="23">
        <v>45648</v>
      </c>
      <c r="C1619" s="22" t="s">
        <v>369</v>
      </c>
      <c r="D1619" s="22" t="s">
        <v>234</v>
      </c>
      <c r="E1619" s="22" t="s">
        <v>3720</v>
      </c>
      <c r="F1619" s="24">
        <v>10</v>
      </c>
      <c r="G1619" s="24">
        <v>660</v>
      </c>
      <c r="H1619" s="24">
        <v>7.5</v>
      </c>
      <c r="I1619" s="24">
        <v>6105</v>
      </c>
      <c r="J1619" s="22" t="s">
        <v>104</v>
      </c>
      <c r="K1619" s="22" t="s">
        <v>151</v>
      </c>
      <c r="L1619" t="str">
        <f>VLOOKUP(D1619,Products!A:F,3,FALSE())</f>
        <v>Home</v>
      </c>
      <c r="M1619" t="str">
        <f>VLOOKUP(C1619,Customers!A:F,5,FALSE())</f>
        <v>Corporate</v>
      </c>
      <c r="O1619" t="str">
        <f>IFERROR(VLOOKUP(E1619,Sales_Reps!$A:$C,3,FALSE()),"")</f>
        <v/>
      </c>
      <c r="P1619">
        <f>IFERROR(VLOOKUP(C1619,Customers!$A:$C,3,FALSE()),"")</f>
        <v>46</v>
      </c>
      <c r="Q1619" t="str">
        <f t="shared" si="25"/>
        <v>Dec-24</v>
      </c>
      <c r="R1619">
        <f>IFERROR((VLOOKUP(D1619,Products!$A:$E,5,FALSE())-VLOOKUP(D1619,Products!$A:$E,4,FALSE()))/VLOOKUP(D1619,Products!$A:$E,5,FALSE()),"")</f>
        <v>0.50151515151515147</v>
      </c>
    </row>
    <row r="1620" spans="1:18" x14ac:dyDescent="0.3">
      <c r="A1620" s="22" t="s">
        <v>3721</v>
      </c>
      <c r="B1620" s="23">
        <v>45557</v>
      </c>
      <c r="C1620" s="22" t="s">
        <v>1447</v>
      </c>
      <c r="D1620" s="22" t="s">
        <v>186</v>
      </c>
      <c r="E1620" s="22" t="s">
        <v>3722</v>
      </c>
      <c r="F1620" s="24">
        <v>6</v>
      </c>
      <c r="G1620" s="24">
        <v>1080</v>
      </c>
      <c r="H1620" s="24">
        <v>28.9</v>
      </c>
      <c r="I1620" s="24">
        <v>4607.28</v>
      </c>
      <c r="J1620" s="22" t="s">
        <v>104</v>
      </c>
      <c r="K1620" s="22" t="s">
        <v>105</v>
      </c>
      <c r="L1620" t="str">
        <f>VLOOKUP(D1620,Products!A:F,3,FALSE())</f>
        <v>Home</v>
      </c>
      <c r="M1620" t="str">
        <f>VLOOKUP(C1620,Customers!A:F,5,FALSE())</f>
        <v>Retail</v>
      </c>
      <c r="O1620" t="str">
        <f>IFERROR(VLOOKUP(E1620,Sales_Reps!$A:$C,3,FALSE()),"")</f>
        <v/>
      </c>
      <c r="P1620">
        <f>IFERROR(VLOOKUP(C1620,Customers!$A:$C,3,FALSE()),"")</f>
        <v>65</v>
      </c>
      <c r="Q1620" t="str">
        <f t="shared" si="25"/>
        <v>Sep-24</v>
      </c>
      <c r="R1620">
        <f>IFERROR((VLOOKUP(D1620,Products!$A:$E,5,FALSE())-VLOOKUP(D1620,Products!$A:$E,4,FALSE()))/VLOOKUP(D1620,Products!$A:$E,5,FALSE()),"")</f>
        <v>0.51944444444444449</v>
      </c>
    </row>
    <row r="1621" spans="1:18" x14ac:dyDescent="0.3">
      <c r="A1621" s="22" t="s">
        <v>3723</v>
      </c>
      <c r="B1621" s="23">
        <v>45584</v>
      </c>
      <c r="C1621" s="22" t="s">
        <v>817</v>
      </c>
      <c r="D1621" s="22" t="s">
        <v>289</v>
      </c>
      <c r="E1621" s="22" t="s">
        <v>3724</v>
      </c>
      <c r="F1621" s="24">
        <v>7</v>
      </c>
      <c r="G1621" s="24">
        <v>2270</v>
      </c>
      <c r="H1621" s="24">
        <v>1.4</v>
      </c>
      <c r="I1621" s="24">
        <v>15667.54</v>
      </c>
      <c r="J1621" s="22" t="s">
        <v>104</v>
      </c>
      <c r="K1621" s="22" t="s">
        <v>111</v>
      </c>
      <c r="L1621" t="str">
        <f>VLOOKUP(D1621,Products!A:F,3,FALSE())</f>
        <v>Grocery</v>
      </c>
      <c r="M1621" t="str">
        <f>VLOOKUP(C1621,Customers!A:F,5,FALSE())</f>
        <v>Corporate</v>
      </c>
      <c r="O1621" t="str">
        <f>IFERROR(VLOOKUP(E1621,Sales_Reps!$A:$C,3,FALSE()),"")</f>
        <v/>
      </c>
      <c r="P1621">
        <f>IFERROR(VLOOKUP(C1621,Customers!$A:$C,3,FALSE()),"")</f>
        <v>30</v>
      </c>
      <c r="Q1621" t="str">
        <f t="shared" si="25"/>
        <v>Oct-24</v>
      </c>
      <c r="R1621">
        <f>IFERROR((VLOOKUP(D1621,Products!$A:$E,5,FALSE())-VLOOKUP(D1621,Products!$A:$E,4,FALSE()))/VLOOKUP(D1621,Products!$A:$E,5,FALSE()),"")</f>
        <v>0.37797356828193834</v>
      </c>
    </row>
    <row r="1622" spans="1:18" x14ac:dyDescent="0.3">
      <c r="A1622" s="22" t="s">
        <v>3725</v>
      </c>
      <c r="B1622" s="23">
        <v>45475</v>
      </c>
      <c r="C1622" s="22" t="s">
        <v>1147</v>
      </c>
      <c r="D1622" s="22" t="s">
        <v>127</v>
      </c>
      <c r="E1622" s="22" t="s">
        <v>3726</v>
      </c>
      <c r="F1622" s="24">
        <v>3</v>
      </c>
      <c r="G1622" s="24">
        <v>370</v>
      </c>
      <c r="H1622" s="24">
        <v>9.6</v>
      </c>
      <c r="I1622" s="24">
        <v>1003.44</v>
      </c>
      <c r="J1622" s="22" t="s">
        <v>164</v>
      </c>
      <c r="K1622" s="22" t="s">
        <v>116</v>
      </c>
      <c r="L1622" t="str">
        <f>VLOOKUP(D1622,Products!A:F,3,FALSE())</f>
        <v>Home</v>
      </c>
      <c r="M1622" t="str">
        <f>VLOOKUP(C1622,Customers!A:F,5,FALSE())</f>
        <v>SMB</v>
      </c>
      <c r="O1622" t="str">
        <f>IFERROR(VLOOKUP(E1622,Sales_Reps!$A:$C,3,FALSE()),"")</f>
        <v/>
      </c>
      <c r="P1622">
        <f>IFERROR(VLOOKUP(C1622,Customers!$A:$C,3,FALSE()),"")</f>
        <v>29</v>
      </c>
      <c r="Q1622" t="str">
        <f t="shared" si="25"/>
        <v>Jul-24</v>
      </c>
      <c r="R1622">
        <f>IFERROR((VLOOKUP(D1622,Products!$A:$E,5,FALSE())-VLOOKUP(D1622,Products!$A:$E,4,FALSE()))/VLOOKUP(D1622,Products!$A:$E,5,FALSE()),"")</f>
        <v>0.22162162162162163</v>
      </c>
    </row>
    <row r="1623" spans="1:18" x14ac:dyDescent="0.3">
      <c r="A1623" s="22" t="s">
        <v>3727</v>
      </c>
      <c r="B1623" s="23">
        <v>45365</v>
      </c>
      <c r="C1623" s="22" t="s">
        <v>1312</v>
      </c>
      <c r="D1623" s="22" t="s">
        <v>145</v>
      </c>
      <c r="E1623" s="22" t="s">
        <v>3728</v>
      </c>
      <c r="F1623" s="24">
        <v>9</v>
      </c>
      <c r="G1623" s="24">
        <v>970</v>
      </c>
      <c r="H1623" s="24">
        <v>29.7</v>
      </c>
      <c r="I1623" s="24">
        <v>6137.19</v>
      </c>
      <c r="J1623" s="22" t="s">
        <v>104</v>
      </c>
      <c r="K1623" s="22" t="s">
        <v>129</v>
      </c>
      <c r="L1623" t="str">
        <f>VLOOKUP(D1623,Products!A:F,3,FALSE())</f>
        <v>Grocery</v>
      </c>
      <c r="M1623" t="str">
        <f>VLOOKUP(C1623,Customers!A:F,5,FALSE())</f>
        <v>Retail</v>
      </c>
      <c r="O1623" t="str">
        <f>IFERROR(VLOOKUP(E1623,Sales_Reps!$A:$C,3,FALSE()),"")</f>
        <v/>
      </c>
      <c r="P1623">
        <f>IFERROR(VLOOKUP(C1623,Customers!$A:$C,3,FALSE()),"")</f>
        <v>57</v>
      </c>
      <c r="Q1623" t="str">
        <f t="shared" si="25"/>
        <v>Mar-24</v>
      </c>
      <c r="R1623">
        <f>IFERROR((VLOOKUP(D1623,Products!$A:$E,5,FALSE())-VLOOKUP(D1623,Products!$A:$E,4,FALSE()))/VLOOKUP(D1623,Products!$A:$E,5,FALSE()),"")</f>
        <v>0.5525773195876289</v>
      </c>
    </row>
    <row r="1624" spans="1:18" x14ac:dyDescent="0.3">
      <c r="A1624" s="22" t="s">
        <v>1669</v>
      </c>
      <c r="B1624" s="23">
        <v>45405</v>
      </c>
      <c r="C1624" s="22" t="s">
        <v>1442</v>
      </c>
      <c r="D1624" s="22" t="s">
        <v>352</v>
      </c>
      <c r="E1624" s="22" t="s">
        <v>3729</v>
      </c>
      <c r="F1624" s="24">
        <v>1</v>
      </c>
      <c r="G1624" s="24">
        <v>620</v>
      </c>
      <c r="H1624" s="24">
        <v>10.4</v>
      </c>
      <c r="I1624" s="24">
        <v>555.52</v>
      </c>
      <c r="J1624" s="22" t="s">
        <v>159</v>
      </c>
      <c r="K1624" s="22" t="s">
        <v>105</v>
      </c>
      <c r="L1624" t="str">
        <f>VLOOKUP(D1624,Products!A:F,3,FALSE())</f>
        <v>Apparel</v>
      </c>
      <c r="M1624" t="str">
        <f>VLOOKUP(C1624,Customers!A:F,5,FALSE())</f>
        <v>Retail</v>
      </c>
      <c r="O1624" t="str">
        <f>IFERROR(VLOOKUP(E1624,Sales_Reps!$A:$C,3,FALSE()),"")</f>
        <v/>
      </c>
      <c r="P1624">
        <f>IFERROR(VLOOKUP(C1624,Customers!$A:$C,3,FALSE()),"")</f>
        <v>54</v>
      </c>
      <c r="Q1624" t="str">
        <f t="shared" si="25"/>
        <v>Apr-24</v>
      </c>
      <c r="R1624">
        <f>IFERROR((VLOOKUP(D1624,Products!$A:$E,5,FALSE())-VLOOKUP(D1624,Products!$A:$E,4,FALSE()))/VLOOKUP(D1624,Products!$A:$E,5,FALSE()),"")</f>
        <v>0.36129032258064514</v>
      </c>
    </row>
    <row r="1625" spans="1:18" x14ac:dyDescent="0.3">
      <c r="A1625" s="22" t="s">
        <v>3730</v>
      </c>
      <c r="B1625" s="23">
        <v>45533</v>
      </c>
      <c r="C1625" s="22" t="s">
        <v>1309</v>
      </c>
      <c r="D1625" s="22" t="s">
        <v>119</v>
      </c>
      <c r="E1625" s="22" t="s">
        <v>3731</v>
      </c>
      <c r="F1625" s="24">
        <v>5</v>
      </c>
      <c r="G1625" s="24">
        <v>3660</v>
      </c>
      <c r="H1625" s="24">
        <v>8</v>
      </c>
      <c r="I1625" s="24">
        <v>16836</v>
      </c>
      <c r="J1625" s="22" t="s">
        <v>104</v>
      </c>
      <c r="K1625" s="22" t="s">
        <v>129</v>
      </c>
      <c r="L1625" t="str">
        <f>VLOOKUP(D1625,Products!A:F,3,FALSE())</f>
        <v>Grocery</v>
      </c>
      <c r="M1625" t="str">
        <f>VLOOKUP(C1625,Customers!A:F,5,FALSE())</f>
        <v>Corporate</v>
      </c>
      <c r="O1625" t="str">
        <f>IFERROR(VLOOKUP(E1625,Sales_Reps!$A:$C,3,FALSE()),"")</f>
        <v/>
      </c>
      <c r="P1625">
        <f>IFERROR(VLOOKUP(C1625,Customers!$A:$C,3,FALSE()),"")</f>
        <v>62</v>
      </c>
      <c r="Q1625" t="str">
        <f t="shared" si="25"/>
        <v>Aug-24</v>
      </c>
      <c r="R1625">
        <f>IFERROR((VLOOKUP(D1625,Products!$A:$E,5,FALSE())-VLOOKUP(D1625,Products!$A:$E,4,FALSE()))/VLOOKUP(D1625,Products!$A:$E,5,FALSE()),"")</f>
        <v>0.39508196721311473</v>
      </c>
    </row>
    <row r="1626" spans="1:18" x14ac:dyDescent="0.3">
      <c r="A1626" s="22" t="s">
        <v>3732</v>
      </c>
      <c r="B1626" s="23">
        <v>45628</v>
      </c>
      <c r="C1626" s="22" t="s">
        <v>118</v>
      </c>
      <c r="D1626" s="22" t="s">
        <v>419</v>
      </c>
      <c r="E1626" s="22" t="s">
        <v>3733</v>
      </c>
      <c r="F1626" s="24">
        <v>7</v>
      </c>
      <c r="G1626" s="24">
        <v>2210</v>
      </c>
      <c r="H1626" s="24">
        <v>13.7</v>
      </c>
      <c r="I1626" s="24">
        <v>13350.61</v>
      </c>
      <c r="J1626" s="22" t="s">
        <v>164</v>
      </c>
      <c r="K1626" s="22" t="s">
        <v>116</v>
      </c>
      <c r="L1626" t="str">
        <f>VLOOKUP(D1626,Products!A:F,3,FALSE())</f>
        <v>Grocery</v>
      </c>
      <c r="M1626" t="str">
        <f>VLOOKUP(C1626,Customers!A:F,5,FALSE())</f>
        <v>Corporate</v>
      </c>
      <c r="O1626" t="str">
        <f>IFERROR(VLOOKUP(E1626,Sales_Reps!$A:$C,3,FALSE()),"")</f>
        <v/>
      </c>
      <c r="P1626">
        <f>IFERROR(VLOOKUP(C1626,Customers!$A:$C,3,FALSE()),"")</f>
        <v>46</v>
      </c>
      <c r="Q1626" t="str">
        <f t="shared" si="25"/>
        <v>Dec-24</v>
      </c>
      <c r="R1626">
        <f>IFERROR((VLOOKUP(D1626,Products!$A:$E,5,FALSE())-VLOOKUP(D1626,Products!$A:$E,4,FALSE()))/VLOOKUP(D1626,Products!$A:$E,5,FALSE()),"")</f>
        <v>0.54298642533936647</v>
      </c>
    </row>
    <row r="1627" spans="1:18" x14ac:dyDescent="0.3">
      <c r="A1627" s="22" t="s">
        <v>3734</v>
      </c>
      <c r="B1627" s="23">
        <v>45631</v>
      </c>
      <c r="C1627" s="22" t="s">
        <v>1015</v>
      </c>
      <c r="D1627" s="22" t="s">
        <v>605</v>
      </c>
      <c r="E1627" s="22" t="s">
        <v>3735</v>
      </c>
      <c r="F1627" s="24">
        <v>1</v>
      </c>
      <c r="G1627" s="24">
        <v>3780</v>
      </c>
      <c r="H1627" s="24">
        <v>11.5</v>
      </c>
      <c r="I1627" s="24">
        <v>3345.3</v>
      </c>
      <c r="J1627" s="22" t="s">
        <v>104</v>
      </c>
      <c r="K1627" s="22" t="s">
        <v>116</v>
      </c>
      <c r="L1627" t="str">
        <f>VLOOKUP(D1627,Products!A:F,3,FALSE())</f>
        <v>Sports</v>
      </c>
      <c r="M1627" t="str">
        <f>VLOOKUP(C1627,Customers!A:F,5,FALSE())</f>
        <v>Retail</v>
      </c>
      <c r="O1627" t="str">
        <f>IFERROR(VLOOKUP(E1627,Sales_Reps!$A:$C,3,FALSE()),"")</f>
        <v/>
      </c>
      <c r="P1627">
        <f>IFERROR(VLOOKUP(C1627,Customers!$A:$C,3,FALSE()),"")</f>
        <v>53</v>
      </c>
      <c r="Q1627" t="str">
        <f t="shared" si="25"/>
        <v>Dec-24</v>
      </c>
      <c r="R1627">
        <f>IFERROR((VLOOKUP(D1627,Products!$A:$E,5,FALSE())-VLOOKUP(D1627,Products!$A:$E,4,FALSE()))/VLOOKUP(D1627,Products!$A:$E,5,FALSE()),"")</f>
        <v>0.50793650793650791</v>
      </c>
    </row>
    <row r="1628" spans="1:18" x14ac:dyDescent="0.3">
      <c r="A1628" s="22" t="s">
        <v>3736</v>
      </c>
      <c r="B1628" s="23">
        <v>45601</v>
      </c>
      <c r="C1628" s="22" t="s">
        <v>351</v>
      </c>
      <c r="D1628" s="22" t="s">
        <v>157</v>
      </c>
      <c r="E1628" s="22" t="s">
        <v>3737</v>
      </c>
      <c r="F1628" s="24">
        <v>10</v>
      </c>
      <c r="G1628" s="24">
        <v>2600</v>
      </c>
      <c r="H1628" s="24">
        <v>29.4</v>
      </c>
      <c r="I1628" s="24">
        <v>18356</v>
      </c>
      <c r="J1628" s="22" t="s">
        <v>104</v>
      </c>
      <c r="K1628" s="22" t="s">
        <v>116</v>
      </c>
      <c r="L1628" t="str">
        <f>VLOOKUP(D1628,Products!A:F,3,FALSE())</f>
        <v>Electronics</v>
      </c>
      <c r="M1628" t="str">
        <f>VLOOKUP(C1628,Customers!A:F,5,FALSE())</f>
        <v>Retail</v>
      </c>
      <c r="O1628" t="str">
        <f>IFERROR(VLOOKUP(E1628,Sales_Reps!$A:$C,3,FALSE()),"")</f>
        <v/>
      </c>
      <c r="P1628">
        <f>IFERROR(VLOOKUP(C1628,Customers!$A:$C,3,FALSE()),"")</f>
        <v>35</v>
      </c>
      <c r="Q1628" t="str">
        <f t="shared" si="25"/>
        <v>Nov-24</v>
      </c>
      <c r="R1628">
        <f>IFERROR((VLOOKUP(D1628,Products!$A:$E,5,FALSE())-VLOOKUP(D1628,Products!$A:$E,4,FALSE()))/VLOOKUP(D1628,Products!$A:$E,5,FALSE()),"")</f>
        <v>0.5953846153846154</v>
      </c>
    </row>
    <row r="1629" spans="1:18" x14ac:dyDescent="0.3">
      <c r="A1629" s="22" t="s">
        <v>3738</v>
      </c>
      <c r="B1629" s="23">
        <v>45365</v>
      </c>
      <c r="C1629" s="22" t="s">
        <v>754</v>
      </c>
      <c r="D1629" s="22" t="s">
        <v>275</v>
      </c>
      <c r="E1629" s="22" t="s">
        <v>3739</v>
      </c>
      <c r="F1629" s="24">
        <v>3</v>
      </c>
      <c r="G1629" s="24">
        <v>3780</v>
      </c>
      <c r="H1629" s="24">
        <v>14.4</v>
      </c>
      <c r="I1629" s="24">
        <v>9707.0400000000009</v>
      </c>
      <c r="J1629" s="22" t="s">
        <v>104</v>
      </c>
      <c r="K1629" s="22" t="s">
        <v>129</v>
      </c>
      <c r="L1629" t="str">
        <f>VLOOKUP(D1629,Products!A:F,3,FALSE())</f>
        <v>Grocery</v>
      </c>
      <c r="M1629" t="str">
        <f>VLOOKUP(C1629,Customers!A:F,5,FALSE())</f>
        <v>Corporate</v>
      </c>
      <c r="O1629" t="str">
        <f>IFERROR(VLOOKUP(E1629,Sales_Reps!$A:$C,3,FALSE()),"")</f>
        <v/>
      </c>
      <c r="P1629">
        <f>IFERROR(VLOOKUP(C1629,Customers!$A:$C,3,FALSE()),"")</f>
        <v>60</v>
      </c>
      <c r="Q1629" t="str">
        <f t="shared" si="25"/>
        <v>Mar-24</v>
      </c>
      <c r="R1629">
        <f>IFERROR((VLOOKUP(D1629,Products!$A:$E,5,FALSE())-VLOOKUP(D1629,Products!$A:$E,4,FALSE()))/VLOOKUP(D1629,Products!$A:$E,5,FALSE()),"")</f>
        <v>0.35555555555555557</v>
      </c>
    </row>
    <row r="1630" spans="1:18" x14ac:dyDescent="0.3">
      <c r="A1630" s="22" t="s">
        <v>3740</v>
      </c>
      <c r="B1630" s="23">
        <v>45421</v>
      </c>
      <c r="C1630" s="22" t="s">
        <v>296</v>
      </c>
      <c r="D1630" s="22" t="s">
        <v>153</v>
      </c>
      <c r="E1630" s="22" t="s">
        <v>3741</v>
      </c>
      <c r="F1630" s="24">
        <v>10</v>
      </c>
      <c r="G1630" s="24">
        <v>2640</v>
      </c>
      <c r="H1630" s="24">
        <v>26.8</v>
      </c>
      <c r="I1630" s="24">
        <v>19324.8</v>
      </c>
      <c r="J1630" s="22" t="s">
        <v>110</v>
      </c>
      <c r="K1630" s="22" t="s">
        <v>134</v>
      </c>
      <c r="L1630" t="str">
        <f>VLOOKUP(D1630,Products!A:F,3,FALSE())</f>
        <v>Electronics</v>
      </c>
      <c r="M1630" t="str">
        <f>VLOOKUP(C1630,Customers!A:F,5,FALSE())</f>
        <v>SMB</v>
      </c>
      <c r="O1630" t="str">
        <f>IFERROR(VLOOKUP(E1630,Sales_Reps!$A:$C,3,FALSE()),"")</f>
        <v/>
      </c>
      <c r="P1630">
        <f>IFERROR(VLOOKUP(C1630,Customers!$A:$C,3,FALSE()),"")</f>
        <v>34</v>
      </c>
      <c r="Q1630" t="str">
        <f t="shared" si="25"/>
        <v>May-24</v>
      </c>
      <c r="R1630">
        <f>IFERROR((VLOOKUP(D1630,Products!$A:$E,5,FALSE())-VLOOKUP(D1630,Products!$A:$E,4,FALSE()))/VLOOKUP(D1630,Products!$A:$E,5,FALSE()),"")</f>
        <v>0.56477272727272732</v>
      </c>
    </row>
    <row r="1631" spans="1:18" x14ac:dyDescent="0.3">
      <c r="A1631" s="22" t="s">
        <v>3742</v>
      </c>
      <c r="B1631" s="23">
        <v>45347</v>
      </c>
      <c r="C1631" s="22" t="s">
        <v>1359</v>
      </c>
      <c r="D1631" s="22" t="s">
        <v>674</v>
      </c>
      <c r="E1631" s="22" t="s">
        <v>3743</v>
      </c>
      <c r="F1631" s="24">
        <v>3</v>
      </c>
      <c r="G1631" s="24">
        <v>1090</v>
      </c>
      <c r="H1631" s="24">
        <v>9.1</v>
      </c>
      <c r="I1631" s="24">
        <v>2972.43</v>
      </c>
      <c r="J1631" s="22" t="s">
        <v>104</v>
      </c>
      <c r="K1631" s="22" t="s">
        <v>134</v>
      </c>
      <c r="L1631" t="str">
        <f>VLOOKUP(D1631,Products!A:F,3,FALSE())</f>
        <v>Home</v>
      </c>
      <c r="M1631" t="str">
        <f>VLOOKUP(C1631,Customers!A:F,5,FALSE())</f>
        <v>Retail</v>
      </c>
      <c r="O1631" t="str">
        <f>IFERROR(VLOOKUP(E1631,Sales_Reps!$A:$C,3,FALSE()),"")</f>
        <v/>
      </c>
      <c r="P1631">
        <f>IFERROR(VLOOKUP(C1631,Customers!$A:$C,3,FALSE()),"")</f>
        <v>35</v>
      </c>
      <c r="Q1631" t="str">
        <f t="shared" si="25"/>
        <v>Feb-24</v>
      </c>
      <c r="R1631">
        <f>IFERROR((VLOOKUP(D1631,Products!$A:$E,5,FALSE())-VLOOKUP(D1631,Products!$A:$E,4,FALSE()))/VLOOKUP(D1631,Products!$A:$E,5,FALSE()),"")</f>
        <v>0.57431192660550456</v>
      </c>
    </row>
    <row r="1632" spans="1:18" x14ac:dyDescent="0.3">
      <c r="A1632" s="22" t="s">
        <v>3744</v>
      </c>
      <c r="B1632" s="23">
        <v>45574</v>
      </c>
      <c r="C1632" s="22" t="s">
        <v>1007</v>
      </c>
      <c r="D1632" s="22" t="s">
        <v>591</v>
      </c>
      <c r="E1632" s="22" t="s">
        <v>3745</v>
      </c>
      <c r="F1632" s="24">
        <v>3</v>
      </c>
      <c r="G1632" s="24">
        <v>3450</v>
      </c>
      <c r="H1632" s="24">
        <v>23</v>
      </c>
      <c r="I1632" s="24">
        <v>7969.5</v>
      </c>
      <c r="J1632" s="22" t="s">
        <v>110</v>
      </c>
      <c r="K1632" s="22" t="s">
        <v>111</v>
      </c>
      <c r="L1632" t="str">
        <f>VLOOKUP(D1632,Products!A:F,3,FALSE())</f>
        <v>Apparel</v>
      </c>
      <c r="M1632" t="str">
        <f>VLOOKUP(C1632,Customers!A:F,5,FALSE())</f>
        <v>SMB</v>
      </c>
      <c r="O1632" t="str">
        <f>IFERROR(VLOOKUP(E1632,Sales_Reps!$A:$C,3,FALSE()),"")</f>
        <v/>
      </c>
      <c r="P1632">
        <f>IFERROR(VLOOKUP(C1632,Customers!$A:$C,3,FALSE()),"")</f>
        <v>46</v>
      </c>
      <c r="Q1632" t="str">
        <f t="shared" si="25"/>
        <v>Oct-24</v>
      </c>
      <c r="R1632">
        <f>IFERROR((VLOOKUP(D1632,Products!$A:$E,5,FALSE())-VLOOKUP(D1632,Products!$A:$E,4,FALSE()))/VLOOKUP(D1632,Products!$A:$E,5,FALSE()),"")</f>
        <v>0.49333333333333335</v>
      </c>
    </row>
    <row r="1633" spans="1:18" x14ac:dyDescent="0.3">
      <c r="A1633" s="22" t="s">
        <v>3746</v>
      </c>
      <c r="B1633" s="23">
        <v>45365</v>
      </c>
      <c r="C1633" s="22" t="s">
        <v>1979</v>
      </c>
      <c r="D1633" s="22" t="s">
        <v>479</v>
      </c>
      <c r="E1633" s="22" t="s">
        <v>3747</v>
      </c>
      <c r="F1633" s="24">
        <v>1</v>
      </c>
      <c r="G1633" s="24">
        <v>960</v>
      </c>
      <c r="H1633" s="24">
        <v>1.1000000000000001</v>
      </c>
      <c r="I1633" s="24">
        <v>949.44</v>
      </c>
      <c r="J1633" s="22" t="s">
        <v>104</v>
      </c>
      <c r="K1633" s="22" t="s">
        <v>105</v>
      </c>
      <c r="L1633" t="str">
        <f>VLOOKUP(D1633,Products!A:F,3,FALSE())</f>
        <v>Beauty</v>
      </c>
      <c r="M1633" t="str">
        <f>VLOOKUP(C1633,Customers!A:F,5,FALSE())</f>
        <v>Retail</v>
      </c>
      <c r="O1633" t="str">
        <f>IFERROR(VLOOKUP(E1633,Sales_Reps!$A:$C,3,FALSE()),"")</f>
        <v/>
      </c>
      <c r="P1633">
        <f>IFERROR(VLOOKUP(C1633,Customers!$A:$C,3,FALSE()),"")</f>
        <v>42</v>
      </c>
      <c r="Q1633" t="str">
        <f t="shared" si="25"/>
        <v>Mar-24</v>
      </c>
      <c r="R1633">
        <f>IFERROR((VLOOKUP(D1633,Products!$A:$E,5,FALSE())-VLOOKUP(D1633,Products!$A:$E,4,FALSE()))/VLOOKUP(D1633,Products!$A:$E,5,FALSE()),"")</f>
        <v>0.296875</v>
      </c>
    </row>
    <row r="1634" spans="1:18" x14ac:dyDescent="0.3">
      <c r="A1634" s="22" t="s">
        <v>3748</v>
      </c>
      <c r="B1634" s="23">
        <v>45577</v>
      </c>
      <c r="C1634" s="22" t="s">
        <v>635</v>
      </c>
      <c r="D1634" s="22" t="s">
        <v>119</v>
      </c>
      <c r="E1634" s="22" t="s">
        <v>3749</v>
      </c>
      <c r="F1634" s="24">
        <v>9</v>
      </c>
      <c r="G1634" s="24">
        <v>3660</v>
      </c>
      <c r="H1634" s="24">
        <v>9</v>
      </c>
      <c r="I1634" s="24">
        <v>29975.4</v>
      </c>
      <c r="J1634" s="22" t="s">
        <v>104</v>
      </c>
      <c r="K1634" s="22" t="s">
        <v>105</v>
      </c>
      <c r="L1634" t="str">
        <f>VLOOKUP(D1634,Products!A:F,3,FALSE())</f>
        <v>Grocery</v>
      </c>
      <c r="M1634" t="str">
        <f>VLOOKUP(C1634,Customers!A:F,5,FALSE())</f>
        <v>SMB</v>
      </c>
      <c r="O1634" t="str">
        <f>IFERROR(VLOOKUP(E1634,Sales_Reps!$A:$C,3,FALSE()),"")</f>
        <v/>
      </c>
      <c r="P1634">
        <f>IFERROR(VLOOKUP(C1634,Customers!$A:$C,3,FALSE()),"")</f>
        <v>49</v>
      </c>
      <c r="Q1634" t="str">
        <f t="shared" si="25"/>
        <v>Oct-24</v>
      </c>
      <c r="R1634">
        <f>IFERROR((VLOOKUP(D1634,Products!$A:$E,5,FALSE())-VLOOKUP(D1634,Products!$A:$E,4,FALSE()))/VLOOKUP(D1634,Products!$A:$E,5,FALSE()),"")</f>
        <v>0.39508196721311473</v>
      </c>
    </row>
    <row r="1635" spans="1:18" x14ac:dyDescent="0.3">
      <c r="A1635" s="22" t="s">
        <v>3750</v>
      </c>
      <c r="B1635" s="23">
        <v>45420</v>
      </c>
      <c r="C1635" s="22" t="s">
        <v>897</v>
      </c>
      <c r="D1635" s="22" t="s">
        <v>265</v>
      </c>
      <c r="E1635" s="22" t="s">
        <v>3751</v>
      </c>
      <c r="F1635" s="24">
        <v>3</v>
      </c>
      <c r="G1635" s="24">
        <v>3730</v>
      </c>
      <c r="H1635" s="24">
        <v>15.8</v>
      </c>
      <c r="I1635" s="24">
        <v>9421.98</v>
      </c>
      <c r="J1635" s="22" t="s">
        <v>104</v>
      </c>
      <c r="K1635" s="22" t="s">
        <v>116</v>
      </c>
      <c r="L1635" t="str">
        <f>VLOOKUP(D1635,Products!A:F,3,FALSE())</f>
        <v>Home</v>
      </c>
      <c r="M1635" t="str">
        <f>VLOOKUP(C1635,Customers!A:F,5,FALSE())</f>
        <v>Retail</v>
      </c>
      <c r="O1635" t="str">
        <f>IFERROR(VLOOKUP(E1635,Sales_Reps!$A:$C,3,FALSE()),"")</f>
        <v/>
      </c>
      <c r="P1635">
        <f>IFERROR(VLOOKUP(C1635,Customers!$A:$C,3,FALSE()),"")</f>
        <v>43</v>
      </c>
      <c r="Q1635" t="str">
        <f t="shared" si="25"/>
        <v>May-24</v>
      </c>
      <c r="R1635">
        <f>IFERROR((VLOOKUP(D1635,Products!$A:$E,5,FALSE())-VLOOKUP(D1635,Products!$A:$E,4,FALSE()))/VLOOKUP(D1635,Products!$A:$E,5,FALSE()),"")</f>
        <v>0.42761394101876676</v>
      </c>
    </row>
    <row r="1636" spans="1:18" x14ac:dyDescent="0.3">
      <c r="A1636" s="22" t="s">
        <v>3752</v>
      </c>
      <c r="B1636" s="23">
        <v>45347</v>
      </c>
      <c r="C1636" s="22" t="s">
        <v>754</v>
      </c>
      <c r="D1636" s="22" t="s">
        <v>315</v>
      </c>
      <c r="E1636" s="22" t="s">
        <v>3753</v>
      </c>
      <c r="F1636" s="24">
        <v>6</v>
      </c>
      <c r="G1636" s="24">
        <v>4070</v>
      </c>
      <c r="H1636" s="24">
        <v>6.2</v>
      </c>
      <c r="I1636" s="24">
        <v>22905.96</v>
      </c>
      <c r="J1636" s="22" t="s">
        <v>104</v>
      </c>
      <c r="K1636" s="22" t="s">
        <v>129</v>
      </c>
      <c r="L1636" t="str">
        <f>VLOOKUP(D1636,Products!A:F,3,FALSE())</f>
        <v>Grocery</v>
      </c>
      <c r="M1636" t="str">
        <f>VLOOKUP(C1636,Customers!A:F,5,FALSE())</f>
        <v>Corporate</v>
      </c>
      <c r="O1636" t="str">
        <f>IFERROR(VLOOKUP(E1636,Sales_Reps!$A:$C,3,FALSE()),"")</f>
        <v/>
      </c>
      <c r="P1636">
        <f>IFERROR(VLOOKUP(C1636,Customers!$A:$C,3,FALSE()),"")</f>
        <v>60</v>
      </c>
      <c r="Q1636" t="str">
        <f t="shared" si="25"/>
        <v>Feb-24</v>
      </c>
      <c r="R1636">
        <f>IFERROR((VLOOKUP(D1636,Products!$A:$E,5,FALSE())-VLOOKUP(D1636,Products!$A:$E,4,FALSE()))/VLOOKUP(D1636,Products!$A:$E,5,FALSE()),"")</f>
        <v>0.50196560196560192</v>
      </c>
    </row>
    <row r="1637" spans="1:18" x14ac:dyDescent="0.3">
      <c r="A1637" s="22" t="s">
        <v>3754</v>
      </c>
      <c r="B1637" s="23">
        <v>45329</v>
      </c>
      <c r="C1637" s="22" t="s">
        <v>861</v>
      </c>
      <c r="D1637" s="22" t="s">
        <v>334</v>
      </c>
      <c r="E1637" s="22" t="s">
        <v>3755</v>
      </c>
      <c r="F1637" s="24">
        <v>1</v>
      </c>
      <c r="G1637" s="24">
        <v>2660</v>
      </c>
      <c r="H1637" s="24">
        <v>14.6</v>
      </c>
      <c r="I1637" s="24">
        <v>2271.64</v>
      </c>
      <c r="J1637" s="22" t="s">
        <v>104</v>
      </c>
      <c r="K1637" s="22" t="s">
        <v>129</v>
      </c>
      <c r="L1637" t="str">
        <f>VLOOKUP(D1637,Products!A:F,3,FALSE())</f>
        <v>Electronics</v>
      </c>
      <c r="M1637" t="str">
        <f>VLOOKUP(C1637,Customers!A:F,5,FALSE())</f>
        <v>SMB</v>
      </c>
      <c r="O1637" t="str">
        <f>IFERROR(VLOOKUP(E1637,Sales_Reps!$A:$C,3,FALSE()),"")</f>
        <v/>
      </c>
      <c r="P1637">
        <f>IFERROR(VLOOKUP(C1637,Customers!$A:$C,3,FALSE()),"")</f>
        <v>65</v>
      </c>
      <c r="Q1637" t="str">
        <f t="shared" si="25"/>
        <v>Feb-24</v>
      </c>
      <c r="R1637">
        <f>IFERROR((VLOOKUP(D1637,Products!$A:$E,5,FALSE())-VLOOKUP(D1637,Products!$A:$E,4,FALSE()))/VLOOKUP(D1637,Products!$A:$E,5,FALSE()),"")</f>
        <v>0.52669172932330832</v>
      </c>
    </row>
    <row r="1638" spans="1:18" x14ac:dyDescent="0.3">
      <c r="A1638" s="22" t="s">
        <v>3756</v>
      </c>
      <c r="B1638" s="23">
        <v>45378</v>
      </c>
      <c r="C1638" s="22" t="s">
        <v>170</v>
      </c>
      <c r="D1638" s="22" t="s">
        <v>356</v>
      </c>
      <c r="E1638" s="22" t="s">
        <v>3757</v>
      </c>
      <c r="F1638" s="24">
        <v>3</v>
      </c>
      <c r="G1638" s="24">
        <v>2030</v>
      </c>
      <c r="H1638" s="24">
        <v>13.3</v>
      </c>
      <c r="I1638" s="24">
        <v>5280.03</v>
      </c>
      <c r="J1638" s="22" t="s">
        <v>159</v>
      </c>
      <c r="K1638" s="22" t="s">
        <v>105</v>
      </c>
      <c r="L1638" t="str">
        <f>VLOOKUP(D1638,Products!A:F,3,FALSE())</f>
        <v>Home</v>
      </c>
      <c r="M1638" t="str">
        <f>VLOOKUP(C1638,Customers!A:F,5,FALSE())</f>
        <v>Retail</v>
      </c>
      <c r="O1638" t="str">
        <f>IFERROR(VLOOKUP(E1638,Sales_Reps!$A:$C,3,FALSE()),"")</f>
        <v/>
      </c>
      <c r="P1638">
        <f>IFERROR(VLOOKUP(C1638,Customers!$A:$C,3,FALSE()),"")</f>
        <v>63</v>
      </c>
      <c r="Q1638" t="str">
        <f t="shared" si="25"/>
        <v>Mar-24</v>
      </c>
      <c r="R1638">
        <f>IFERROR((VLOOKUP(D1638,Products!$A:$E,5,FALSE())-VLOOKUP(D1638,Products!$A:$E,4,FALSE()))/VLOOKUP(D1638,Products!$A:$E,5,FALSE()),"")</f>
        <v>0.43694581280788175</v>
      </c>
    </row>
    <row r="1639" spans="1:18" x14ac:dyDescent="0.3">
      <c r="A1639" s="22" t="s">
        <v>3758</v>
      </c>
      <c r="B1639" s="23">
        <v>45393</v>
      </c>
      <c r="C1639" s="22" t="s">
        <v>403</v>
      </c>
      <c r="D1639" s="22" t="s">
        <v>119</v>
      </c>
      <c r="E1639" s="22" t="s">
        <v>3759</v>
      </c>
      <c r="F1639" s="24">
        <v>4</v>
      </c>
      <c r="G1639" s="24">
        <v>3660</v>
      </c>
      <c r="H1639" s="24">
        <v>2.2000000000000002</v>
      </c>
      <c r="I1639" s="24">
        <v>14317.92</v>
      </c>
      <c r="J1639" s="22" t="s">
        <v>104</v>
      </c>
      <c r="K1639" s="22" t="s">
        <v>111</v>
      </c>
      <c r="L1639" t="str">
        <f>VLOOKUP(D1639,Products!A:F,3,FALSE())</f>
        <v>Grocery</v>
      </c>
      <c r="M1639" t="str">
        <f>VLOOKUP(C1639,Customers!A:F,5,FALSE())</f>
        <v>Retail</v>
      </c>
      <c r="O1639" t="str">
        <f>IFERROR(VLOOKUP(E1639,Sales_Reps!$A:$C,3,FALSE()),"")</f>
        <v/>
      </c>
      <c r="P1639">
        <f>IFERROR(VLOOKUP(C1639,Customers!$A:$C,3,FALSE()),"")</f>
        <v>28</v>
      </c>
      <c r="Q1639" t="str">
        <f t="shared" si="25"/>
        <v>Apr-24</v>
      </c>
      <c r="R1639">
        <f>IFERROR((VLOOKUP(D1639,Products!$A:$E,5,FALSE())-VLOOKUP(D1639,Products!$A:$E,4,FALSE()))/VLOOKUP(D1639,Products!$A:$E,5,FALSE()),"")</f>
        <v>0.39508196721311473</v>
      </c>
    </row>
    <row r="1640" spans="1:18" x14ac:dyDescent="0.3">
      <c r="A1640" s="22" t="s">
        <v>3760</v>
      </c>
      <c r="B1640" s="23">
        <v>45364</v>
      </c>
      <c r="C1640" s="22" t="s">
        <v>249</v>
      </c>
      <c r="D1640" s="22" t="s">
        <v>334</v>
      </c>
      <c r="E1640" s="22" t="s">
        <v>3761</v>
      </c>
      <c r="F1640" s="24">
        <v>2</v>
      </c>
      <c r="G1640" s="24">
        <v>2660</v>
      </c>
      <c r="H1640" s="24">
        <v>7.2</v>
      </c>
      <c r="I1640" s="24">
        <v>4936.96</v>
      </c>
      <c r="J1640" s="22" t="s">
        <v>159</v>
      </c>
      <c r="K1640" s="22" t="s">
        <v>134</v>
      </c>
      <c r="L1640" t="str">
        <f>VLOOKUP(D1640,Products!A:F,3,FALSE())</f>
        <v>Electronics</v>
      </c>
      <c r="M1640" t="str">
        <f>VLOOKUP(C1640,Customers!A:F,5,FALSE())</f>
        <v>Retail</v>
      </c>
      <c r="O1640" t="str">
        <f>IFERROR(VLOOKUP(E1640,Sales_Reps!$A:$C,3,FALSE()),"")</f>
        <v/>
      </c>
      <c r="P1640">
        <f>IFERROR(VLOOKUP(C1640,Customers!$A:$C,3,FALSE()),"")</f>
        <v>42</v>
      </c>
      <c r="Q1640" t="str">
        <f t="shared" si="25"/>
        <v>Mar-24</v>
      </c>
      <c r="R1640">
        <f>IFERROR((VLOOKUP(D1640,Products!$A:$E,5,FALSE())-VLOOKUP(D1640,Products!$A:$E,4,FALSE()))/VLOOKUP(D1640,Products!$A:$E,5,FALSE()),"")</f>
        <v>0.52669172932330832</v>
      </c>
    </row>
    <row r="1641" spans="1:18" x14ac:dyDescent="0.3">
      <c r="A1641" s="22" t="s">
        <v>3762</v>
      </c>
      <c r="B1641" s="23">
        <v>45624</v>
      </c>
      <c r="C1641" s="22" t="s">
        <v>731</v>
      </c>
      <c r="D1641" s="22" t="s">
        <v>212</v>
      </c>
      <c r="E1641" s="22" t="s">
        <v>3763</v>
      </c>
      <c r="F1641" s="24">
        <v>2</v>
      </c>
      <c r="G1641" s="24">
        <v>4880</v>
      </c>
      <c r="H1641" s="24">
        <v>23.8</v>
      </c>
      <c r="I1641" s="24">
        <v>7437.12</v>
      </c>
      <c r="J1641" s="22" t="s">
        <v>104</v>
      </c>
      <c r="K1641" s="22" t="s">
        <v>151</v>
      </c>
      <c r="L1641" t="str">
        <f>VLOOKUP(D1641,Products!A:F,3,FALSE())</f>
        <v>Beauty</v>
      </c>
      <c r="M1641" t="str">
        <f>VLOOKUP(C1641,Customers!A:F,5,FALSE())</f>
        <v>SMB</v>
      </c>
      <c r="O1641" t="str">
        <f>IFERROR(VLOOKUP(E1641,Sales_Reps!$A:$C,3,FALSE()),"")</f>
        <v/>
      </c>
      <c r="P1641">
        <f>IFERROR(VLOOKUP(C1641,Customers!$A:$C,3,FALSE()),"")</f>
        <v>48</v>
      </c>
      <c r="Q1641" t="str">
        <f t="shared" si="25"/>
        <v>Nov-24</v>
      </c>
      <c r="R1641">
        <f>IFERROR((VLOOKUP(D1641,Products!$A:$E,5,FALSE())-VLOOKUP(D1641,Products!$A:$E,4,FALSE()))/VLOOKUP(D1641,Products!$A:$E,5,FALSE()),"")</f>
        <v>0.43278688524590164</v>
      </c>
    </row>
    <row r="1642" spans="1:18" x14ac:dyDescent="0.3">
      <c r="A1642" s="22" t="s">
        <v>3764</v>
      </c>
      <c r="B1642" s="23">
        <v>45411</v>
      </c>
      <c r="C1642" s="22" t="s">
        <v>1208</v>
      </c>
      <c r="D1642" s="22" t="s">
        <v>591</v>
      </c>
      <c r="E1642" s="22" t="s">
        <v>3765</v>
      </c>
      <c r="F1642" s="24">
        <v>1</v>
      </c>
      <c r="G1642" s="24">
        <v>3450</v>
      </c>
      <c r="H1642" s="24">
        <v>1.7</v>
      </c>
      <c r="I1642" s="24">
        <v>3391.35</v>
      </c>
      <c r="J1642" s="22" t="s">
        <v>104</v>
      </c>
      <c r="K1642" s="22" t="s">
        <v>105</v>
      </c>
      <c r="L1642" t="str">
        <f>VLOOKUP(D1642,Products!A:F,3,FALSE())</f>
        <v>Apparel</v>
      </c>
      <c r="M1642" t="str">
        <f>VLOOKUP(C1642,Customers!A:F,5,FALSE())</f>
        <v>Retail</v>
      </c>
      <c r="O1642" t="str">
        <f>IFERROR(VLOOKUP(E1642,Sales_Reps!$A:$C,3,FALSE()),"")</f>
        <v/>
      </c>
      <c r="P1642">
        <f>IFERROR(VLOOKUP(C1642,Customers!$A:$C,3,FALSE()),"")</f>
        <v>36</v>
      </c>
      <c r="Q1642" t="str">
        <f t="shared" si="25"/>
        <v>Apr-24</v>
      </c>
      <c r="R1642">
        <f>IFERROR((VLOOKUP(D1642,Products!$A:$E,5,FALSE())-VLOOKUP(D1642,Products!$A:$E,4,FALSE()))/VLOOKUP(D1642,Products!$A:$E,5,FALSE()),"")</f>
        <v>0.49333333333333335</v>
      </c>
    </row>
    <row r="1643" spans="1:18" x14ac:dyDescent="0.3">
      <c r="A1643" s="22" t="s">
        <v>3766</v>
      </c>
      <c r="B1643" s="23">
        <v>45550</v>
      </c>
      <c r="C1643" s="22" t="s">
        <v>494</v>
      </c>
      <c r="D1643" s="22" t="s">
        <v>330</v>
      </c>
      <c r="E1643" s="22" t="s">
        <v>3767</v>
      </c>
      <c r="F1643" s="24">
        <v>4</v>
      </c>
      <c r="G1643" s="24">
        <v>3020</v>
      </c>
      <c r="H1643" s="24">
        <v>17.8</v>
      </c>
      <c r="I1643" s="24">
        <v>9929.76</v>
      </c>
      <c r="J1643" s="22" t="s">
        <v>104</v>
      </c>
      <c r="K1643" s="22" t="s">
        <v>105</v>
      </c>
      <c r="L1643" t="str">
        <f>VLOOKUP(D1643,Products!A:F,3,FALSE())</f>
        <v>Beauty</v>
      </c>
      <c r="M1643" t="str">
        <f>VLOOKUP(C1643,Customers!A:F,5,FALSE())</f>
        <v>SMB</v>
      </c>
      <c r="O1643" t="str">
        <f>IFERROR(VLOOKUP(E1643,Sales_Reps!$A:$C,3,FALSE()),"")</f>
        <v/>
      </c>
      <c r="P1643">
        <f>IFERROR(VLOOKUP(C1643,Customers!$A:$C,3,FALSE()),"")</f>
        <v>54</v>
      </c>
      <c r="Q1643" t="str">
        <f t="shared" si="25"/>
        <v>Sep-24</v>
      </c>
      <c r="R1643">
        <f>IFERROR((VLOOKUP(D1643,Products!$A:$E,5,FALSE())-VLOOKUP(D1643,Products!$A:$E,4,FALSE()))/VLOOKUP(D1643,Products!$A:$E,5,FALSE()),"")</f>
        <v>0.46158940397350995</v>
      </c>
    </row>
    <row r="1644" spans="1:18" x14ac:dyDescent="0.3">
      <c r="A1644" s="22" t="s">
        <v>3768</v>
      </c>
      <c r="B1644" s="23">
        <v>45512</v>
      </c>
      <c r="C1644" s="22" t="s">
        <v>1481</v>
      </c>
      <c r="D1644" s="22" t="s">
        <v>695</v>
      </c>
      <c r="E1644" s="22" t="s">
        <v>3769</v>
      </c>
      <c r="F1644" s="24">
        <v>6</v>
      </c>
      <c r="G1644" s="24">
        <v>6940</v>
      </c>
      <c r="H1644" s="24">
        <v>8.9</v>
      </c>
      <c r="I1644" s="24">
        <v>37934.04</v>
      </c>
      <c r="J1644" s="22" t="s">
        <v>104</v>
      </c>
      <c r="K1644" s="22" t="s">
        <v>116</v>
      </c>
      <c r="L1644" t="str">
        <f>VLOOKUP(D1644,Products!A:F,3,FALSE())</f>
        <v>Sports</v>
      </c>
      <c r="M1644" t="str">
        <f>VLOOKUP(C1644,Customers!A:F,5,FALSE())</f>
        <v>Retail</v>
      </c>
      <c r="O1644" t="str">
        <f>IFERROR(VLOOKUP(E1644,Sales_Reps!$A:$C,3,FALSE()),"")</f>
        <v/>
      </c>
      <c r="P1644">
        <f>IFERROR(VLOOKUP(C1644,Customers!$A:$C,3,FALSE()),"")</f>
        <v>47</v>
      </c>
      <c r="Q1644" t="str">
        <f t="shared" si="25"/>
        <v>Aug-24</v>
      </c>
      <c r="R1644">
        <f>IFERROR((VLOOKUP(D1644,Products!$A:$E,5,FALSE())-VLOOKUP(D1644,Products!$A:$E,4,FALSE()))/VLOOKUP(D1644,Products!$A:$E,5,FALSE()),"")</f>
        <v>0.5926512968299712</v>
      </c>
    </row>
    <row r="1645" spans="1:18" x14ac:dyDescent="0.3">
      <c r="A1645" s="22" t="s">
        <v>3770</v>
      </c>
      <c r="B1645" s="23">
        <v>45523</v>
      </c>
      <c r="C1645" s="22" t="s">
        <v>543</v>
      </c>
      <c r="D1645" s="22" t="s">
        <v>231</v>
      </c>
      <c r="E1645" s="22" t="s">
        <v>3771</v>
      </c>
      <c r="F1645" s="24">
        <v>10</v>
      </c>
      <c r="G1645" s="24">
        <v>2760</v>
      </c>
      <c r="H1645" s="24">
        <v>8.9</v>
      </c>
      <c r="I1645" s="24">
        <v>25143.599999999999</v>
      </c>
      <c r="J1645" s="22" t="s">
        <v>104</v>
      </c>
      <c r="K1645" s="22" t="s">
        <v>111</v>
      </c>
      <c r="L1645" t="str">
        <f>VLOOKUP(D1645,Products!A:F,3,FALSE())</f>
        <v>Grocery</v>
      </c>
      <c r="M1645" t="str">
        <f>VLOOKUP(C1645,Customers!A:F,5,FALSE())</f>
        <v>SMB</v>
      </c>
      <c r="O1645" t="str">
        <f>IFERROR(VLOOKUP(E1645,Sales_Reps!$A:$C,3,FALSE()),"")</f>
        <v/>
      </c>
      <c r="P1645">
        <f>IFERROR(VLOOKUP(C1645,Customers!$A:$C,3,FALSE()),"")</f>
        <v>64</v>
      </c>
      <c r="Q1645" t="str">
        <f t="shared" si="25"/>
        <v>Aug-24</v>
      </c>
      <c r="R1645">
        <f>IFERROR((VLOOKUP(D1645,Products!$A:$E,5,FALSE())-VLOOKUP(D1645,Products!$A:$E,4,FALSE()))/VLOOKUP(D1645,Products!$A:$E,5,FALSE()),"")</f>
        <v>0.48007246376811596</v>
      </c>
    </row>
    <row r="1646" spans="1:18" x14ac:dyDescent="0.3">
      <c r="A1646" s="22" t="s">
        <v>3772</v>
      </c>
      <c r="B1646" s="23">
        <v>45310</v>
      </c>
      <c r="C1646" s="22" t="s">
        <v>551</v>
      </c>
      <c r="D1646" s="22" t="s">
        <v>479</v>
      </c>
      <c r="E1646" s="22" t="s">
        <v>3773</v>
      </c>
      <c r="F1646" s="24">
        <v>8</v>
      </c>
      <c r="G1646" s="24">
        <v>960</v>
      </c>
      <c r="H1646" s="24">
        <v>20.9</v>
      </c>
      <c r="I1646" s="24">
        <v>6074.88</v>
      </c>
      <c r="J1646" s="22" t="s">
        <v>104</v>
      </c>
      <c r="K1646" s="22" t="s">
        <v>105</v>
      </c>
      <c r="L1646" t="str">
        <f>VLOOKUP(D1646,Products!A:F,3,FALSE())</f>
        <v>Beauty</v>
      </c>
      <c r="M1646" t="str">
        <f>VLOOKUP(C1646,Customers!A:F,5,FALSE())</f>
        <v>Corporate</v>
      </c>
      <c r="O1646" t="str">
        <f>IFERROR(VLOOKUP(E1646,Sales_Reps!$A:$C,3,FALSE()),"")</f>
        <v/>
      </c>
      <c r="P1646">
        <f>IFERROR(VLOOKUP(C1646,Customers!$A:$C,3,FALSE()),"")</f>
        <v>48</v>
      </c>
      <c r="Q1646" t="str">
        <f t="shared" si="25"/>
        <v>Jan-24</v>
      </c>
      <c r="R1646">
        <f>IFERROR((VLOOKUP(D1646,Products!$A:$E,5,FALSE())-VLOOKUP(D1646,Products!$A:$E,4,FALSE()))/VLOOKUP(D1646,Products!$A:$E,5,FALSE()),"")</f>
        <v>0.296875</v>
      </c>
    </row>
    <row r="1647" spans="1:18" x14ac:dyDescent="0.3">
      <c r="A1647" s="22" t="s">
        <v>3774</v>
      </c>
      <c r="B1647" s="23">
        <v>45498</v>
      </c>
      <c r="C1647" s="22" t="s">
        <v>1243</v>
      </c>
      <c r="D1647" s="22" t="s">
        <v>479</v>
      </c>
      <c r="E1647" s="22" t="s">
        <v>3775</v>
      </c>
      <c r="F1647" s="24">
        <v>4</v>
      </c>
      <c r="G1647" s="24">
        <v>960</v>
      </c>
      <c r="H1647" s="24">
        <v>29.1</v>
      </c>
      <c r="I1647" s="24">
        <v>2722.56</v>
      </c>
      <c r="J1647" s="22" t="s">
        <v>104</v>
      </c>
      <c r="K1647" s="22" t="s">
        <v>134</v>
      </c>
      <c r="L1647" t="str">
        <f>VLOOKUP(D1647,Products!A:F,3,FALSE())</f>
        <v>Beauty</v>
      </c>
      <c r="M1647" t="str">
        <f>VLOOKUP(C1647,Customers!A:F,5,FALSE())</f>
        <v>Retail</v>
      </c>
      <c r="O1647" t="str">
        <f>IFERROR(VLOOKUP(E1647,Sales_Reps!$A:$C,3,FALSE()),"")</f>
        <v/>
      </c>
      <c r="P1647">
        <f>IFERROR(VLOOKUP(C1647,Customers!$A:$C,3,FALSE()),"")</f>
        <v>52</v>
      </c>
      <c r="Q1647" t="str">
        <f t="shared" si="25"/>
        <v>Jul-24</v>
      </c>
      <c r="R1647">
        <f>IFERROR((VLOOKUP(D1647,Products!$A:$E,5,FALSE())-VLOOKUP(D1647,Products!$A:$E,4,FALSE()))/VLOOKUP(D1647,Products!$A:$E,5,FALSE()),"")</f>
        <v>0.296875</v>
      </c>
    </row>
    <row r="1648" spans="1:18" x14ac:dyDescent="0.3">
      <c r="A1648" s="22" t="s">
        <v>3776</v>
      </c>
      <c r="B1648" s="23">
        <v>45410</v>
      </c>
      <c r="C1648" s="22" t="s">
        <v>554</v>
      </c>
      <c r="D1648" s="22" t="s">
        <v>145</v>
      </c>
      <c r="E1648" s="22" t="s">
        <v>3777</v>
      </c>
      <c r="F1648" s="24">
        <v>1</v>
      </c>
      <c r="G1648" s="24">
        <v>970</v>
      </c>
      <c r="H1648" s="24">
        <v>8.4</v>
      </c>
      <c r="I1648" s="24">
        <v>888.52</v>
      </c>
      <c r="J1648" s="22" t="s">
        <v>159</v>
      </c>
      <c r="K1648" s="22" t="s">
        <v>134</v>
      </c>
      <c r="L1648" t="str">
        <f>VLOOKUP(D1648,Products!A:F,3,FALSE())</f>
        <v>Grocery</v>
      </c>
      <c r="M1648" t="str">
        <f>VLOOKUP(C1648,Customers!A:F,5,FALSE())</f>
        <v>Retail</v>
      </c>
      <c r="O1648" t="str">
        <f>IFERROR(VLOOKUP(E1648,Sales_Reps!$A:$C,3,FALSE()),"")</f>
        <v/>
      </c>
      <c r="P1648">
        <f>IFERROR(VLOOKUP(C1648,Customers!$A:$C,3,FALSE()),"")</f>
        <v>55</v>
      </c>
      <c r="Q1648" t="str">
        <f t="shared" si="25"/>
        <v>Apr-24</v>
      </c>
      <c r="R1648">
        <f>IFERROR((VLOOKUP(D1648,Products!$A:$E,5,FALSE())-VLOOKUP(D1648,Products!$A:$E,4,FALSE()))/VLOOKUP(D1648,Products!$A:$E,5,FALSE()),"")</f>
        <v>0.5525773195876289</v>
      </c>
    </row>
    <row r="1649" spans="1:18" x14ac:dyDescent="0.3">
      <c r="A1649" s="22" t="s">
        <v>3778</v>
      </c>
      <c r="B1649" s="23">
        <v>45400</v>
      </c>
      <c r="C1649" s="22" t="s">
        <v>1312</v>
      </c>
      <c r="D1649" s="22" t="s">
        <v>283</v>
      </c>
      <c r="E1649" s="22" t="s">
        <v>3779</v>
      </c>
      <c r="F1649" s="24">
        <v>5</v>
      </c>
      <c r="G1649" s="24">
        <v>6080</v>
      </c>
      <c r="H1649" s="24">
        <v>17.600000000000001</v>
      </c>
      <c r="I1649" s="24">
        <v>25049.599999999999</v>
      </c>
      <c r="J1649" s="22" t="s">
        <v>104</v>
      </c>
      <c r="K1649" s="22" t="s">
        <v>129</v>
      </c>
      <c r="L1649" t="str">
        <f>VLOOKUP(D1649,Products!A:F,3,FALSE())</f>
        <v>Beauty</v>
      </c>
      <c r="M1649" t="str">
        <f>VLOOKUP(C1649,Customers!A:F,5,FALSE())</f>
        <v>Retail</v>
      </c>
      <c r="O1649" t="str">
        <f>IFERROR(VLOOKUP(E1649,Sales_Reps!$A:$C,3,FALSE()),"")</f>
        <v/>
      </c>
      <c r="P1649">
        <f>IFERROR(VLOOKUP(C1649,Customers!$A:$C,3,FALSE()),"")</f>
        <v>57</v>
      </c>
      <c r="Q1649" t="str">
        <f t="shared" si="25"/>
        <v>Apr-24</v>
      </c>
      <c r="R1649">
        <f>IFERROR((VLOOKUP(D1649,Products!$A:$E,5,FALSE())-VLOOKUP(D1649,Products!$A:$E,4,FALSE()))/VLOOKUP(D1649,Products!$A:$E,5,FALSE()),"")</f>
        <v>0.56957236842105263</v>
      </c>
    </row>
    <row r="1650" spans="1:18" x14ac:dyDescent="0.3">
      <c r="A1650" s="22" t="s">
        <v>3780</v>
      </c>
      <c r="B1650" s="23">
        <v>45525</v>
      </c>
      <c r="C1650" s="22" t="s">
        <v>1481</v>
      </c>
      <c r="D1650" s="22" t="s">
        <v>119</v>
      </c>
      <c r="E1650" s="22" t="s">
        <v>3781</v>
      </c>
      <c r="F1650" s="24">
        <v>4</v>
      </c>
      <c r="G1650" s="24">
        <v>3660</v>
      </c>
      <c r="H1650" s="24">
        <v>21.8</v>
      </c>
      <c r="I1650" s="24">
        <v>11448.48</v>
      </c>
      <c r="J1650" s="22" t="s">
        <v>110</v>
      </c>
      <c r="K1650" s="22" t="s">
        <v>116</v>
      </c>
      <c r="L1650" t="str">
        <f>VLOOKUP(D1650,Products!A:F,3,FALSE())</f>
        <v>Grocery</v>
      </c>
      <c r="M1650" t="str">
        <f>VLOOKUP(C1650,Customers!A:F,5,FALSE())</f>
        <v>Retail</v>
      </c>
      <c r="O1650" t="str">
        <f>IFERROR(VLOOKUP(E1650,Sales_Reps!$A:$C,3,FALSE()),"")</f>
        <v/>
      </c>
      <c r="P1650">
        <f>IFERROR(VLOOKUP(C1650,Customers!$A:$C,3,FALSE()),"")</f>
        <v>47</v>
      </c>
      <c r="Q1650" t="str">
        <f t="shared" si="25"/>
        <v>Aug-24</v>
      </c>
      <c r="R1650">
        <f>IFERROR((VLOOKUP(D1650,Products!$A:$E,5,FALSE())-VLOOKUP(D1650,Products!$A:$E,4,FALSE()))/VLOOKUP(D1650,Products!$A:$E,5,FALSE()),"")</f>
        <v>0.39508196721311473</v>
      </c>
    </row>
    <row r="1651" spans="1:18" x14ac:dyDescent="0.3">
      <c r="A1651" s="22" t="s">
        <v>3782</v>
      </c>
      <c r="B1651" s="23">
        <v>45462</v>
      </c>
      <c r="C1651" s="22" t="s">
        <v>389</v>
      </c>
      <c r="D1651" s="22" t="s">
        <v>265</v>
      </c>
      <c r="E1651" s="22" t="s">
        <v>3783</v>
      </c>
      <c r="F1651" s="24">
        <v>6</v>
      </c>
      <c r="G1651" s="24">
        <v>3730</v>
      </c>
      <c r="H1651" s="24">
        <v>13.3</v>
      </c>
      <c r="I1651" s="24">
        <v>19403.46</v>
      </c>
      <c r="J1651" s="22" t="s">
        <v>159</v>
      </c>
      <c r="K1651" s="22" t="s">
        <v>111</v>
      </c>
      <c r="L1651" t="str">
        <f>VLOOKUP(D1651,Products!A:F,3,FALSE())</f>
        <v>Home</v>
      </c>
      <c r="M1651" t="str">
        <f>VLOOKUP(C1651,Customers!A:F,5,FALSE())</f>
        <v>SMB</v>
      </c>
      <c r="O1651" t="str">
        <f>IFERROR(VLOOKUP(E1651,Sales_Reps!$A:$C,3,FALSE()),"")</f>
        <v/>
      </c>
      <c r="P1651">
        <f>IFERROR(VLOOKUP(C1651,Customers!$A:$C,3,FALSE()),"")</f>
        <v>57</v>
      </c>
      <c r="Q1651" t="str">
        <f t="shared" si="25"/>
        <v>Jun-24</v>
      </c>
      <c r="R1651">
        <f>IFERROR((VLOOKUP(D1651,Products!$A:$E,5,FALSE())-VLOOKUP(D1651,Products!$A:$E,4,FALSE()))/VLOOKUP(D1651,Products!$A:$E,5,FALSE()),"")</f>
        <v>0.42761394101876676</v>
      </c>
    </row>
    <row r="1652" spans="1:18" x14ac:dyDescent="0.3">
      <c r="A1652" s="22" t="s">
        <v>3784</v>
      </c>
      <c r="B1652" s="23">
        <v>45625</v>
      </c>
      <c r="C1652" s="22" t="s">
        <v>307</v>
      </c>
      <c r="D1652" s="22" t="s">
        <v>293</v>
      </c>
      <c r="E1652" s="22" t="s">
        <v>3785</v>
      </c>
      <c r="F1652" s="24">
        <v>8</v>
      </c>
      <c r="G1652" s="24">
        <v>3870</v>
      </c>
      <c r="H1652" s="24">
        <v>21.2</v>
      </c>
      <c r="I1652" s="24">
        <v>24396.48</v>
      </c>
      <c r="J1652" s="22" t="s">
        <v>110</v>
      </c>
      <c r="K1652" s="22" t="s">
        <v>116</v>
      </c>
      <c r="L1652" t="str">
        <f>VLOOKUP(D1652,Products!A:F,3,FALSE())</f>
        <v>Electronics</v>
      </c>
      <c r="M1652" t="str">
        <f>VLOOKUP(C1652,Customers!A:F,5,FALSE())</f>
        <v>SMB</v>
      </c>
      <c r="O1652" t="str">
        <f>IFERROR(VLOOKUP(E1652,Sales_Reps!$A:$C,3,FALSE()),"")</f>
        <v/>
      </c>
      <c r="P1652">
        <f>IFERROR(VLOOKUP(C1652,Customers!$A:$C,3,FALSE()),"")</f>
        <v>55</v>
      </c>
      <c r="Q1652" t="str">
        <f t="shared" si="25"/>
        <v>Nov-24</v>
      </c>
      <c r="R1652">
        <f>IFERROR((VLOOKUP(D1652,Products!$A:$E,5,FALSE())-VLOOKUP(D1652,Products!$A:$E,4,FALSE()))/VLOOKUP(D1652,Products!$A:$E,5,FALSE()),"")</f>
        <v>0.59715762273901807</v>
      </c>
    </row>
    <row r="1653" spans="1:18" x14ac:dyDescent="0.3">
      <c r="A1653" s="22" t="s">
        <v>3786</v>
      </c>
      <c r="B1653" s="23">
        <v>45390</v>
      </c>
      <c r="C1653" s="22" t="s">
        <v>534</v>
      </c>
      <c r="D1653" s="22" t="s">
        <v>231</v>
      </c>
      <c r="E1653" s="22" t="s">
        <v>3787</v>
      </c>
      <c r="F1653" s="24">
        <v>4</v>
      </c>
      <c r="G1653" s="24">
        <v>2760</v>
      </c>
      <c r="H1653" s="24">
        <v>14</v>
      </c>
      <c r="I1653" s="24">
        <v>9494.4</v>
      </c>
      <c r="J1653" s="22" t="s">
        <v>104</v>
      </c>
      <c r="K1653" s="22" t="s">
        <v>134</v>
      </c>
      <c r="L1653" t="str">
        <f>VLOOKUP(D1653,Products!A:F,3,FALSE())</f>
        <v>Grocery</v>
      </c>
      <c r="M1653" t="str">
        <f>VLOOKUP(C1653,Customers!A:F,5,FALSE())</f>
        <v>Corporate</v>
      </c>
      <c r="O1653" t="str">
        <f>IFERROR(VLOOKUP(E1653,Sales_Reps!$A:$C,3,FALSE()),"")</f>
        <v/>
      </c>
      <c r="P1653">
        <f>IFERROR(VLOOKUP(C1653,Customers!$A:$C,3,FALSE()),"")</f>
        <v>42</v>
      </c>
      <c r="Q1653" t="str">
        <f t="shared" si="25"/>
        <v>Apr-24</v>
      </c>
      <c r="R1653">
        <f>IFERROR((VLOOKUP(D1653,Products!$A:$E,5,FALSE())-VLOOKUP(D1653,Products!$A:$E,4,FALSE()))/VLOOKUP(D1653,Products!$A:$E,5,FALSE()),"")</f>
        <v>0.48007246376811596</v>
      </c>
    </row>
    <row r="1654" spans="1:18" x14ac:dyDescent="0.3">
      <c r="A1654" s="22" t="s">
        <v>3788</v>
      </c>
      <c r="B1654" s="23">
        <v>45597</v>
      </c>
      <c r="C1654" s="22" t="s">
        <v>240</v>
      </c>
      <c r="D1654" s="22" t="s">
        <v>459</v>
      </c>
      <c r="E1654" s="22" t="s">
        <v>3789</v>
      </c>
      <c r="F1654" s="24">
        <v>5</v>
      </c>
      <c r="G1654" s="24">
        <v>2380</v>
      </c>
      <c r="H1654" s="24">
        <v>16.399999999999999</v>
      </c>
      <c r="I1654" s="24">
        <v>9948.4</v>
      </c>
      <c r="J1654" s="22" t="s">
        <v>104</v>
      </c>
      <c r="K1654" s="22" t="s">
        <v>151</v>
      </c>
      <c r="L1654" t="str">
        <f>VLOOKUP(D1654,Products!A:F,3,FALSE())</f>
        <v>Grocery</v>
      </c>
      <c r="M1654" t="str">
        <f>VLOOKUP(C1654,Customers!A:F,5,FALSE())</f>
        <v>Retail</v>
      </c>
      <c r="O1654" t="str">
        <f>IFERROR(VLOOKUP(E1654,Sales_Reps!$A:$C,3,FALSE()),"")</f>
        <v/>
      </c>
      <c r="P1654">
        <f>IFERROR(VLOOKUP(C1654,Customers!$A:$C,3,FALSE()),"")</f>
        <v>26</v>
      </c>
      <c r="Q1654" t="str">
        <f t="shared" si="25"/>
        <v>Nov-24</v>
      </c>
      <c r="R1654">
        <f>IFERROR((VLOOKUP(D1654,Products!$A:$E,5,FALSE())-VLOOKUP(D1654,Products!$A:$E,4,FALSE()))/VLOOKUP(D1654,Products!$A:$E,5,FALSE()),"")</f>
        <v>0.50336134453781511</v>
      </c>
    </row>
    <row r="1655" spans="1:18" x14ac:dyDescent="0.3">
      <c r="A1655" s="22" t="s">
        <v>3790</v>
      </c>
      <c r="B1655" s="23">
        <v>45307</v>
      </c>
      <c r="C1655" s="22" t="s">
        <v>3791</v>
      </c>
      <c r="D1655" s="22" t="s">
        <v>283</v>
      </c>
      <c r="E1655" s="22" t="s">
        <v>3792</v>
      </c>
      <c r="F1655" s="24">
        <v>2</v>
      </c>
      <c r="G1655" s="24">
        <v>6080</v>
      </c>
      <c r="H1655" s="24">
        <v>20.100000000000001</v>
      </c>
      <c r="I1655" s="24">
        <v>9715.84</v>
      </c>
      <c r="J1655" s="22" t="s">
        <v>159</v>
      </c>
      <c r="K1655" s="22" t="s">
        <v>129</v>
      </c>
      <c r="L1655" t="str">
        <f>VLOOKUP(D1655,Products!A:F,3,FALSE())</f>
        <v>Beauty</v>
      </c>
      <c r="M1655" t="e">
        <f>VLOOKUP(C1655,Customers!A:F,5,FALSE())</f>
        <v>#N/A</v>
      </c>
      <c r="O1655" t="str">
        <f>IFERROR(VLOOKUP(E1655,Sales_Reps!$A:$C,3,FALSE()),"")</f>
        <v/>
      </c>
      <c r="P1655" t="str">
        <f>IFERROR(VLOOKUP(C1655,Customers!$A:$C,3,FALSE()),"")</f>
        <v/>
      </c>
      <c r="Q1655" t="str">
        <f t="shared" si="25"/>
        <v>Jan-24</v>
      </c>
      <c r="R1655">
        <f>IFERROR((VLOOKUP(D1655,Products!$A:$E,5,FALSE())-VLOOKUP(D1655,Products!$A:$E,4,FALSE()))/VLOOKUP(D1655,Products!$A:$E,5,FALSE()),"")</f>
        <v>0.56957236842105263</v>
      </c>
    </row>
    <row r="1656" spans="1:18" x14ac:dyDescent="0.3">
      <c r="A1656" s="22" t="s">
        <v>3793</v>
      </c>
      <c r="B1656" s="23">
        <v>45568</v>
      </c>
      <c r="C1656" s="22" t="s">
        <v>734</v>
      </c>
      <c r="D1656" s="22" t="s">
        <v>352</v>
      </c>
      <c r="E1656" s="22" t="s">
        <v>3794</v>
      </c>
      <c r="F1656" s="24">
        <v>2</v>
      </c>
      <c r="G1656" s="24">
        <v>620</v>
      </c>
      <c r="H1656" s="24">
        <v>4.3</v>
      </c>
      <c r="I1656" s="24">
        <v>1186.68</v>
      </c>
      <c r="J1656" s="22" t="s">
        <v>104</v>
      </c>
      <c r="K1656" s="22" t="s">
        <v>151</v>
      </c>
      <c r="L1656" t="str">
        <f>VLOOKUP(D1656,Products!A:F,3,FALSE())</f>
        <v>Apparel</v>
      </c>
      <c r="M1656" t="str">
        <f>VLOOKUP(C1656,Customers!A:F,5,FALSE())</f>
        <v>Retail</v>
      </c>
      <c r="O1656" t="str">
        <f>IFERROR(VLOOKUP(E1656,Sales_Reps!$A:$C,3,FALSE()),"")</f>
        <v/>
      </c>
      <c r="P1656">
        <f>IFERROR(VLOOKUP(C1656,Customers!$A:$C,3,FALSE()),"")</f>
        <v>38</v>
      </c>
      <c r="Q1656" t="str">
        <f t="shared" si="25"/>
        <v>Oct-24</v>
      </c>
      <c r="R1656">
        <f>IFERROR((VLOOKUP(D1656,Products!$A:$E,5,FALSE())-VLOOKUP(D1656,Products!$A:$E,4,FALSE()))/VLOOKUP(D1656,Products!$A:$E,5,FALSE()),"")</f>
        <v>0.36129032258064514</v>
      </c>
    </row>
    <row r="1657" spans="1:18" x14ac:dyDescent="0.3">
      <c r="A1657" s="22" t="s">
        <v>3795</v>
      </c>
      <c r="B1657" s="23">
        <v>45654</v>
      </c>
      <c r="C1657" s="22" t="s">
        <v>623</v>
      </c>
      <c r="D1657" s="22" t="s">
        <v>293</v>
      </c>
      <c r="E1657" s="22" t="s">
        <v>3796</v>
      </c>
      <c r="F1657" s="24">
        <v>7</v>
      </c>
      <c r="G1657" s="24">
        <v>3870</v>
      </c>
      <c r="H1657" s="24">
        <v>5.9</v>
      </c>
      <c r="I1657" s="24">
        <v>25491.69</v>
      </c>
      <c r="J1657" s="22" t="s">
        <v>104</v>
      </c>
      <c r="K1657" s="22" t="s">
        <v>111</v>
      </c>
      <c r="L1657" t="str">
        <f>VLOOKUP(D1657,Products!A:F,3,FALSE())</f>
        <v>Electronics</v>
      </c>
      <c r="M1657" t="str">
        <f>VLOOKUP(C1657,Customers!A:F,5,FALSE())</f>
        <v>Corporate</v>
      </c>
      <c r="O1657" t="str">
        <f>IFERROR(VLOOKUP(E1657,Sales_Reps!$A:$C,3,FALSE()),"")</f>
        <v/>
      </c>
      <c r="P1657">
        <f>IFERROR(VLOOKUP(C1657,Customers!$A:$C,3,FALSE()),"")</f>
        <v>35</v>
      </c>
      <c r="Q1657" t="str">
        <f t="shared" si="25"/>
        <v>Dec-24</v>
      </c>
      <c r="R1657">
        <f>IFERROR((VLOOKUP(D1657,Products!$A:$E,5,FALSE())-VLOOKUP(D1657,Products!$A:$E,4,FALSE()))/VLOOKUP(D1657,Products!$A:$E,5,FALSE()),"")</f>
        <v>0.59715762273901807</v>
      </c>
    </row>
    <row r="1658" spans="1:18" x14ac:dyDescent="0.3">
      <c r="A1658" s="22" t="s">
        <v>3797</v>
      </c>
      <c r="B1658" s="23">
        <v>45412</v>
      </c>
      <c r="C1658" s="22" t="s">
        <v>1549</v>
      </c>
      <c r="D1658" s="22" t="s">
        <v>216</v>
      </c>
      <c r="E1658" s="22" t="s">
        <v>3798</v>
      </c>
      <c r="F1658" s="24">
        <v>8</v>
      </c>
      <c r="G1658" s="24">
        <v>3570</v>
      </c>
      <c r="H1658" s="24">
        <v>24.6</v>
      </c>
      <c r="I1658" s="24">
        <v>21534.240000000002</v>
      </c>
      <c r="J1658" s="22" t="s">
        <v>104</v>
      </c>
      <c r="K1658" s="22" t="s">
        <v>134</v>
      </c>
      <c r="L1658" t="str">
        <f>VLOOKUP(D1658,Products!A:F,3,FALSE())</f>
        <v>Electronics</v>
      </c>
      <c r="M1658" t="str">
        <f>VLOOKUP(C1658,Customers!A:F,5,FALSE())</f>
        <v>SMB</v>
      </c>
      <c r="O1658" t="str">
        <f>IFERROR(VLOOKUP(E1658,Sales_Reps!$A:$C,3,FALSE()),"")</f>
        <v/>
      </c>
      <c r="P1658">
        <f>IFERROR(VLOOKUP(C1658,Customers!$A:$C,3,FALSE()),"")</f>
        <v>44</v>
      </c>
      <c r="Q1658" t="str">
        <f t="shared" si="25"/>
        <v>Apr-24</v>
      </c>
      <c r="R1658">
        <f>IFERROR((VLOOKUP(D1658,Products!$A:$E,5,FALSE())-VLOOKUP(D1658,Products!$A:$E,4,FALSE()))/VLOOKUP(D1658,Products!$A:$E,5,FALSE()),"")</f>
        <v>0.53361344537815125</v>
      </c>
    </row>
    <row r="1659" spans="1:18" x14ac:dyDescent="0.3">
      <c r="A1659" s="22" t="s">
        <v>3799</v>
      </c>
      <c r="B1659" s="23">
        <v>45653</v>
      </c>
      <c r="C1659" s="22" t="s">
        <v>292</v>
      </c>
      <c r="D1659" s="22" t="s">
        <v>315</v>
      </c>
      <c r="E1659" s="22" t="s">
        <v>3800</v>
      </c>
      <c r="F1659" s="24">
        <v>1</v>
      </c>
      <c r="G1659" s="24">
        <v>4070</v>
      </c>
      <c r="H1659" s="24">
        <v>29.1</v>
      </c>
      <c r="I1659" s="24">
        <v>2885.63</v>
      </c>
      <c r="J1659" s="22" t="s">
        <v>110</v>
      </c>
      <c r="K1659" s="22" t="s">
        <v>134</v>
      </c>
      <c r="L1659" t="str">
        <f>VLOOKUP(D1659,Products!A:F,3,FALSE())</f>
        <v>Grocery</v>
      </c>
      <c r="M1659" t="str">
        <f>VLOOKUP(C1659,Customers!A:F,5,FALSE())</f>
        <v>Retail</v>
      </c>
      <c r="O1659" t="str">
        <f>IFERROR(VLOOKUP(E1659,Sales_Reps!$A:$C,3,FALSE()),"")</f>
        <v/>
      </c>
      <c r="P1659">
        <f>IFERROR(VLOOKUP(C1659,Customers!$A:$C,3,FALSE()),"")</f>
        <v>34</v>
      </c>
      <c r="Q1659" t="str">
        <f t="shared" si="25"/>
        <v>Dec-24</v>
      </c>
      <c r="R1659">
        <f>IFERROR((VLOOKUP(D1659,Products!$A:$E,5,FALSE())-VLOOKUP(D1659,Products!$A:$E,4,FALSE()))/VLOOKUP(D1659,Products!$A:$E,5,FALSE()),"")</f>
        <v>0.50196560196560192</v>
      </c>
    </row>
    <row r="1660" spans="1:18" x14ac:dyDescent="0.3">
      <c r="A1660" s="22" t="s">
        <v>3801</v>
      </c>
      <c r="B1660" s="23">
        <v>45568</v>
      </c>
      <c r="C1660" s="22" t="s">
        <v>687</v>
      </c>
      <c r="D1660" s="22" t="s">
        <v>108</v>
      </c>
      <c r="E1660" s="22" t="s">
        <v>3802</v>
      </c>
      <c r="F1660" s="24">
        <v>1</v>
      </c>
      <c r="G1660" s="24">
        <v>820</v>
      </c>
      <c r="H1660" s="24">
        <v>17.899999999999999</v>
      </c>
      <c r="I1660" s="24">
        <v>673.22</v>
      </c>
      <c r="J1660" s="22" t="s">
        <v>104</v>
      </c>
      <c r="K1660" s="22" t="s">
        <v>134</v>
      </c>
      <c r="L1660" t="str">
        <f>VLOOKUP(D1660,Products!A:F,3,FALSE())</f>
        <v>Apparel</v>
      </c>
      <c r="M1660" t="str">
        <f>VLOOKUP(C1660,Customers!A:F,5,FALSE())</f>
        <v>SMB</v>
      </c>
      <c r="O1660" t="str">
        <f>IFERROR(VLOOKUP(E1660,Sales_Reps!$A:$C,3,FALSE()),"")</f>
        <v/>
      </c>
      <c r="P1660">
        <f>IFERROR(VLOOKUP(C1660,Customers!$A:$C,3,FALSE()),"")</f>
        <v>26</v>
      </c>
      <c r="Q1660" t="str">
        <f t="shared" si="25"/>
        <v>Oct-24</v>
      </c>
      <c r="R1660">
        <f>IFERROR((VLOOKUP(D1660,Products!$A:$E,5,FALSE())-VLOOKUP(D1660,Products!$A:$E,4,FALSE()))/VLOOKUP(D1660,Products!$A:$E,5,FALSE()),"")</f>
        <v>0.52317073170731709</v>
      </c>
    </row>
    <row r="1661" spans="1:18" x14ac:dyDescent="0.3">
      <c r="A1661" s="22" t="s">
        <v>3803</v>
      </c>
      <c r="B1661" s="23">
        <v>45643</v>
      </c>
      <c r="C1661" s="22" t="s">
        <v>361</v>
      </c>
      <c r="D1661" s="22" t="s">
        <v>330</v>
      </c>
      <c r="E1661" s="22" t="s">
        <v>3804</v>
      </c>
      <c r="F1661" s="24">
        <v>5</v>
      </c>
      <c r="G1661" s="24">
        <v>3020</v>
      </c>
      <c r="H1661" s="24">
        <v>26.2</v>
      </c>
      <c r="I1661" s="24">
        <v>11143.8</v>
      </c>
      <c r="J1661" s="22" t="s">
        <v>104</v>
      </c>
      <c r="K1661" s="22" t="s">
        <v>151</v>
      </c>
      <c r="L1661" t="str">
        <f>VLOOKUP(D1661,Products!A:F,3,FALSE())</f>
        <v>Beauty</v>
      </c>
      <c r="M1661" t="str">
        <f>VLOOKUP(C1661,Customers!A:F,5,FALSE())</f>
        <v>Retail</v>
      </c>
      <c r="O1661" t="str">
        <f>IFERROR(VLOOKUP(E1661,Sales_Reps!$A:$C,3,FALSE()),"")</f>
        <v/>
      </c>
      <c r="P1661">
        <f>IFERROR(VLOOKUP(C1661,Customers!$A:$C,3,FALSE()),"")</f>
        <v>29</v>
      </c>
      <c r="Q1661" t="str">
        <f t="shared" si="25"/>
        <v>Dec-24</v>
      </c>
      <c r="R1661">
        <f>IFERROR((VLOOKUP(D1661,Products!$A:$E,5,FALSE())-VLOOKUP(D1661,Products!$A:$E,4,FALSE()))/VLOOKUP(D1661,Products!$A:$E,5,FALSE()),"")</f>
        <v>0.46158940397350995</v>
      </c>
    </row>
    <row r="1662" spans="1:18" x14ac:dyDescent="0.3">
      <c r="A1662" s="22" t="s">
        <v>3805</v>
      </c>
      <c r="B1662" s="23">
        <v>45411</v>
      </c>
      <c r="C1662" s="22" t="s">
        <v>879</v>
      </c>
      <c r="D1662" s="22" t="s">
        <v>935</v>
      </c>
      <c r="E1662" s="22" t="s">
        <v>3806</v>
      </c>
      <c r="F1662" s="24">
        <v>10</v>
      </c>
      <c r="G1662" s="24">
        <v>3560</v>
      </c>
      <c r="H1662" s="24">
        <v>15.4</v>
      </c>
      <c r="I1662" s="24">
        <v>30117.599999999999</v>
      </c>
      <c r="J1662" s="22" t="s">
        <v>164</v>
      </c>
      <c r="K1662" s="22" t="s">
        <v>151</v>
      </c>
      <c r="L1662" t="str">
        <f>VLOOKUP(D1662,Products!A:F,3,FALSE())</f>
        <v>Apparel</v>
      </c>
      <c r="M1662" t="str">
        <f>VLOOKUP(C1662,Customers!A:F,5,FALSE())</f>
        <v>Corporate</v>
      </c>
      <c r="O1662" t="str">
        <f>IFERROR(VLOOKUP(E1662,Sales_Reps!$A:$C,3,FALSE()),"")</f>
        <v/>
      </c>
      <c r="P1662">
        <f>IFERROR(VLOOKUP(C1662,Customers!$A:$C,3,FALSE()),"")</f>
        <v>22</v>
      </c>
      <c r="Q1662" t="str">
        <f t="shared" si="25"/>
        <v>Apr-24</v>
      </c>
      <c r="R1662">
        <f>IFERROR((VLOOKUP(D1662,Products!$A:$E,5,FALSE())-VLOOKUP(D1662,Products!$A:$E,4,FALSE()))/VLOOKUP(D1662,Products!$A:$E,5,FALSE()),"")</f>
        <v>0.26151685393258428</v>
      </c>
    </row>
    <row r="1663" spans="1:18" x14ac:dyDescent="0.3">
      <c r="A1663" s="22" t="s">
        <v>2420</v>
      </c>
      <c r="B1663" s="23">
        <v>45467</v>
      </c>
      <c r="C1663" s="22" t="s">
        <v>333</v>
      </c>
      <c r="D1663" s="22" t="s">
        <v>205</v>
      </c>
      <c r="E1663" s="22" t="s">
        <v>3807</v>
      </c>
      <c r="F1663" s="24">
        <v>3</v>
      </c>
      <c r="G1663" s="24">
        <v>3350</v>
      </c>
      <c r="H1663" s="24">
        <v>8.1</v>
      </c>
      <c r="I1663" s="24">
        <v>9235.9500000000007</v>
      </c>
      <c r="J1663" s="22" t="s">
        <v>104</v>
      </c>
      <c r="K1663" s="22" t="s">
        <v>151</v>
      </c>
      <c r="L1663" t="str">
        <f>VLOOKUP(D1663,Products!A:F,3,FALSE())</f>
        <v>Beauty</v>
      </c>
      <c r="M1663" t="str">
        <f>VLOOKUP(C1663,Customers!A:F,5,FALSE())</f>
        <v>Corporate</v>
      </c>
      <c r="O1663" t="str">
        <f>IFERROR(VLOOKUP(E1663,Sales_Reps!$A:$C,3,FALSE()),"")</f>
        <v/>
      </c>
      <c r="P1663">
        <f>IFERROR(VLOOKUP(C1663,Customers!$A:$C,3,FALSE()),"")</f>
        <v>29</v>
      </c>
      <c r="Q1663" t="str">
        <f t="shared" si="25"/>
        <v>Jun-24</v>
      </c>
      <c r="R1663">
        <f>IFERROR((VLOOKUP(D1663,Products!$A:$E,5,FALSE())-VLOOKUP(D1663,Products!$A:$E,4,FALSE()))/VLOOKUP(D1663,Products!$A:$E,5,FALSE()),"")</f>
        <v>0.48417910447761192</v>
      </c>
    </row>
    <row r="1664" spans="1:18" x14ac:dyDescent="0.3">
      <c r="A1664" s="22" t="s">
        <v>3808</v>
      </c>
      <c r="B1664" s="23">
        <v>45542</v>
      </c>
      <c r="C1664" s="22" t="s">
        <v>1041</v>
      </c>
      <c r="D1664" s="22" t="s">
        <v>488</v>
      </c>
      <c r="E1664" s="22" t="s">
        <v>3809</v>
      </c>
      <c r="F1664" s="24">
        <v>10</v>
      </c>
      <c r="G1664" s="24">
        <v>2290</v>
      </c>
      <c r="H1664" s="24">
        <v>7</v>
      </c>
      <c r="I1664" s="24">
        <v>21297</v>
      </c>
      <c r="J1664" s="22" t="s">
        <v>104</v>
      </c>
      <c r="K1664" s="22" t="s">
        <v>105</v>
      </c>
      <c r="L1664" t="str">
        <f>VLOOKUP(D1664,Products!A:F,3,FALSE())</f>
        <v>Beauty</v>
      </c>
      <c r="M1664" t="str">
        <f>VLOOKUP(C1664,Customers!A:F,5,FALSE())</f>
        <v>Retail</v>
      </c>
      <c r="O1664" t="str">
        <f>IFERROR(VLOOKUP(E1664,Sales_Reps!$A:$C,3,FALSE()),"")</f>
        <v/>
      </c>
      <c r="P1664">
        <f>IFERROR(VLOOKUP(C1664,Customers!$A:$C,3,FALSE()),"")</f>
        <v>48</v>
      </c>
      <c r="Q1664" t="str">
        <f t="shared" si="25"/>
        <v>Sep-24</v>
      </c>
      <c r="R1664">
        <f>IFERROR((VLOOKUP(D1664,Products!$A:$E,5,FALSE())-VLOOKUP(D1664,Products!$A:$E,4,FALSE()))/VLOOKUP(D1664,Products!$A:$E,5,FALSE()),"")</f>
        <v>0.46768558951965067</v>
      </c>
    </row>
    <row r="1665" spans="1:18" x14ac:dyDescent="0.3">
      <c r="A1665" s="22" t="s">
        <v>3810</v>
      </c>
      <c r="B1665" s="23">
        <v>45483</v>
      </c>
      <c r="C1665" s="22" t="s">
        <v>526</v>
      </c>
      <c r="D1665" s="22" t="s">
        <v>119</v>
      </c>
      <c r="E1665" s="22" t="s">
        <v>3811</v>
      </c>
      <c r="F1665" s="24">
        <v>6</v>
      </c>
      <c r="G1665" s="24">
        <v>3660</v>
      </c>
      <c r="H1665" s="24">
        <v>29.9</v>
      </c>
      <c r="I1665" s="24">
        <v>15393.96</v>
      </c>
      <c r="J1665" s="22" t="s">
        <v>104</v>
      </c>
      <c r="K1665" s="22" t="s">
        <v>129</v>
      </c>
      <c r="L1665" t="str">
        <f>VLOOKUP(D1665,Products!A:F,3,FALSE())</f>
        <v>Grocery</v>
      </c>
      <c r="M1665" t="str">
        <f>VLOOKUP(C1665,Customers!A:F,5,FALSE())</f>
        <v>Retail</v>
      </c>
      <c r="O1665" t="str">
        <f>IFERROR(VLOOKUP(E1665,Sales_Reps!$A:$C,3,FALSE()),"")</f>
        <v/>
      </c>
      <c r="P1665">
        <f>IFERROR(VLOOKUP(C1665,Customers!$A:$C,3,FALSE()),"")</f>
        <v>61</v>
      </c>
      <c r="Q1665" t="str">
        <f t="shared" si="25"/>
        <v>Jul-24</v>
      </c>
      <c r="R1665">
        <f>IFERROR((VLOOKUP(D1665,Products!$A:$E,5,FALSE())-VLOOKUP(D1665,Products!$A:$E,4,FALSE()))/VLOOKUP(D1665,Products!$A:$E,5,FALSE()),"")</f>
        <v>0.39508196721311473</v>
      </c>
    </row>
    <row r="1666" spans="1:18" x14ac:dyDescent="0.3">
      <c r="A1666" s="22" t="s">
        <v>3812</v>
      </c>
      <c r="B1666" s="23">
        <v>45426</v>
      </c>
      <c r="C1666" s="22" t="s">
        <v>709</v>
      </c>
      <c r="D1666" s="22" t="s">
        <v>153</v>
      </c>
      <c r="E1666" s="22" t="s">
        <v>3813</v>
      </c>
      <c r="F1666" s="24">
        <v>8</v>
      </c>
      <c r="G1666" s="24">
        <v>2640</v>
      </c>
      <c r="H1666" s="24">
        <v>4.2</v>
      </c>
      <c r="I1666" s="24">
        <v>20232.96</v>
      </c>
      <c r="J1666" s="22" t="s">
        <v>164</v>
      </c>
      <c r="K1666" s="22" t="s">
        <v>129</v>
      </c>
      <c r="L1666" t="str">
        <f>VLOOKUP(D1666,Products!A:F,3,FALSE())</f>
        <v>Electronics</v>
      </c>
      <c r="M1666" t="str">
        <f>VLOOKUP(C1666,Customers!A:F,5,FALSE())</f>
        <v>Corporate</v>
      </c>
      <c r="O1666" t="str">
        <f>IFERROR(VLOOKUP(E1666,Sales_Reps!$A:$C,3,FALSE()),"")</f>
        <v/>
      </c>
      <c r="P1666">
        <f>IFERROR(VLOOKUP(C1666,Customers!$A:$C,3,FALSE()),"")</f>
        <v>55</v>
      </c>
      <c r="Q1666" t="str">
        <f t="shared" ref="Q1666:Q1729" si="26">TEXT(B1666,"mmm-yy")</f>
        <v>May-24</v>
      </c>
      <c r="R1666">
        <f>IFERROR((VLOOKUP(D1666,Products!$A:$E,5,FALSE())-VLOOKUP(D1666,Products!$A:$E,4,FALSE()))/VLOOKUP(D1666,Products!$A:$E,5,FALSE()),"")</f>
        <v>0.56477272727272732</v>
      </c>
    </row>
    <row r="1667" spans="1:18" x14ac:dyDescent="0.3">
      <c r="A1667" s="22" t="s">
        <v>3814</v>
      </c>
      <c r="B1667" s="23">
        <v>45386</v>
      </c>
      <c r="C1667" s="22" t="s">
        <v>170</v>
      </c>
      <c r="D1667" s="22" t="s">
        <v>127</v>
      </c>
      <c r="E1667" s="22" t="s">
        <v>3815</v>
      </c>
      <c r="F1667" s="24">
        <v>5</v>
      </c>
      <c r="G1667" s="24">
        <v>370</v>
      </c>
      <c r="H1667" s="24">
        <v>6</v>
      </c>
      <c r="I1667" s="24">
        <v>1739</v>
      </c>
      <c r="J1667" s="22" t="s">
        <v>104</v>
      </c>
      <c r="K1667" s="22" t="s">
        <v>105</v>
      </c>
      <c r="L1667" t="str">
        <f>VLOOKUP(D1667,Products!A:F,3,FALSE())</f>
        <v>Home</v>
      </c>
      <c r="M1667" t="str">
        <f>VLOOKUP(C1667,Customers!A:F,5,FALSE())</f>
        <v>Retail</v>
      </c>
      <c r="O1667" t="str">
        <f>IFERROR(VLOOKUP(E1667,Sales_Reps!$A:$C,3,FALSE()),"")</f>
        <v/>
      </c>
      <c r="P1667">
        <f>IFERROR(VLOOKUP(C1667,Customers!$A:$C,3,FALSE()),"")</f>
        <v>63</v>
      </c>
      <c r="Q1667" t="str">
        <f t="shared" si="26"/>
        <v>Apr-24</v>
      </c>
      <c r="R1667">
        <f>IFERROR((VLOOKUP(D1667,Products!$A:$E,5,FALSE())-VLOOKUP(D1667,Products!$A:$E,4,FALSE()))/VLOOKUP(D1667,Products!$A:$E,5,FALSE()),"")</f>
        <v>0.22162162162162163</v>
      </c>
    </row>
    <row r="1668" spans="1:18" x14ac:dyDescent="0.3">
      <c r="A1668" s="22" t="s">
        <v>3816</v>
      </c>
      <c r="B1668" s="23">
        <v>45377</v>
      </c>
      <c r="C1668" s="22" t="s">
        <v>1659</v>
      </c>
      <c r="D1668" s="22" t="s">
        <v>149</v>
      </c>
      <c r="E1668" s="22" t="s">
        <v>3817</v>
      </c>
      <c r="F1668" s="24">
        <v>9</v>
      </c>
      <c r="G1668" s="24">
        <v>2270</v>
      </c>
      <c r="H1668" s="24">
        <v>4.7</v>
      </c>
      <c r="I1668" s="24">
        <v>19469.79</v>
      </c>
      <c r="J1668" s="22" t="s">
        <v>104</v>
      </c>
      <c r="K1668" s="22" t="s">
        <v>111</v>
      </c>
      <c r="L1668" t="str">
        <f>VLOOKUP(D1668,Products!A:F,3,FALSE())</f>
        <v>Grocery</v>
      </c>
      <c r="M1668" t="str">
        <f>VLOOKUP(C1668,Customers!A:F,5,FALSE())</f>
        <v>Retail</v>
      </c>
      <c r="O1668" t="str">
        <f>IFERROR(VLOOKUP(E1668,Sales_Reps!$A:$C,3,FALSE()),"")</f>
        <v/>
      </c>
      <c r="P1668">
        <f>IFERROR(VLOOKUP(C1668,Customers!$A:$C,3,FALSE()),"")</f>
        <v>49</v>
      </c>
      <c r="Q1668" t="str">
        <f t="shared" si="26"/>
        <v>Mar-24</v>
      </c>
      <c r="R1668">
        <f>IFERROR((VLOOKUP(D1668,Products!$A:$E,5,FALSE())-VLOOKUP(D1668,Products!$A:$E,4,FALSE()))/VLOOKUP(D1668,Products!$A:$E,5,FALSE()),"")</f>
        <v>0.47004405286343615</v>
      </c>
    </row>
    <row r="1669" spans="1:18" x14ac:dyDescent="0.3">
      <c r="A1669" s="22" t="s">
        <v>3818</v>
      </c>
      <c r="B1669" s="23">
        <v>45414</v>
      </c>
      <c r="C1669" s="22" t="s">
        <v>1246</v>
      </c>
      <c r="D1669" s="22" t="s">
        <v>234</v>
      </c>
      <c r="E1669" s="22" t="s">
        <v>3819</v>
      </c>
      <c r="F1669" s="24">
        <v>5</v>
      </c>
      <c r="G1669" s="24">
        <v>660</v>
      </c>
      <c r="H1669" s="24">
        <v>21</v>
      </c>
      <c r="I1669" s="24">
        <v>2607</v>
      </c>
      <c r="J1669" s="22" t="s">
        <v>104</v>
      </c>
      <c r="K1669" s="22" t="s">
        <v>134</v>
      </c>
      <c r="L1669" t="str">
        <f>VLOOKUP(D1669,Products!A:F,3,FALSE())</f>
        <v>Home</v>
      </c>
      <c r="M1669" t="str">
        <f>VLOOKUP(C1669,Customers!A:F,5,FALSE())</f>
        <v>Retail</v>
      </c>
      <c r="O1669" t="str">
        <f>IFERROR(VLOOKUP(E1669,Sales_Reps!$A:$C,3,FALSE()),"")</f>
        <v/>
      </c>
      <c r="P1669">
        <f>IFERROR(VLOOKUP(C1669,Customers!$A:$C,3,FALSE()),"")</f>
        <v>37</v>
      </c>
      <c r="Q1669" t="str">
        <f t="shared" si="26"/>
        <v>May-24</v>
      </c>
      <c r="R1669">
        <f>IFERROR((VLOOKUP(D1669,Products!$A:$E,5,FALSE())-VLOOKUP(D1669,Products!$A:$E,4,FALSE()))/VLOOKUP(D1669,Products!$A:$E,5,FALSE()),"")</f>
        <v>0.50151515151515147</v>
      </c>
    </row>
    <row r="1670" spans="1:18" x14ac:dyDescent="0.3">
      <c r="A1670" s="22" t="s">
        <v>3820</v>
      </c>
      <c r="B1670" s="23">
        <v>45407</v>
      </c>
      <c r="C1670" s="22" t="s">
        <v>3821</v>
      </c>
      <c r="D1670" s="22" t="s">
        <v>132</v>
      </c>
      <c r="E1670" s="22" t="s">
        <v>3822</v>
      </c>
      <c r="F1670" s="24">
        <v>2</v>
      </c>
      <c r="G1670" s="24">
        <v>960</v>
      </c>
      <c r="H1670" s="24">
        <v>7.3</v>
      </c>
      <c r="I1670" s="24">
        <v>1779.84</v>
      </c>
      <c r="J1670" s="22" t="s">
        <v>104</v>
      </c>
      <c r="K1670" s="22" t="s">
        <v>134</v>
      </c>
      <c r="L1670" t="str">
        <f>VLOOKUP(D1670,Products!A:F,3,FALSE())</f>
        <v>Sports</v>
      </c>
      <c r="M1670" t="e">
        <f>VLOOKUP(C1670,Customers!A:F,5,FALSE())</f>
        <v>#N/A</v>
      </c>
      <c r="O1670" t="str">
        <f>IFERROR(VLOOKUP(E1670,Sales_Reps!$A:$C,3,FALSE()),"")</f>
        <v/>
      </c>
      <c r="P1670" t="str">
        <f>IFERROR(VLOOKUP(C1670,Customers!$A:$C,3,FALSE()),"")</f>
        <v/>
      </c>
      <c r="Q1670" t="str">
        <f t="shared" si="26"/>
        <v>Apr-24</v>
      </c>
      <c r="R1670">
        <f>IFERROR((VLOOKUP(D1670,Products!$A:$E,5,FALSE())-VLOOKUP(D1670,Products!$A:$E,4,FALSE()))/VLOOKUP(D1670,Products!$A:$E,5,FALSE()),"")</f>
        <v>0.265625</v>
      </c>
    </row>
    <row r="1671" spans="1:18" x14ac:dyDescent="0.3">
      <c r="A1671" s="22" t="s">
        <v>3823</v>
      </c>
      <c r="B1671" s="23">
        <v>45509</v>
      </c>
      <c r="C1671" s="22" t="s">
        <v>189</v>
      </c>
      <c r="D1671" s="22" t="s">
        <v>220</v>
      </c>
      <c r="E1671" s="22" t="s">
        <v>3824</v>
      </c>
      <c r="F1671" s="24">
        <v>3</v>
      </c>
      <c r="G1671" s="24">
        <v>5100</v>
      </c>
      <c r="H1671" s="24">
        <v>21</v>
      </c>
      <c r="I1671" s="24">
        <v>12087</v>
      </c>
      <c r="J1671" s="22" t="s">
        <v>104</v>
      </c>
      <c r="K1671" s="22" t="s">
        <v>151</v>
      </c>
      <c r="L1671" t="str">
        <f>VLOOKUP(D1671,Products!A:F,3,FALSE())</f>
        <v>Beauty</v>
      </c>
      <c r="M1671" t="str">
        <f>VLOOKUP(C1671,Customers!A:F,5,FALSE())</f>
        <v>Retail</v>
      </c>
      <c r="O1671" t="str">
        <f>IFERROR(VLOOKUP(E1671,Sales_Reps!$A:$C,3,FALSE()),"")</f>
        <v/>
      </c>
      <c r="P1671">
        <f>IFERROR(VLOOKUP(C1671,Customers!$A:$C,3,FALSE()),"")</f>
        <v>32</v>
      </c>
      <c r="Q1671" t="str">
        <f t="shared" si="26"/>
        <v>Aug-24</v>
      </c>
      <c r="R1671">
        <f>IFERROR((VLOOKUP(D1671,Products!$A:$E,5,FALSE())-VLOOKUP(D1671,Products!$A:$E,4,FALSE()))/VLOOKUP(D1671,Products!$A:$E,5,FALSE()),"")</f>
        <v>0.56137254901960787</v>
      </c>
    </row>
    <row r="1672" spans="1:18" x14ac:dyDescent="0.3">
      <c r="A1672" s="22" t="s">
        <v>3825</v>
      </c>
      <c r="B1672" s="23">
        <v>45566</v>
      </c>
      <c r="C1672" s="22" t="s">
        <v>337</v>
      </c>
      <c r="D1672" s="22" t="s">
        <v>123</v>
      </c>
      <c r="E1672" s="22" t="s">
        <v>3826</v>
      </c>
      <c r="F1672" s="24">
        <v>3</v>
      </c>
      <c r="G1672" s="24">
        <v>3160</v>
      </c>
      <c r="H1672" s="24">
        <v>13.5</v>
      </c>
      <c r="I1672" s="24">
        <v>8200.2000000000007</v>
      </c>
      <c r="J1672" s="22" t="s">
        <v>104</v>
      </c>
      <c r="K1672" s="22" t="s">
        <v>105</v>
      </c>
      <c r="L1672" t="str">
        <f>VLOOKUP(D1672,Products!A:F,3,FALSE())</f>
        <v>Apparel</v>
      </c>
      <c r="M1672" t="str">
        <f>VLOOKUP(C1672,Customers!A:F,5,FALSE())</f>
        <v>Retail</v>
      </c>
      <c r="O1672" t="str">
        <f>IFERROR(VLOOKUP(E1672,Sales_Reps!$A:$C,3,FALSE()),"")</f>
        <v/>
      </c>
      <c r="P1672">
        <f>IFERROR(VLOOKUP(C1672,Customers!$A:$C,3,FALSE()),"")</f>
        <v>25</v>
      </c>
      <c r="Q1672" t="str">
        <f t="shared" si="26"/>
        <v>Oct-24</v>
      </c>
      <c r="R1672">
        <f>IFERROR((VLOOKUP(D1672,Products!$A:$E,5,FALSE())-VLOOKUP(D1672,Products!$A:$E,4,FALSE()))/VLOOKUP(D1672,Products!$A:$E,5,FALSE()),"")</f>
        <v>0.4031645569620253</v>
      </c>
    </row>
    <row r="1673" spans="1:18" x14ac:dyDescent="0.3">
      <c r="A1673" s="22" t="s">
        <v>3827</v>
      </c>
      <c r="B1673" s="23">
        <v>45524</v>
      </c>
      <c r="C1673" s="22" t="s">
        <v>3828</v>
      </c>
      <c r="D1673" s="22" t="s">
        <v>308</v>
      </c>
      <c r="E1673" s="22" t="s">
        <v>3829</v>
      </c>
      <c r="F1673" s="24">
        <v>9</v>
      </c>
      <c r="G1673" s="24">
        <v>1540</v>
      </c>
      <c r="H1673" s="24">
        <v>18.2</v>
      </c>
      <c r="I1673" s="24">
        <v>11337.48</v>
      </c>
      <c r="J1673" s="22" t="s">
        <v>159</v>
      </c>
      <c r="K1673" s="22" t="s">
        <v>134</v>
      </c>
      <c r="L1673" t="str">
        <f>VLOOKUP(D1673,Products!A:F,3,FALSE())</f>
        <v>Beauty</v>
      </c>
      <c r="M1673" t="e">
        <f>VLOOKUP(C1673,Customers!A:F,5,FALSE())</f>
        <v>#N/A</v>
      </c>
      <c r="O1673" t="str">
        <f>IFERROR(VLOOKUP(E1673,Sales_Reps!$A:$C,3,FALSE()),"")</f>
        <v/>
      </c>
      <c r="P1673" t="str">
        <f>IFERROR(VLOOKUP(C1673,Customers!$A:$C,3,FALSE()),"")</f>
        <v/>
      </c>
      <c r="Q1673" t="str">
        <f t="shared" si="26"/>
        <v>Aug-24</v>
      </c>
      <c r="R1673">
        <f>IFERROR((VLOOKUP(D1673,Products!$A:$E,5,FALSE())-VLOOKUP(D1673,Products!$A:$E,4,FALSE()))/VLOOKUP(D1673,Products!$A:$E,5,FALSE()),"")</f>
        <v>0.57987012987012987</v>
      </c>
    </row>
    <row r="1674" spans="1:18" x14ac:dyDescent="0.3">
      <c r="A1674" s="22" t="s">
        <v>3830</v>
      </c>
      <c r="B1674" s="23">
        <v>45431</v>
      </c>
      <c r="C1674" s="22" t="s">
        <v>174</v>
      </c>
      <c r="D1674" s="22" t="s">
        <v>178</v>
      </c>
      <c r="E1674" s="22" t="s">
        <v>3831</v>
      </c>
      <c r="F1674" s="24">
        <v>4</v>
      </c>
      <c r="G1674" s="24">
        <v>3450</v>
      </c>
      <c r="H1674" s="24">
        <v>26.4</v>
      </c>
      <c r="I1674" s="24">
        <v>10156.799999999999</v>
      </c>
      <c r="J1674" s="22" t="s">
        <v>110</v>
      </c>
      <c r="K1674" s="22" t="s">
        <v>134</v>
      </c>
      <c r="L1674" t="str">
        <f>VLOOKUP(D1674,Products!A:F,3,FALSE())</f>
        <v>Beauty</v>
      </c>
      <c r="M1674" t="str">
        <f>VLOOKUP(C1674,Customers!A:F,5,FALSE())</f>
        <v>SMB</v>
      </c>
      <c r="O1674" t="str">
        <f>IFERROR(VLOOKUP(E1674,Sales_Reps!$A:$C,3,FALSE()),"")</f>
        <v/>
      </c>
      <c r="P1674">
        <f>IFERROR(VLOOKUP(C1674,Customers!$A:$C,3,FALSE()),"")</f>
        <v>46</v>
      </c>
      <c r="Q1674" t="str">
        <f t="shared" si="26"/>
        <v>May-24</v>
      </c>
      <c r="R1674">
        <f>IFERROR((VLOOKUP(D1674,Products!$A:$E,5,FALSE())-VLOOKUP(D1674,Products!$A:$E,4,FALSE()))/VLOOKUP(D1674,Products!$A:$E,5,FALSE()),"")</f>
        <v>0.29855072463768118</v>
      </c>
    </row>
    <row r="1675" spans="1:18" x14ac:dyDescent="0.3">
      <c r="A1675" s="22" t="s">
        <v>3832</v>
      </c>
      <c r="B1675" s="23">
        <v>45598</v>
      </c>
      <c r="C1675" s="22" t="s">
        <v>526</v>
      </c>
      <c r="D1675" s="22" t="s">
        <v>459</v>
      </c>
      <c r="E1675" s="22" t="s">
        <v>3833</v>
      </c>
      <c r="F1675" s="24">
        <v>4</v>
      </c>
      <c r="G1675" s="24">
        <v>2380</v>
      </c>
      <c r="H1675" s="24">
        <v>6.9</v>
      </c>
      <c r="I1675" s="24">
        <v>8863.1200000000008</v>
      </c>
      <c r="J1675" s="22" t="s">
        <v>104</v>
      </c>
      <c r="K1675" s="22" t="s">
        <v>129</v>
      </c>
      <c r="L1675" t="str">
        <f>VLOOKUP(D1675,Products!A:F,3,FALSE())</f>
        <v>Grocery</v>
      </c>
      <c r="M1675" t="str">
        <f>VLOOKUP(C1675,Customers!A:F,5,FALSE())</f>
        <v>Retail</v>
      </c>
      <c r="O1675" t="str">
        <f>IFERROR(VLOOKUP(E1675,Sales_Reps!$A:$C,3,FALSE()),"")</f>
        <v/>
      </c>
      <c r="P1675">
        <f>IFERROR(VLOOKUP(C1675,Customers!$A:$C,3,FALSE()),"")</f>
        <v>61</v>
      </c>
      <c r="Q1675" t="str">
        <f t="shared" si="26"/>
        <v>Nov-24</v>
      </c>
      <c r="R1675">
        <f>IFERROR((VLOOKUP(D1675,Products!$A:$E,5,FALSE())-VLOOKUP(D1675,Products!$A:$E,4,FALSE()))/VLOOKUP(D1675,Products!$A:$E,5,FALSE()),"")</f>
        <v>0.50336134453781511</v>
      </c>
    </row>
    <row r="1676" spans="1:18" x14ac:dyDescent="0.3">
      <c r="A1676" s="22" t="s">
        <v>3834</v>
      </c>
      <c r="B1676" s="23">
        <v>45419</v>
      </c>
      <c r="C1676" s="22" t="s">
        <v>337</v>
      </c>
      <c r="D1676" s="22" t="s">
        <v>265</v>
      </c>
      <c r="E1676" s="22" t="s">
        <v>3835</v>
      </c>
      <c r="F1676" s="24">
        <v>2</v>
      </c>
      <c r="G1676" s="24">
        <v>3730</v>
      </c>
      <c r="H1676" s="24">
        <v>22.9</v>
      </c>
      <c r="I1676" s="24">
        <v>5751.66</v>
      </c>
      <c r="J1676" s="22" t="s">
        <v>104</v>
      </c>
      <c r="K1676" s="22" t="s">
        <v>105</v>
      </c>
      <c r="L1676" t="str">
        <f>VLOOKUP(D1676,Products!A:F,3,FALSE())</f>
        <v>Home</v>
      </c>
      <c r="M1676" t="str">
        <f>VLOOKUP(C1676,Customers!A:F,5,FALSE())</f>
        <v>Retail</v>
      </c>
      <c r="O1676" t="str">
        <f>IFERROR(VLOOKUP(E1676,Sales_Reps!$A:$C,3,FALSE()),"")</f>
        <v/>
      </c>
      <c r="P1676">
        <f>IFERROR(VLOOKUP(C1676,Customers!$A:$C,3,FALSE()),"")</f>
        <v>25</v>
      </c>
      <c r="Q1676" t="str">
        <f t="shared" si="26"/>
        <v>May-24</v>
      </c>
      <c r="R1676">
        <f>IFERROR((VLOOKUP(D1676,Products!$A:$E,5,FALSE())-VLOOKUP(D1676,Products!$A:$E,4,FALSE()))/VLOOKUP(D1676,Products!$A:$E,5,FALSE()),"")</f>
        <v>0.42761394101876676</v>
      </c>
    </row>
    <row r="1677" spans="1:18" x14ac:dyDescent="0.3">
      <c r="A1677" s="22" t="s">
        <v>3836</v>
      </c>
      <c r="B1677" s="23">
        <v>45549</v>
      </c>
      <c r="C1677" s="22" t="s">
        <v>468</v>
      </c>
      <c r="D1677" s="22" t="s">
        <v>162</v>
      </c>
      <c r="E1677" s="22" t="s">
        <v>3837</v>
      </c>
      <c r="F1677" s="24">
        <v>7</v>
      </c>
      <c r="G1677" s="24">
        <v>3250</v>
      </c>
      <c r="H1677" s="24">
        <v>6</v>
      </c>
      <c r="I1677" s="24">
        <v>21385</v>
      </c>
      <c r="J1677" s="22" t="s">
        <v>104</v>
      </c>
      <c r="K1677" s="22" t="s">
        <v>105</v>
      </c>
      <c r="L1677" t="str">
        <f>VLOOKUP(D1677,Products!A:F,3,FALSE())</f>
        <v>Home</v>
      </c>
      <c r="M1677" t="str">
        <f>VLOOKUP(C1677,Customers!A:F,5,FALSE())</f>
        <v>Retail</v>
      </c>
      <c r="O1677" t="str">
        <f>IFERROR(VLOOKUP(E1677,Sales_Reps!$A:$C,3,FALSE()),"")</f>
        <v/>
      </c>
      <c r="P1677">
        <f>IFERROR(VLOOKUP(C1677,Customers!$A:$C,3,FALSE()),"")</f>
        <v>43</v>
      </c>
      <c r="Q1677" t="str">
        <f t="shared" si="26"/>
        <v>Sep-24</v>
      </c>
      <c r="R1677">
        <f>IFERROR((VLOOKUP(D1677,Products!$A:$E,5,FALSE())-VLOOKUP(D1677,Products!$A:$E,4,FALSE()))/VLOOKUP(D1677,Products!$A:$E,5,FALSE()),"")</f>
        <v>0.52123076923076928</v>
      </c>
    </row>
    <row r="1678" spans="1:18" x14ac:dyDescent="0.3">
      <c r="A1678" s="22" t="s">
        <v>3838</v>
      </c>
      <c r="B1678" s="23">
        <v>45519</v>
      </c>
      <c r="C1678" s="22" t="s">
        <v>1127</v>
      </c>
      <c r="D1678" s="22" t="s">
        <v>114</v>
      </c>
      <c r="E1678" s="22" t="s">
        <v>3839</v>
      </c>
      <c r="F1678" s="24">
        <v>9</v>
      </c>
      <c r="G1678" s="24">
        <v>470</v>
      </c>
      <c r="H1678" s="24">
        <v>11.6</v>
      </c>
      <c r="I1678" s="24">
        <v>3739.32</v>
      </c>
      <c r="J1678" s="22" t="s">
        <v>104</v>
      </c>
      <c r="K1678" s="22" t="s">
        <v>105</v>
      </c>
      <c r="L1678" t="str">
        <f>VLOOKUP(D1678,Products!A:F,3,FALSE())</f>
        <v>Sports</v>
      </c>
      <c r="M1678" t="str">
        <f>VLOOKUP(C1678,Customers!A:F,5,FALSE())</f>
        <v>Retail</v>
      </c>
      <c r="O1678" t="str">
        <f>IFERROR(VLOOKUP(E1678,Sales_Reps!$A:$C,3,FALSE()),"")</f>
        <v/>
      </c>
      <c r="P1678">
        <f>IFERROR(VLOOKUP(C1678,Customers!$A:$C,3,FALSE()),"")</f>
        <v>35</v>
      </c>
      <c r="Q1678" t="str">
        <f t="shared" si="26"/>
        <v>Aug-24</v>
      </c>
      <c r="R1678">
        <f>IFERROR((VLOOKUP(D1678,Products!$A:$E,5,FALSE())-VLOOKUP(D1678,Products!$A:$E,4,FALSE()))/VLOOKUP(D1678,Products!$A:$E,5,FALSE()),"")</f>
        <v>0.35744680851063831</v>
      </c>
    </row>
    <row r="1679" spans="1:18" x14ac:dyDescent="0.3">
      <c r="A1679" s="22" t="s">
        <v>3840</v>
      </c>
      <c r="B1679" s="23">
        <v>45574</v>
      </c>
      <c r="C1679" s="22" t="s">
        <v>1106</v>
      </c>
      <c r="D1679" s="22" t="s">
        <v>488</v>
      </c>
      <c r="E1679" s="22" t="s">
        <v>3841</v>
      </c>
      <c r="F1679" s="24">
        <v>5</v>
      </c>
      <c r="G1679" s="24">
        <v>2290</v>
      </c>
      <c r="H1679" s="24">
        <v>27.6</v>
      </c>
      <c r="I1679" s="24">
        <v>8289.7999999999993</v>
      </c>
      <c r="J1679" s="22" t="s">
        <v>104</v>
      </c>
      <c r="K1679" s="22" t="s">
        <v>134</v>
      </c>
      <c r="L1679" t="str">
        <f>VLOOKUP(D1679,Products!A:F,3,FALSE())</f>
        <v>Beauty</v>
      </c>
      <c r="M1679" t="str">
        <f>VLOOKUP(C1679,Customers!A:F,5,FALSE())</f>
        <v>Corporate</v>
      </c>
      <c r="O1679" t="str">
        <f>IFERROR(VLOOKUP(E1679,Sales_Reps!$A:$C,3,FALSE()),"")</f>
        <v/>
      </c>
      <c r="P1679">
        <f>IFERROR(VLOOKUP(C1679,Customers!$A:$C,3,FALSE()),"")</f>
        <v>43</v>
      </c>
      <c r="Q1679" t="str">
        <f t="shared" si="26"/>
        <v>Oct-24</v>
      </c>
      <c r="R1679">
        <f>IFERROR((VLOOKUP(D1679,Products!$A:$E,5,FALSE())-VLOOKUP(D1679,Products!$A:$E,4,FALSE()))/VLOOKUP(D1679,Products!$A:$E,5,FALSE()),"")</f>
        <v>0.46768558951965067</v>
      </c>
    </row>
    <row r="1680" spans="1:18" x14ac:dyDescent="0.3">
      <c r="A1680" s="22" t="s">
        <v>3842</v>
      </c>
      <c r="B1680" s="23">
        <v>45462</v>
      </c>
      <c r="C1680" s="22" t="s">
        <v>953</v>
      </c>
      <c r="D1680" s="22" t="s">
        <v>137</v>
      </c>
      <c r="E1680" s="22" t="s">
        <v>3843</v>
      </c>
      <c r="F1680" s="24">
        <v>6</v>
      </c>
      <c r="G1680" s="24">
        <v>1430</v>
      </c>
      <c r="H1680" s="24">
        <v>18.399999999999999</v>
      </c>
      <c r="I1680" s="24">
        <v>7001.28</v>
      </c>
      <c r="J1680" s="22" t="s">
        <v>110</v>
      </c>
      <c r="K1680" s="22" t="s">
        <v>151</v>
      </c>
      <c r="L1680" t="str">
        <f>VLOOKUP(D1680,Products!A:F,3,FALSE())</f>
        <v>Electronics</v>
      </c>
      <c r="M1680" t="str">
        <f>VLOOKUP(C1680,Customers!A:F,5,FALSE())</f>
        <v>Retail</v>
      </c>
      <c r="O1680" t="str">
        <f>IFERROR(VLOOKUP(E1680,Sales_Reps!$A:$C,3,FALSE()),"")</f>
        <v/>
      </c>
      <c r="P1680">
        <f>IFERROR(VLOOKUP(C1680,Customers!$A:$C,3,FALSE()),"")</f>
        <v>31</v>
      </c>
      <c r="Q1680" t="str">
        <f t="shared" si="26"/>
        <v>Jun-24</v>
      </c>
      <c r="R1680">
        <f>IFERROR((VLOOKUP(D1680,Products!$A:$E,5,FALSE())-VLOOKUP(D1680,Products!$A:$E,4,FALSE()))/VLOOKUP(D1680,Products!$A:$E,5,FALSE()),"")</f>
        <v>0.39790209790209791</v>
      </c>
    </row>
    <row r="1681" spans="1:18" x14ac:dyDescent="0.3">
      <c r="A1681" s="22" t="s">
        <v>3844</v>
      </c>
      <c r="B1681" s="23">
        <v>45336</v>
      </c>
      <c r="C1681" s="22" t="s">
        <v>2036</v>
      </c>
      <c r="D1681" s="22" t="s">
        <v>224</v>
      </c>
      <c r="E1681" s="22" t="s">
        <v>3845</v>
      </c>
      <c r="F1681" s="24">
        <v>7</v>
      </c>
      <c r="G1681" s="24">
        <v>2860</v>
      </c>
      <c r="H1681" s="24">
        <v>19.5</v>
      </c>
      <c r="I1681" s="24">
        <v>16116.1</v>
      </c>
      <c r="J1681" s="22" t="s">
        <v>104</v>
      </c>
      <c r="K1681" s="22" t="s">
        <v>134</v>
      </c>
      <c r="L1681" t="str">
        <f>VLOOKUP(D1681,Products!A:F,3,FALSE())</f>
        <v>Sports</v>
      </c>
      <c r="M1681" t="str">
        <f>VLOOKUP(C1681,Customers!A:F,5,FALSE())</f>
        <v>Retail</v>
      </c>
      <c r="O1681" t="str">
        <f>IFERROR(VLOOKUP(E1681,Sales_Reps!$A:$C,3,FALSE()),"")</f>
        <v/>
      </c>
      <c r="P1681">
        <f>IFERROR(VLOOKUP(C1681,Customers!$A:$C,3,FALSE()),"")</f>
        <v>54</v>
      </c>
      <c r="Q1681" t="str">
        <f t="shared" si="26"/>
        <v>Feb-24</v>
      </c>
      <c r="R1681">
        <f>IFERROR((VLOOKUP(D1681,Products!$A:$E,5,FALSE())-VLOOKUP(D1681,Products!$A:$E,4,FALSE()))/VLOOKUP(D1681,Products!$A:$E,5,FALSE()),"")</f>
        <v>0.29090909090909089</v>
      </c>
    </row>
    <row r="1682" spans="1:18" x14ac:dyDescent="0.3">
      <c r="A1682" s="22" t="s">
        <v>3846</v>
      </c>
      <c r="B1682" s="23">
        <v>45439</v>
      </c>
      <c r="C1682" s="22" t="s">
        <v>763</v>
      </c>
      <c r="D1682" s="22" t="s">
        <v>178</v>
      </c>
      <c r="E1682" s="22" t="s">
        <v>3847</v>
      </c>
      <c r="F1682" s="24">
        <v>8</v>
      </c>
      <c r="G1682" s="24">
        <v>3450</v>
      </c>
      <c r="H1682" s="24">
        <v>25.5</v>
      </c>
      <c r="I1682" s="24">
        <v>20562</v>
      </c>
      <c r="J1682" s="22" t="s">
        <v>110</v>
      </c>
      <c r="K1682" s="22" t="s">
        <v>129</v>
      </c>
      <c r="L1682" t="str">
        <f>VLOOKUP(D1682,Products!A:F,3,FALSE())</f>
        <v>Beauty</v>
      </c>
      <c r="M1682" t="str">
        <f>VLOOKUP(C1682,Customers!A:F,5,FALSE())</f>
        <v>Retail</v>
      </c>
      <c r="O1682" t="str">
        <f>IFERROR(VLOOKUP(E1682,Sales_Reps!$A:$C,3,FALSE()),"")</f>
        <v/>
      </c>
      <c r="P1682">
        <f>IFERROR(VLOOKUP(C1682,Customers!$A:$C,3,FALSE()),"")</f>
        <v>65</v>
      </c>
      <c r="Q1682" t="str">
        <f t="shared" si="26"/>
        <v>May-24</v>
      </c>
      <c r="R1682">
        <f>IFERROR((VLOOKUP(D1682,Products!$A:$E,5,FALSE())-VLOOKUP(D1682,Products!$A:$E,4,FALSE()))/VLOOKUP(D1682,Products!$A:$E,5,FALSE()),"")</f>
        <v>0.29855072463768118</v>
      </c>
    </row>
    <row r="1683" spans="1:18" x14ac:dyDescent="0.3">
      <c r="A1683" s="22" t="s">
        <v>3848</v>
      </c>
      <c r="B1683" s="23">
        <v>45578</v>
      </c>
      <c r="C1683" s="22" t="s">
        <v>766</v>
      </c>
      <c r="D1683" s="22" t="s">
        <v>449</v>
      </c>
      <c r="E1683" s="22" t="s">
        <v>3849</v>
      </c>
      <c r="F1683" s="24">
        <v>7</v>
      </c>
      <c r="G1683" s="24">
        <v>5410</v>
      </c>
      <c r="H1683" s="24">
        <v>15.2</v>
      </c>
      <c r="I1683" s="24">
        <v>32113.759999999998</v>
      </c>
      <c r="J1683" s="22" t="s">
        <v>159</v>
      </c>
      <c r="K1683" s="22" t="s">
        <v>105</v>
      </c>
      <c r="L1683" t="str">
        <f>VLOOKUP(D1683,Products!A:F,3,FALSE())</f>
        <v>Sports</v>
      </c>
      <c r="M1683" t="str">
        <f>VLOOKUP(C1683,Customers!A:F,5,FALSE())</f>
        <v>Retail</v>
      </c>
      <c r="O1683" t="str">
        <f>IFERROR(VLOOKUP(E1683,Sales_Reps!$A:$C,3,FALSE()),"")</f>
        <v/>
      </c>
      <c r="P1683">
        <f>IFERROR(VLOOKUP(C1683,Customers!$A:$C,3,FALSE()),"")</f>
        <v>62</v>
      </c>
      <c r="Q1683" t="str">
        <f t="shared" si="26"/>
        <v>Oct-24</v>
      </c>
      <c r="R1683">
        <f>IFERROR((VLOOKUP(D1683,Products!$A:$E,5,FALSE())-VLOOKUP(D1683,Products!$A:$E,4,FALSE()))/VLOOKUP(D1683,Products!$A:$E,5,FALSE()),"")</f>
        <v>0.58133086876155271</v>
      </c>
    </row>
    <row r="1684" spans="1:18" x14ac:dyDescent="0.3">
      <c r="A1684" s="22" t="s">
        <v>3850</v>
      </c>
      <c r="B1684" s="23">
        <v>45588</v>
      </c>
      <c r="C1684" s="22" t="s">
        <v>766</v>
      </c>
      <c r="D1684" s="22" t="s">
        <v>186</v>
      </c>
      <c r="E1684" s="22" t="s">
        <v>3851</v>
      </c>
      <c r="F1684" s="24">
        <v>3</v>
      </c>
      <c r="G1684" s="24">
        <v>1080</v>
      </c>
      <c r="H1684" s="24">
        <v>26</v>
      </c>
      <c r="I1684" s="24">
        <v>2397.6</v>
      </c>
      <c r="J1684" s="22" t="s">
        <v>104</v>
      </c>
      <c r="K1684" s="22" t="s">
        <v>105</v>
      </c>
      <c r="L1684" t="str">
        <f>VLOOKUP(D1684,Products!A:F,3,FALSE())</f>
        <v>Home</v>
      </c>
      <c r="M1684" t="str">
        <f>VLOOKUP(C1684,Customers!A:F,5,FALSE())</f>
        <v>Retail</v>
      </c>
      <c r="O1684" t="str">
        <f>IFERROR(VLOOKUP(E1684,Sales_Reps!$A:$C,3,FALSE()),"")</f>
        <v/>
      </c>
      <c r="P1684">
        <f>IFERROR(VLOOKUP(C1684,Customers!$A:$C,3,FALSE()),"")</f>
        <v>62</v>
      </c>
      <c r="Q1684" t="str">
        <f t="shared" si="26"/>
        <v>Oct-24</v>
      </c>
      <c r="R1684">
        <f>IFERROR((VLOOKUP(D1684,Products!$A:$E,5,FALSE())-VLOOKUP(D1684,Products!$A:$E,4,FALSE()))/VLOOKUP(D1684,Products!$A:$E,5,FALSE()),"")</f>
        <v>0.51944444444444449</v>
      </c>
    </row>
    <row r="1685" spans="1:18" x14ac:dyDescent="0.3">
      <c r="A1685" s="22" t="s">
        <v>3852</v>
      </c>
      <c r="B1685" s="23">
        <v>45354</v>
      </c>
      <c r="C1685" s="22" t="s">
        <v>380</v>
      </c>
      <c r="D1685" s="22" t="s">
        <v>224</v>
      </c>
      <c r="E1685" s="22" t="s">
        <v>3853</v>
      </c>
      <c r="F1685" s="24">
        <v>8</v>
      </c>
      <c r="G1685" s="24">
        <v>2860</v>
      </c>
      <c r="H1685" s="24">
        <v>14.8</v>
      </c>
      <c r="I1685" s="24">
        <v>19493.759999999998</v>
      </c>
      <c r="J1685" s="22" t="s">
        <v>104</v>
      </c>
      <c r="K1685" s="22" t="s">
        <v>151</v>
      </c>
      <c r="L1685" t="str">
        <f>VLOOKUP(D1685,Products!A:F,3,FALSE())</f>
        <v>Sports</v>
      </c>
      <c r="M1685" t="str">
        <f>VLOOKUP(C1685,Customers!A:F,5,FALSE())</f>
        <v>Retail</v>
      </c>
      <c r="O1685" t="str">
        <f>IFERROR(VLOOKUP(E1685,Sales_Reps!$A:$C,3,FALSE()),"")</f>
        <v/>
      </c>
      <c r="P1685">
        <f>IFERROR(VLOOKUP(C1685,Customers!$A:$C,3,FALSE()),"")</f>
        <v>46</v>
      </c>
      <c r="Q1685" t="str">
        <f t="shared" si="26"/>
        <v>Mar-24</v>
      </c>
      <c r="R1685">
        <f>IFERROR((VLOOKUP(D1685,Products!$A:$E,5,FALSE())-VLOOKUP(D1685,Products!$A:$E,4,FALSE()))/VLOOKUP(D1685,Products!$A:$E,5,FALSE()),"")</f>
        <v>0.29090909090909089</v>
      </c>
    </row>
    <row r="1686" spans="1:18" x14ac:dyDescent="0.3">
      <c r="A1686" s="22" t="s">
        <v>3854</v>
      </c>
      <c r="B1686" s="23">
        <v>45332</v>
      </c>
      <c r="C1686" s="22" t="s">
        <v>3855</v>
      </c>
      <c r="D1686" s="22" t="s">
        <v>330</v>
      </c>
      <c r="E1686" s="22" t="s">
        <v>3856</v>
      </c>
      <c r="F1686" s="24">
        <v>4</v>
      </c>
      <c r="G1686" s="24">
        <v>3020</v>
      </c>
      <c r="H1686" s="24">
        <v>8.1</v>
      </c>
      <c r="I1686" s="24">
        <v>11101.52</v>
      </c>
      <c r="J1686" s="22" t="s">
        <v>104</v>
      </c>
      <c r="K1686" s="22" t="s">
        <v>151</v>
      </c>
      <c r="L1686" t="str">
        <f>VLOOKUP(D1686,Products!A:F,3,FALSE())</f>
        <v>Beauty</v>
      </c>
      <c r="M1686" t="e">
        <f>VLOOKUP(C1686,Customers!A:F,5,FALSE())</f>
        <v>#N/A</v>
      </c>
      <c r="O1686" t="str">
        <f>IFERROR(VLOOKUP(E1686,Sales_Reps!$A:$C,3,FALSE()),"")</f>
        <v/>
      </c>
      <c r="P1686" t="str">
        <f>IFERROR(VLOOKUP(C1686,Customers!$A:$C,3,FALSE()),"")</f>
        <v/>
      </c>
      <c r="Q1686" t="str">
        <f t="shared" si="26"/>
        <v>Feb-24</v>
      </c>
      <c r="R1686">
        <f>IFERROR((VLOOKUP(D1686,Products!$A:$E,5,FALSE())-VLOOKUP(D1686,Products!$A:$E,4,FALSE()))/VLOOKUP(D1686,Products!$A:$E,5,FALSE()),"")</f>
        <v>0.46158940397350995</v>
      </c>
    </row>
    <row r="1687" spans="1:18" x14ac:dyDescent="0.3">
      <c r="A1687" s="22" t="s">
        <v>3857</v>
      </c>
      <c r="B1687" s="23">
        <v>45649</v>
      </c>
      <c r="C1687" s="22" t="s">
        <v>268</v>
      </c>
      <c r="D1687" s="22" t="s">
        <v>132</v>
      </c>
      <c r="E1687" s="22" t="s">
        <v>3858</v>
      </c>
      <c r="F1687" s="24">
        <v>4</v>
      </c>
      <c r="G1687" s="24">
        <v>960</v>
      </c>
      <c r="H1687" s="24">
        <v>6.4</v>
      </c>
      <c r="I1687" s="24">
        <v>3594.24</v>
      </c>
      <c r="J1687" s="22" t="s">
        <v>159</v>
      </c>
      <c r="K1687" s="22" t="s">
        <v>129</v>
      </c>
      <c r="L1687" t="str">
        <f>VLOOKUP(D1687,Products!A:F,3,FALSE())</f>
        <v>Sports</v>
      </c>
      <c r="M1687" t="str">
        <f>VLOOKUP(C1687,Customers!A:F,5,FALSE())</f>
        <v>SMB</v>
      </c>
      <c r="O1687" t="str">
        <f>IFERROR(VLOOKUP(E1687,Sales_Reps!$A:$C,3,FALSE()),"")</f>
        <v/>
      </c>
      <c r="P1687">
        <f>IFERROR(VLOOKUP(C1687,Customers!$A:$C,3,FALSE()),"")</f>
        <v>54</v>
      </c>
      <c r="Q1687" t="str">
        <f t="shared" si="26"/>
        <v>Dec-24</v>
      </c>
      <c r="R1687">
        <f>IFERROR((VLOOKUP(D1687,Products!$A:$E,5,FALSE())-VLOOKUP(D1687,Products!$A:$E,4,FALSE()))/VLOOKUP(D1687,Products!$A:$E,5,FALSE()),"")</f>
        <v>0.265625</v>
      </c>
    </row>
    <row r="1688" spans="1:18" x14ac:dyDescent="0.3">
      <c r="A1688" s="22" t="s">
        <v>3859</v>
      </c>
      <c r="B1688" s="23">
        <v>45596</v>
      </c>
      <c r="C1688" s="22" t="s">
        <v>754</v>
      </c>
      <c r="D1688" s="22" t="s">
        <v>293</v>
      </c>
      <c r="E1688" s="22" t="s">
        <v>3860</v>
      </c>
      <c r="F1688" s="24">
        <v>4</v>
      </c>
      <c r="G1688" s="24">
        <v>3870</v>
      </c>
      <c r="H1688" s="24">
        <v>15.9</v>
      </c>
      <c r="I1688" s="24">
        <v>13018.68</v>
      </c>
      <c r="J1688" s="22" t="s">
        <v>104</v>
      </c>
      <c r="K1688" s="22" t="s">
        <v>129</v>
      </c>
      <c r="L1688" t="str">
        <f>VLOOKUP(D1688,Products!A:F,3,FALSE())</f>
        <v>Electronics</v>
      </c>
      <c r="M1688" t="str">
        <f>VLOOKUP(C1688,Customers!A:F,5,FALSE())</f>
        <v>Corporate</v>
      </c>
      <c r="O1688" t="str">
        <f>IFERROR(VLOOKUP(E1688,Sales_Reps!$A:$C,3,FALSE()),"")</f>
        <v/>
      </c>
      <c r="P1688">
        <f>IFERROR(VLOOKUP(C1688,Customers!$A:$C,3,FALSE()),"")</f>
        <v>60</v>
      </c>
      <c r="Q1688" t="str">
        <f t="shared" si="26"/>
        <v>Oct-24</v>
      </c>
      <c r="R1688">
        <f>IFERROR((VLOOKUP(D1688,Products!$A:$E,5,FALSE())-VLOOKUP(D1688,Products!$A:$E,4,FALSE()))/VLOOKUP(D1688,Products!$A:$E,5,FALSE()),"")</f>
        <v>0.59715762273901807</v>
      </c>
    </row>
    <row r="1689" spans="1:18" x14ac:dyDescent="0.3">
      <c r="A1689" s="22" t="s">
        <v>3861</v>
      </c>
      <c r="B1689" s="23">
        <v>45378</v>
      </c>
      <c r="C1689" s="22" t="s">
        <v>1867</v>
      </c>
      <c r="D1689" s="22" t="s">
        <v>123</v>
      </c>
      <c r="E1689" s="22" t="s">
        <v>3862</v>
      </c>
      <c r="F1689" s="24">
        <v>5</v>
      </c>
      <c r="G1689" s="24">
        <v>3160</v>
      </c>
      <c r="H1689" s="24">
        <v>29.8</v>
      </c>
      <c r="I1689" s="24">
        <v>11091.6</v>
      </c>
      <c r="J1689" s="22" t="s">
        <v>104</v>
      </c>
      <c r="K1689" s="22" t="s">
        <v>105</v>
      </c>
      <c r="L1689" t="str">
        <f>VLOOKUP(D1689,Products!A:F,3,FALSE())</f>
        <v>Apparel</v>
      </c>
      <c r="M1689" t="str">
        <f>VLOOKUP(C1689,Customers!A:F,5,FALSE())</f>
        <v>Retail</v>
      </c>
      <c r="O1689" t="str">
        <f>IFERROR(VLOOKUP(E1689,Sales_Reps!$A:$C,3,FALSE()),"")</f>
        <v/>
      </c>
      <c r="P1689">
        <f>IFERROR(VLOOKUP(C1689,Customers!$A:$C,3,FALSE()),"")</f>
        <v>39</v>
      </c>
      <c r="Q1689" t="str">
        <f t="shared" si="26"/>
        <v>Mar-24</v>
      </c>
      <c r="R1689">
        <f>IFERROR((VLOOKUP(D1689,Products!$A:$E,5,FALSE())-VLOOKUP(D1689,Products!$A:$E,4,FALSE()))/VLOOKUP(D1689,Products!$A:$E,5,FALSE()),"")</f>
        <v>0.4031645569620253</v>
      </c>
    </row>
    <row r="1690" spans="1:18" x14ac:dyDescent="0.3">
      <c r="A1690" s="22" t="s">
        <v>3863</v>
      </c>
      <c r="B1690" s="23">
        <v>45403</v>
      </c>
      <c r="C1690" s="22" t="s">
        <v>573</v>
      </c>
      <c r="D1690" s="22" t="s">
        <v>178</v>
      </c>
      <c r="E1690" s="22" t="s">
        <v>3864</v>
      </c>
      <c r="F1690" s="24">
        <v>5</v>
      </c>
      <c r="G1690" s="24">
        <v>3450</v>
      </c>
      <c r="H1690" s="24">
        <v>29.4</v>
      </c>
      <c r="I1690" s="24">
        <v>12178.5</v>
      </c>
      <c r="J1690" s="22" t="s">
        <v>104</v>
      </c>
      <c r="K1690" s="22" t="s">
        <v>105</v>
      </c>
      <c r="L1690" t="str">
        <f>VLOOKUP(D1690,Products!A:F,3,FALSE())</f>
        <v>Beauty</v>
      </c>
      <c r="M1690" t="str">
        <f>VLOOKUP(C1690,Customers!A:F,5,FALSE())</f>
        <v>SMB</v>
      </c>
      <c r="O1690" t="str">
        <f>IFERROR(VLOOKUP(E1690,Sales_Reps!$A:$C,3,FALSE()),"")</f>
        <v/>
      </c>
      <c r="P1690">
        <f>IFERROR(VLOOKUP(C1690,Customers!$A:$C,3,FALSE()),"")</f>
        <v>30</v>
      </c>
      <c r="Q1690" t="str">
        <f t="shared" si="26"/>
        <v>Apr-24</v>
      </c>
      <c r="R1690">
        <f>IFERROR((VLOOKUP(D1690,Products!$A:$E,5,FALSE())-VLOOKUP(D1690,Products!$A:$E,4,FALSE()))/VLOOKUP(D1690,Products!$A:$E,5,FALSE()),"")</f>
        <v>0.29855072463768118</v>
      </c>
    </row>
    <row r="1691" spans="1:18" x14ac:dyDescent="0.3">
      <c r="A1691" s="22" t="s">
        <v>3865</v>
      </c>
      <c r="B1691" s="23">
        <v>45535</v>
      </c>
      <c r="C1691" s="22" t="s">
        <v>1270</v>
      </c>
      <c r="D1691" s="22" t="s">
        <v>479</v>
      </c>
      <c r="E1691" s="22" t="s">
        <v>3866</v>
      </c>
      <c r="F1691" s="24">
        <v>10</v>
      </c>
      <c r="G1691" s="24">
        <v>960</v>
      </c>
      <c r="H1691" s="24">
        <v>27</v>
      </c>
      <c r="I1691" s="24">
        <v>7008</v>
      </c>
      <c r="J1691" s="22" t="s">
        <v>159</v>
      </c>
      <c r="K1691" s="22" t="s">
        <v>111</v>
      </c>
      <c r="L1691" t="str">
        <f>VLOOKUP(D1691,Products!A:F,3,FALSE())</f>
        <v>Beauty</v>
      </c>
      <c r="M1691" t="str">
        <f>VLOOKUP(C1691,Customers!A:F,5,FALSE())</f>
        <v>SMB</v>
      </c>
      <c r="O1691" t="str">
        <f>IFERROR(VLOOKUP(E1691,Sales_Reps!$A:$C,3,FALSE()),"")</f>
        <v/>
      </c>
      <c r="P1691">
        <f>IFERROR(VLOOKUP(C1691,Customers!$A:$C,3,FALSE()),"")</f>
        <v>26</v>
      </c>
      <c r="Q1691" t="str">
        <f t="shared" si="26"/>
        <v>Aug-24</v>
      </c>
      <c r="R1691">
        <f>IFERROR((VLOOKUP(D1691,Products!$A:$E,5,FALSE())-VLOOKUP(D1691,Products!$A:$E,4,FALSE()))/VLOOKUP(D1691,Products!$A:$E,5,FALSE()),"")</f>
        <v>0.296875</v>
      </c>
    </row>
    <row r="1692" spans="1:18" x14ac:dyDescent="0.3">
      <c r="A1692" s="22" t="s">
        <v>3867</v>
      </c>
      <c r="B1692" s="23">
        <v>45429</v>
      </c>
      <c r="C1692" s="22" t="s">
        <v>1144</v>
      </c>
      <c r="D1692" s="22" t="s">
        <v>695</v>
      </c>
      <c r="E1692" s="22" t="s">
        <v>3868</v>
      </c>
      <c r="F1692" s="24">
        <v>10</v>
      </c>
      <c r="G1692" s="24">
        <v>6940</v>
      </c>
      <c r="H1692" s="24">
        <v>20.100000000000001</v>
      </c>
      <c r="I1692" s="24">
        <v>55450.6</v>
      </c>
      <c r="J1692" s="22" t="s">
        <v>104</v>
      </c>
      <c r="K1692" s="22" t="s">
        <v>134</v>
      </c>
      <c r="L1692" t="str">
        <f>VLOOKUP(D1692,Products!A:F,3,FALSE())</f>
        <v>Sports</v>
      </c>
      <c r="M1692" t="str">
        <f>VLOOKUP(C1692,Customers!A:F,5,FALSE())</f>
        <v>Retail</v>
      </c>
      <c r="O1692" t="str">
        <f>IFERROR(VLOOKUP(E1692,Sales_Reps!$A:$C,3,FALSE()),"")</f>
        <v/>
      </c>
      <c r="P1692">
        <f>IFERROR(VLOOKUP(C1692,Customers!$A:$C,3,FALSE()),"")</f>
        <v>27</v>
      </c>
      <c r="Q1692" t="str">
        <f t="shared" si="26"/>
        <v>May-24</v>
      </c>
      <c r="R1692">
        <f>IFERROR((VLOOKUP(D1692,Products!$A:$E,5,FALSE())-VLOOKUP(D1692,Products!$A:$E,4,FALSE()))/VLOOKUP(D1692,Products!$A:$E,5,FALSE()),"")</f>
        <v>0.5926512968299712</v>
      </c>
    </row>
    <row r="1693" spans="1:18" x14ac:dyDescent="0.3">
      <c r="A1693" s="22" t="s">
        <v>3869</v>
      </c>
      <c r="B1693" s="23">
        <v>45436</v>
      </c>
      <c r="C1693" s="22" t="s">
        <v>833</v>
      </c>
      <c r="D1693" s="22" t="s">
        <v>171</v>
      </c>
      <c r="E1693" s="22" t="s">
        <v>3870</v>
      </c>
      <c r="F1693" s="24">
        <v>9</v>
      </c>
      <c r="G1693" s="24">
        <v>2400</v>
      </c>
      <c r="H1693" s="24">
        <v>7.8</v>
      </c>
      <c r="I1693" s="24">
        <v>19915.2</v>
      </c>
      <c r="J1693" s="22" t="s">
        <v>104</v>
      </c>
      <c r="K1693" s="22" t="s">
        <v>134</v>
      </c>
      <c r="L1693" t="str">
        <f>VLOOKUP(D1693,Products!A:F,3,FALSE())</f>
        <v>Sports</v>
      </c>
      <c r="M1693" t="str">
        <f>VLOOKUP(C1693,Customers!A:F,5,FALSE())</f>
        <v>Corporate</v>
      </c>
      <c r="O1693" t="str">
        <f>IFERROR(VLOOKUP(E1693,Sales_Reps!$A:$C,3,FALSE()),"")</f>
        <v/>
      </c>
      <c r="P1693">
        <f>IFERROR(VLOOKUP(C1693,Customers!$A:$C,3,FALSE()),"")</f>
        <v>26</v>
      </c>
      <c r="Q1693" t="str">
        <f t="shared" si="26"/>
        <v>May-24</v>
      </c>
      <c r="R1693">
        <f>IFERROR((VLOOKUP(D1693,Products!$A:$E,5,FALSE())-VLOOKUP(D1693,Products!$A:$E,4,FALSE()))/VLOOKUP(D1693,Products!$A:$E,5,FALSE()),"")</f>
        <v>0.59416666666666662</v>
      </c>
    </row>
    <row r="1694" spans="1:18" x14ac:dyDescent="0.3">
      <c r="A1694" s="22" t="s">
        <v>3871</v>
      </c>
      <c r="B1694" s="23">
        <v>45397</v>
      </c>
      <c r="C1694" s="22" t="s">
        <v>2105</v>
      </c>
      <c r="D1694" s="22" t="s">
        <v>449</v>
      </c>
      <c r="E1694" s="22" t="s">
        <v>3872</v>
      </c>
      <c r="F1694" s="24">
        <v>1</v>
      </c>
      <c r="G1694" s="24">
        <v>5410</v>
      </c>
      <c r="H1694" s="24">
        <v>22.8</v>
      </c>
      <c r="I1694" s="24">
        <v>4176.5200000000004</v>
      </c>
      <c r="J1694" s="22" t="s">
        <v>104</v>
      </c>
      <c r="K1694" s="22" t="s">
        <v>129</v>
      </c>
      <c r="L1694" t="str">
        <f>VLOOKUP(D1694,Products!A:F,3,FALSE())</f>
        <v>Sports</v>
      </c>
      <c r="M1694" t="str">
        <f>VLOOKUP(C1694,Customers!A:F,5,FALSE())</f>
        <v>Retail</v>
      </c>
      <c r="O1694" t="str">
        <f>IFERROR(VLOOKUP(E1694,Sales_Reps!$A:$C,3,FALSE()),"")</f>
        <v/>
      </c>
      <c r="P1694">
        <f>IFERROR(VLOOKUP(C1694,Customers!$A:$C,3,FALSE()),"")</f>
        <v>38</v>
      </c>
      <c r="Q1694" t="str">
        <f t="shared" si="26"/>
        <v>Apr-24</v>
      </c>
      <c r="R1694">
        <f>IFERROR((VLOOKUP(D1694,Products!$A:$E,5,FALSE())-VLOOKUP(D1694,Products!$A:$E,4,FALSE()))/VLOOKUP(D1694,Products!$A:$E,5,FALSE()),"")</f>
        <v>0.58133086876155271</v>
      </c>
    </row>
    <row r="1695" spans="1:18" x14ac:dyDescent="0.3">
      <c r="A1695" s="22" t="s">
        <v>3873</v>
      </c>
      <c r="B1695" s="23">
        <v>45629</v>
      </c>
      <c r="C1695" s="22" t="s">
        <v>2036</v>
      </c>
      <c r="D1695" s="22" t="s">
        <v>319</v>
      </c>
      <c r="E1695" s="22" t="s">
        <v>3874</v>
      </c>
      <c r="F1695" s="24">
        <v>7</v>
      </c>
      <c r="G1695" s="24">
        <v>1220</v>
      </c>
      <c r="H1695" s="24">
        <v>18.8</v>
      </c>
      <c r="I1695" s="24">
        <v>6934.48</v>
      </c>
      <c r="J1695" s="22" t="s">
        <v>110</v>
      </c>
      <c r="K1695" s="22" t="s">
        <v>134</v>
      </c>
      <c r="L1695" t="str">
        <f>VLOOKUP(D1695,Products!A:F,3,FALSE())</f>
        <v>Electronics</v>
      </c>
      <c r="M1695" t="str">
        <f>VLOOKUP(C1695,Customers!A:F,5,FALSE())</f>
        <v>Retail</v>
      </c>
      <c r="O1695" t="str">
        <f>IFERROR(VLOOKUP(E1695,Sales_Reps!$A:$C,3,FALSE()),"")</f>
        <v/>
      </c>
      <c r="P1695">
        <f>IFERROR(VLOOKUP(C1695,Customers!$A:$C,3,FALSE()),"")</f>
        <v>54</v>
      </c>
      <c r="Q1695" t="str">
        <f t="shared" si="26"/>
        <v>Dec-24</v>
      </c>
      <c r="R1695">
        <f>IFERROR((VLOOKUP(D1695,Products!$A:$E,5,FALSE())-VLOOKUP(D1695,Products!$A:$E,4,FALSE()))/VLOOKUP(D1695,Products!$A:$E,5,FALSE()),"")</f>
        <v>0.57622950819672136</v>
      </c>
    </row>
    <row r="1696" spans="1:18" x14ac:dyDescent="0.3">
      <c r="A1696" s="22" t="s">
        <v>3875</v>
      </c>
      <c r="B1696" s="23">
        <v>45595</v>
      </c>
      <c r="C1696" s="22" t="s">
        <v>208</v>
      </c>
      <c r="D1696" s="22" t="s">
        <v>674</v>
      </c>
      <c r="E1696" s="22" t="s">
        <v>3876</v>
      </c>
      <c r="F1696" s="24">
        <v>1</v>
      </c>
      <c r="G1696" s="24">
        <v>1090</v>
      </c>
      <c r="H1696" s="24">
        <v>23.5</v>
      </c>
      <c r="I1696" s="24">
        <v>833.85</v>
      </c>
      <c r="J1696" s="22" t="s">
        <v>104</v>
      </c>
      <c r="K1696" s="22" t="s">
        <v>116</v>
      </c>
      <c r="L1696" t="str">
        <f>VLOOKUP(D1696,Products!A:F,3,FALSE())</f>
        <v>Home</v>
      </c>
      <c r="M1696" t="str">
        <f>VLOOKUP(C1696,Customers!A:F,5,FALSE())</f>
        <v>Retail</v>
      </c>
      <c r="O1696" t="str">
        <f>IFERROR(VLOOKUP(E1696,Sales_Reps!$A:$C,3,FALSE()),"")</f>
        <v/>
      </c>
      <c r="P1696">
        <f>IFERROR(VLOOKUP(C1696,Customers!$A:$C,3,FALSE()),"")</f>
        <v>31</v>
      </c>
      <c r="Q1696" t="str">
        <f t="shared" si="26"/>
        <v>Oct-24</v>
      </c>
      <c r="R1696">
        <f>IFERROR((VLOOKUP(D1696,Products!$A:$E,5,FALSE())-VLOOKUP(D1696,Products!$A:$E,4,FALSE()))/VLOOKUP(D1696,Products!$A:$E,5,FALSE()),"")</f>
        <v>0.57431192660550456</v>
      </c>
    </row>
    <row r="1697" spans="1:18" x14ac:dyDescent="0.3">
      <c r="A1697" s="22" t="s">
        <v>3877</v>
      </c>
      <c r="B1697" s="23">
        <v>45531</v>
      </c>
      <c r="C1697" s="22" t="s">
        <v>1396</v>
      </c>
      <c r="D1697" s="22" t="s">
        <v>231</v>
      </c>
      <c r="E1697" s="22" t="s">
        <v>3878</v>
      </c>
      <c r="F1697" s="24">
        <v>2</v>
      </c>
      <c r="G1697" s="24">
        <v>2760</v>
      </c>
      <c r="H1697" s="24">
        <v>2.2999999999999998</v>
      </c>
      <c r="I1697" s="24">
        <v>5393.04</v>
      </c>
      <c r="J1697" s="22" t="s">
        <v>104</v>
      </c>
      <c r="K1697" s="22" t="s">
        <v>134</v>
      </c>
      <c r="L1697" t="str">
        <f>VLOOKUP(D1697,Products!A:F,3,FALSE())</f>
        <v>Grocery</v>
      </c>
      <c r="M1697" t="str">
        <f>VLOOKUP(C1697,Customers!A:F,5,FALSE())</f>
        <v>Retail</v>
      </c>
      <c r="O1697" t="str">
        <f>IFERROR(VLOOKUP(E1697,Sales_Reps!$A:$C,3,FALSE()),"")</f>
        <v/>
      </c>
      <c r="P1697">
        <f>IFERROR(VLOOKUP(C1697,Customers!$A:$C,3,FALSE()),"")</f>
        <v>28</v>
      </c>
      <c r="Q1697" t="str">
        <f t="shared" si="26"/>
        <v>Aug-24</v>
      </c>
      <c r="R1697">
        <f>IFERROR((VLOOKUP(D1697,Products!$A:$E,5,FALSE())-VLOOKUP(D1697,Products!$A:$E,4,FALSE()))/VLOOKUP(D1697,Products!$A:$E,5,FALSE()),"")</f>
        <v>0.48007246376811596</v>
      </c>
    </row>
    <row r="1698" spans="1:18" x14ac:dyDescent="0.3">
      <c r="A1698" s="22" t="s">
        <v>3879</v>
      </c>
      <c r="B1698" s="23">
        <v>45626</v>
      </c>
      <c r="C1698" s="22" t="s">
        <v>769</v>
      </c>
      <c r="D1698" s="22" t="s">
        <v>216</v>
      </c>
      <c r="E1698" s="22" t="s">
        <v>3880</v>
      </c>
      <c r="F1698" s="24">
        <v>3</v>
      </c>
      <c r="G1698" s="24">
        <v>3570</v>
      </c>
      <c r="H1698" s="24">
        <v>18.399999999999999</v>
      </c>
      <c r="I1698" s="24">
        <v>8739.36</v>
      </c>
      <c r="J1698" s="22" t="s">
        <v>164</v>
      </c>
      <c r="K1698" s="22" t="s">
        <v>151</v>
      </c>
      <c r="L1698" t="str">
        <f>VLOOKUP(D1698,Products!A:F,3,FALSE())</f>
        <v>Electronics</v>
      </c>
      <c r="M1698" t="str">
        <f>VLOOKUP(C1698,Customers!A:F,5,FALSE())</f>
        <v>SMB</v>
      </c>
      <c r="O1698" t="str">
        <f>IFERROR(VLOOKUP(E1698,Sales_Reps!$A:$C,3,FALSE()),"")</f>
        <v/>
      </c>
      <c r="P1698">
        <f>IFERROR(VLOOKUP(C1698,Customers!$A:$C,3,FALSE()),"")</f>
        <v>43</v>
      </c>
      <c r="Q1698" t="str">
        <f t="shared" si="26"/>
        <v>Nov-24</v>
      </c>
      <c r="R1698">
        <f>IFERROR((VLOOKUP(D1698,Products!$A:$E,5,FALSE())-VLOOKUP(D1698,Products!$A:$E,4,FALSE()))/VLOOKUP(D1698,Products!$A:$E,5,FALSE()),"")</f>
        <v>0.53361344537815125</v>
      </c>
    </row>
    <row r="1699" spans="1:18" x14ac:dyDescent="0.3">
      <c r="A1699" s="22" t="s">
        <v>3881</v>
      </c>
      <c r="B1699" s="23">
        <v>45502</v>
      </c>
      <c r="C1699" s="22" t="s">
        <v>987</v>
      </c>
      <c r="D1699" s="22" t="s">
        <v>319</v>
      </c>
      <c r="E1699" s="22" t="s">
        <v>3882</v>
      </c>
      <c r="F1699" s="24">
        <v>7</v>
      </c>
      <c r="G1699" s="24">
        <v>1220</v>
      </c>
      <c r="H1699" s="24">
        <v>25.8</v>
      </c>
      <c r="I1699" s="24">
        <v>6336.68</v>
      </c>
      <c r="J1699" s="22" t="s">
        <v>164</v>
      </c>
      <c r="K1699" s="22" t="s">
        <v>151</v>
      </c>
      <c r="L1699" t="str">
        <f>VLOOKUP(D1699,Products!A:F,3,FALSE())</f>
        <v>Electronics</v>
      </c>
      <c r="M1699" t="str">
        <f>VLOOKUP(C1699,Customers!A:F,5,FALSE())</f>
        <v>Retail</v>
      </c>
      <c r="O1699" t="str">
        <f>IFERROR(VLOOKUP(E1699,Sales_Reps!$A:$C,3,FALSE()),"")</f>
        <v/>
      </c>
      <c r="P1699">
        <f>IFERROR(VLOOKUP(C1699,Customers!$A:$C,3,FALSE()),"")</f>
        <v>28</v>
      </c>
      <c r="Q1699" t="str">
        <f t="shared" si="26"/>
        <v>Jul-24</v>
      </c>
      <c r="R1699">
        <f>IFERROR((VLOOKUP(D1699,Products!$A:$E,5,FALSE())-VLOOKUP(D1699,Products!$A:$E,4,FALSE()))/VLOOKUP(D1699,Products!$A:$E,5,FALSE()),"")</f>
        <v>0.57622950819672136</v>
      </c>
    </row>
    <row r="1700" spans="1:18" x14ac:dyDescent="0.3">
      <c r="A1700" s="22" t="s">
        <v>3883</v>
      </c>
      <c r="B1700" s="23">
        <v>45501</v>
      </c>
      <c r="C1700" s="22" t="s">
        <v>1867</v>
      </c>
      <c r="D1700" s="22" t="s">
        <v>182</v>
      </c>
      <c r="E1700" s="22" t="s">
        <v>3884</v>
      </c>
      <c r="F1700" s="24">
        <v>6</v>
      </c>
      <c r="G1700" s="24">
        <v>3450</v>
      </c>
      <c r="H1700" s="24">
        <v>13.1</v>
      </c>
      <c r="I1700" s="24">
        <v>17988.3</v>
      </c>
      <c r="J1700" s="22" t="s">
        <v>104</v>
      </c>
      <c r="K1700" s="22" t="s">
        <v>105</v>
      </c>
      <c r="L1700" t="str">
        <f>VLOOKUP(D1700,Products!A:F,3,FALSE())</f>
        <v>Sports</v>
      </c>
      <c r="M1700" t="str">
        <f>VLOOKUP(C1700,Customers!A:F,5,FALSE())</f>
        <v>Retail</v>
      </c>
      <c r="O1700" t="str">
        <f>IFERROR(VLOOKUP(E1700,Sales_Reps!$A:$C,3,FALSE()),"")</f>
        <v/>
      </c>
      <c r="P1700">
        <f>IFERROR(VLOOKUP(C1700,Customers!$A:$C,3,FALSE()),"")</f>
        <v>39</v>
      </c>
      <c r="Q1700" t="str">
        <f t="shared" si="26"/>
        <v>Jul-24</v>
      </c>
      <c r="R1700">
        <f>IFERROR((VLOOKUP(D1700,Products!$A:$E,5,FALSE())-VLOOKUP(D1700,Products!$A:$E,4,FALSE()))/VLOOKUP(D1700,Products!$A:$E,5,FALSE()),"")</f>
        <v>0.28492753623188405</v>
      </c>
    </row>
    <row r="1701" spans="1:18" x14ac:dyDescent="0.3">
      <c r="A1701" s="22" t="s">
        <v>3885</v>
      </c>
      <c r="B1701" s="23">
        <v>45435</v>
      </c>
      <c r="C1701" s="22" t="s">
        <v>126</v>
      </c>
      <c r="D1701" s="22" t="s">
        <v>419</v>
      </c>
      <c r="E1701" s="22" t="s">
        <v>3886</v>
      </c>
      <c r="F1701" s="24">
        <v>10</v>
      </c>
      <c r="G1701" s="24">
        <v>2210</v>
      </c>
      <c r="H1701" s="24">
        <v>16.600000000000001</v>
      </c>
      <c r="I1701" s="24">
        <v>18431.400000000001</v>
      </c>
      <c r="J1701" s="22" t="s">
        <v>104</v>
      </c>
      <c r="K1701" s="22" t="s">
        <v>129</v>
      </c>
      <c r="L1701" t="str">
        <f>VLOOKUP(D1701,Products!A:F,3,FALSE())</f>
        <v>Grocery</v>
      </c>
      <c r="M1701" t="str">
        <f>VLOOKUP(C1701,Customers!A:F,5,FALSE())</f>
        <v>Retail</v>
      </c>
      <c r="O1701" t="str">
        <f>IFERROR(VLOOKUP(E1701,Sales_Reps!$A:$C,3,FALSE()),"")</f>
        <v/>
      </c>
      <c r="P1701">
        <f>IFERROR(VLOOKUP(C1701,Customers!$A:$C,3,FALSE()),"")</f>
        <v>36</v>
      </c>
      <c r="Q1701" t="str">
        <f t="shared" si="26"/>
        <v>May-24</v>
      </c>
      <c r="R1701">
        <f>IFERROR((VLOOKUP(D1701,Products!$A:$E,5,FALSE())-VLOOKUP(D1701,Products!$A:$E,4,FALSE()))/VLOOKUP(D1701,Products!$A:$E,5,FALSE()),"")</f>
        <v>0.54298642533936647</v>
      </c>
    </row>
    <row r="1702" spans="1:18" x14ac:dyDescent="0.3">
      <c r="A1702" s="22" t="s">
        <v>3887</v>
      </c>
      <c r="B1702" s="23">
        <v>45295</v>
      </c>
      <c r="C1702" s="22" t="s">
        <v>534</v>
      </c>
      <c r="D1702" s="22" t="s">
        <v>190</v>
      </c>
      <c r="E1702" s="22" t="s">
        <v>3888</v>
      </c>
      <c r="F1702" s="24">
        <v>10</v>
      </c>
      <c r="G1702" s="24">
        <v>2480</v>
      </c>
      <c r="H1702" s="24">
        <v>17.5</v>
      </c>
      <c r="I1702" s="24">
        <v>20460</v>
      </c>
      <c r="J1702" s="22" t="s">
        <v>104</v>
      </c>
      <c r="K1702" s="22" t="s">
        <v>134</v>
      </c>
      <c r="L1702" t="str">
        <f>VLOOKUP(D1702,Products!A:F,3,FALSE())</f>
        <v>Apparel</v>
      </c>
      <c r="M1702" t="str">
        <f>VLOOKUP(C1702,Customers!A:F,5,FALSE())</f>
        <v>Corporate</v>
      </c>
      <c r="O1702" t="str">
        <f>IFERROR(VLOOKUP(E1702,Sales_Reps!$A:$C,3,FALSE()),"")</f>
        <v/>
      </c>
      <c r="P1702">
        <f>IFERROR(VLOOKUP(C1702,Customers!$A:$C,3,FALSE()),"")</f>
        <v>42</v>
      </c>
      <c r="Q1702" t="str">
        <f t="shared" si="26"/>
        <v>Jan-24</v>
      </c>
      <c r="R1702">
        <f>IFERROR((VLOOKUP(D1702,Products!$A:$E,5,FALSE())-VLOOKUP(D1702,Products!$A:$E,4,FALSE()))/VLOOKUP(D1702,Products!$A:$E,5,FALSE()),"")</f>
        <v>0.52701612903225803</v>
      </c>
    </row>
    <row r="1703" spans="1:18" x14ac:dyDescent="0.3">
      <c r="A1703" s="22" t="s">
        <v>3889</v>
      </c>
      <c r="B1703" s="23">
        <v>45566</v>
      </c>
      <c r="C1703" s="22" t="s">
        <v>1867</v>
      </c>
      <c r="D1703" s="22" t="s">
        <v>162</v>
      </c>
      <c r="E1703" s="22" t="s">
        <v>3890</v>
      </c>
      <c r="F1703" s="24">
        <v>9</v>
      </c>
      <c r="G1703" s="24">
        <v>3250</v>
      </c>
      <c r="H1703" s="24">
        <v>25.9</v>
      </c>
      <c r="I1703" s="24">
        <v>21674.25</v>
      </c>
      <c r="J1703" s="22" t="s">
        <v>104</v>
      </c>
      <c r="K1703" s="22" t="s">
        <v>105</v>
      </c>
      <c r="L1703" t="str">
        <f>VLOOKUP(D1703,Products!A:F,3,FALSE())</f>
        <v>Home</v>
      </c>
      <c r="M1703" t="str">
        <f>VLOOKUP(C1703,Customers!A:F,5,FALSE())</f>
        <v>Retail</v>
      </c>
      <c r="O1703" t="str">
        <f>IFERROR(VLOOKUP(E1703,Sales_Reps!$A:$C,3,FALSE()),"")</f>
        <v/>
      </c>
      <c r="P1703">
        <f>IFERROR(VLOOKUP(C1703,Customers!$A:$C,3,FALSE()),"")</f>
        <v>39</v>
      </c>
      <c r="Q1703" t="str">
        <f t="shared" si="26"/>
        <v>Oct-24</v>
      </c>
      <c r="R1703">
        <f>IFERROR((VLOOKUP(D1703,Products!$A:$E,5,FALSE())-VLOOKUP(D1703,Products!$A:$E,4,FALSE()))/VLOOKUP(D1703,Products!$A:$E,5,FALSE()),"")</f>
        <v>0.52123076923076928</v>
      </c>
    </row>
    <row r="1704" spans="1:18" x14ac:dyDescent="0.3">
      <c r="A1704" s="22" t="s">
        <v>3891</v>
      </c>
      <c r="B1704" s="23">
        <v>45474</v>
      </c>
      <c r="C1704" s="22" t="s">
        <v>1246</v>
      </c>
      <c r="D1704" s="22" t="s">
        <v>171</v>
      </c>
      <c r="E1704" s="22" t="s">
        <v>3892</v>
      </c>
      <c r="F1704" s="24">
        <v>3</v>
      </c>
      <c r="G1704" s="24">
        <v>2400</v>
      </c>
      <c r="H1704" s="24">
        <v>17.5</v>
      </c>
      <c r="I1704" s="24">
        <v>5940</v>
      </c>
      <c r="J1704" s="22" t="s">
        <v>104</v>
      </c>
      <c r="K1704" s="22" t="s">
        <v>134</v>
      </c>
      <c r="L1704" t="str">
        <f>VLOOKUP(D1704,Products!A:F,3,FALSE())</f>
        <v>Sports</v>
      </c>
      <c r="M1704" t="str">
        <f>VLOOKUP(C1704,Customers!A:F,5,FALSE())</f>
        <v>Retail</v>
      </c>
      <c r="O1704" t="str">
        <f>IFERROR(VLOOKUP(E1704,Sales_Reps!$A:$C,3,FALSE()),"")</f>
        <v/>
      </c>
      <c r="P1704">
        <f>IFERROR(VLOOKUP(C1704,Customers!$A:$C,3,FALSE()),"")</f>
        <v>37</v>
      </c>
      <c r="Q1704" t="str">
        <f t="shared" si="26"/>
        <v>Jul-24</v>
      </c>
      <c r="R1704">
        <f>IFERROR((VLOOKUP(D1704,Products!$A:$E,5,FALSE())-VLOOKUP(D1704,Products!$A:$E,4,FALSE()))/VLOOKUP(D1704,Products!$A:$E,5,FALSE()),"")</f>
        <v>0.59416666666666662</v>
      </c>
    </row>
    <row r="1705" spans="1:18" x14ac:dyDescent="0.3">
      <c r="A1705" s="22" t="s">
        <v>3893</v>
      </c>
      <c r="B1705" s="23">
        <v>45372</v>
      </c>
      <c r="C1705" s="22" t="s">
        <v>351</v>
      </c>
      <c r="D1705" s="22" t="s">
        <v>449</v>
      </c>
      <c r="E1705" s="22" t="s">
        <v>3894</v>
      </c>
      <c r="F1705" s="24">
        <v>8</v>
      </c>
      <c r="G1705" s="24">
        <v>5410</v>
      </c>
      <c r="H1705" s="24">
        <v>8.3000000000000007</v>
      </c>
      <c r="I1705" s="24">
        <v>39687.760000000002</v>
      </c>
      <c r="J1705" s="22" t="s">
        <v>104</v>
      </c>
      <c r="K1705" s="22" t="s">
        <v>116</v>
      </c>
      <c r="L1705" t="str">
        <f>VLOOKUP(D1705,Products!A:F,3,FALSE())</f>
        <v>Sports</v>
      </c>
      <c r="M1705" t="str">
        <f>VLOOKUP(C1705,Customers!A:F,5,FALSE())</f>
        <v>Retail</v>
      </c>
      <c r="O1705" t="str">
        <f>IFERROR(VLOOKUP(E1705,Sales_Reps!$A:$C,3,FALSE()),"")</f>
        <v/>
      </c>
      <c r="P1705">
        <f>IFERROR(VLOOKUP(C1705,Customers!$A:$C,3,FALSE()),"")</f>
        <v>35</v>
      </c>
      <c r="Q1705" t="str">
        <f t="shared" si="26"/>
        <v>Mar-24</v>
      </c>
      <c r="R1705">
        <f>IFERROR((VLOOKUP(D1705,Products!$A:$E,5,FALSE())-VLOOKUP(D1705,Products!$A:$E,4,FALSE()))/VLOOKUP(D1705,Products!$A:$E,5,FALSE()),"")</f>
        <v>0.58133086876155271</v>
      </c>
    </row>
    <row r="1706" spans="1:18" x14ac:dyDescent="0.3">
      <c r="A1706" s="22" t="s">
        <v>3895</v>
      </c>
      <c r="B1706" s="23">
        <v>45622</v>
      </c>
      <c r="C1706" s="22" t="s">
        <v>1243</v>
      </c>
      <c r="D1706" s="22" t="s">
        <v>157</v>
      </c>
      <c r="E1706" s="22" t="s">
        <v>3896</v>
      </c>
      <c r="F1706" s="24">
        <v>1</v>
      </c>
      <c r="G1706" s="24">
        <v>2600</v>
      </c>
      <c r="H1706" s="24">
        <v>5.9</v>
      </c>
      <c r="I1706" s="24">
        <v>2446.6</v>
      </c>
      <c r="J1706" s="22" t="s">
        <v>104</v>
      </c>
      <c r="K1706" s="22" t="s">
        <v>134</v>
      </c>
      <c r="L1706" t="str">
        <f>VLOOKUP(D1706,Products!A:F,3,FALSE())</f>
        <v>Electronics</v>
      </c>
      <c r="M1706" t="str">
        <f>VLOOKUP(C1706,Customers!A:F,5,FALSE())</f>
        <v>Retail</v>
      </c>
      <c r="O1706" t="str">
        <f>IFERROR(VLOOKUP(E1706,Sales_Reps!$A:$C,3,FALSE()),"")</f>
        <v/>
      </c>
      <c r="P1706">
        <f>IFERROR(VLOOKUP(C1706,Customers!$A:$C,3,FALSE()),"")</f>
        <v>52</v>
      </c>
      <c r="Q1706" t="str">
        <f t="shared" si="26"/>
        <v>Nov-24</v>
      </c>
      <c r="R1706">
        <f>IFERROR((VLOOKUP(D1706,Products!$A:$E,5,FALSE())-VLOOKUP(D1706,Products!$A:$E,4,FALSE()))/VLOOKUP(D1706,Products!$A:$E,5,FALSE()),"")</f>
        <v>0.5953846153846154</v>
      </c>
    </row>
    <row r="1707" spans="1:18" x14ac:dyDescent="0.3">
      <c r="A1707" s="22" t="s">
        <v>3897</v>
      </c>
      <c r="B1707" s="23">
        <v>45603</v>
      </c>
      <c r="C1707" s="22" t="s">
        <v>458</v>
      </c>
      <c r="D1707" s="22" t="s">
        <v>436</v>
      </c>
      <c r="E1707" s="22" t="s">
        <v>3898</v>
      </c>
      <c r="F1707" s="24">
        <v>10</v>
      </c>
      <c r="G1707" s="24">
        <v>4060</v>
      </c>
      <c r="H1707" s="24">
        <v>2.2999999999999998</v>
      </c>
      <c r="I1707" s="24">
        <v>39666.199999999997</v>
      </c>
      <c r="J1707" s="22" t="s">
        <v>104</v>
      </c>
      <c r="K1707" s="22" t="s">
        <v>129</v>
      </c>
      <c r="L1707" t="str">
        <f>VLOOKUP(D1707,Products!A:F,3,FALSE())</f>
        <v>Grocery</v>
      </c>
      <c r="M1707" t="str">
        <f>VLOOKUP(C1707,Customers!A:F,5,FALSE())</f>
        <v>Retail</v>
      </c>
      <c r="O1707" t="str">
        <f>IFERROR(VLOOKUP(E1707,Sales_Reps!$A:$C,3,FALSE()),"")</f>
        <v/>
      </c>
      <c r="P1707">
        <f>IFERROR(VLOOKUP(C1707,Customers!$A:$C,3,FALSE()),"")</f>
        <v>25</v>
      </c>
      <c r="Q1707" t="str">
        <f t="shared" si="26"/>
        <v>Nov-24</v>
      </c>
      <c r="R1707">
        <f>IFERROR((VLOOKUP(D1707,Products!$A:$E,5,FALSE())-VLOOKUP(D1707,Products!$A:$E,4,FALSE()))/VLOOKUP(D1707,Products!$A:$E,5,FALSE()),"")</f>
        <v>0.28300492610837441</v>
      </c>
    </row>
    <row r="1708" spans="1:18" x14ac:dyDescent="0.3">
      <c r="A1708" s="22" t="s">
        <v>3899</v>
      </c>
      <c r="B1708" s="23">
        <v>45352</v>
      </c>
      <c r="C1708" s="22" t="s">
        <v>1056</v>
      </c>
      <c r="D1708" s="22" t="s">
        <v>455</v>
      </c>
      <c r="E1708" s="22" t="s">
        <v>3900</v>
      </c>
      <c r="F1708" s="24">
        <v>9</v>
      </c>
      <c r="G1708" s="24">
        <v>5330</v>
      </c>
      <c r="H1708" s="24">
        <v>23.5</v>
      </c>
      <c r="I1708" s="24">
        <v>36697.050000000003</v>
      </c>
      <c r="J1708" s="22" t="s">
        <v>104</v>
      </c>
      <c r="K1708" s="22" t="s">
        <v>129</v>
      </c>
      <c r="L1708" t="str">
        <f>VLOOKUP(D1708,Products!A:F,3,FALSE())</f>
        <v>Electronics</v>
      </c>
      <c r="M1708" t="str">
        <f>VLOOKUP(C1708,Customers!A:F,5,FALSE())</f>
        <v>Retail</v>
      </c>
      <c r="O1708" t="str">
        <f>IFERROR(VLOOKUP(E1708,Sales_Reps!$A:$C,3,FALSE()),"")</f>
        <v/>
      </c>
      <c r="P1708">
        <f>IFERROR(VLOOKUP(C1708,Customers!$A:$C,3,FALSE()),"")</f>
        <v>56</v>
      </c>
      <c r="Q1708" t="str">
        <f t="shared" si="26"/>
        <v>Mar-24</v>
      </c>
      <c r="R1708">
        <f>IFERROR((VLOOKUP(D1708,Products!$A:$E,5,FALSE())-VLOOKUP(D1708,Products!$A:$E,4,FALSE()))/VLOOKUP(D1708,Products!$A:$E,5,FALSE()),"")</f>
        <v>0.54878048780487809</v>
      </c>
    </row>
    <row r="1709" spans="1:18" x14ac:dyDescent="0.3">
      <c r="A1709" s="22" t="s">
        <v>3901</v>
      </c>
      <c r="B1709" s="23">
        <v>45600</v>
      </c>
      <c r="C1709" s="22" t="s">
        <v>361</v>
      </c>
      <c r="D1709" s="22" t="s">
        <v>205</v>
      </c>
      <c r="E1709" s="22" t="s">
        <v>3902</v>
      </c>
      <c r="F1709" s="24">
        <v>7</v>
      </c>
      <c r="G1709" s="24">
        <v>3350</v>
      </c>
      <c r="H1709" s="24">
        <v>13.4</v>
      </c>
      <c r="I1709" s="24">
        <v>20307.7</v>
      </c>
      <c r="J1709" s="22" t="s">
        <v>110</v>
      </c>
      <c r="K1709" s="22" t="s">
        <v>151</v>
      </c>
      <c r="L1709" t="str">
        <f>VLOOKUP(D1709,Products!A:F,3,FALSE())</f>
        <v>Beauty</v>
      </c>
      <c r="M1709" t="str">
        <f>VLOOKUP(C1709,Customers!A:F,5,FALSE())</f>
        <v>Retail</v>
      </c>
      <c r="O1709" t="str">
        <f>IFERROR(VLOOKUP(E1709,Sales_Reps!$A:$C,3,FALSE()),"")</f>
        <v/>
      </c>
      <c r="P1709">
        <f>IFERROR(VLOOKUP(C1709,Customers!$A:$C,3,FALSE()),"")</f>
        <v>29</v>
      </c>
      <c r="Q1709" t="str">
        <f t="shared" si="26"/>
        <v>Nov-24</v>
      </c>
      <c r="R1709">
        <f>IFERROR((VLOOKUP(D1709,Products!$A:$E,5,FALSE())-VLOOKUP(D1709,Products!$A:$E,4,FALSE()))/VLOOKUP(D1709,Products!$A:$E,5,FALSE()),"")</f>
        <v>0.48417910447761192</v>
      </c>
    </row>
    <row r="1710" spans="1:18" x14ac:dyDescent="0.3">
      <c r="A1710" s="22" t="s">
        <v>3903</v>
      </c>
      <c r="B1710" s="23">
        <v>45631</v>
      </c>
      <c r="C1710" s="22" t="s">
        <v>775</v>
      </c>
      <c r="D1710" s="22" t="s">
        <v>442</v>
      </c>
      <c r="E1710" s="22" t="s">
        <v>3904</v>
      </c>
      <c r="F1710" s="24">
        <v>4</v>
      </c>
      <c r="G1710" s="24">
        <v>2510</v>
      </c>
      <c r="H1710" s="24">
        <v>26.6</v>
      </c>
      <c r="I1710" s="24">
        <v>7369.36</v>
      </c>
      <c r="J1710" s="22" t="s">
        <v>104</v>
      </c>
      <c r="K1710" s="22" t="s">
        <v>129</v>
      </c>
      <c r="L1710" t="str">
        <f>VLOOKUP(D1710,Products!A:F,3,FALSE())</f>
        <v>Apparel</v>
      </c>
      <c r="M1710" t="str">
        <f>VLOOKUP(C1710,Customers!A:F,5,FALSE())</f>
        <v>SMB</v>
      </c>
      <c r="O1710" t="str">
        <f>IFERROR(VLOOKUP(E1710,Sales_Reps!$A:$C,3,FALSE()),"")</f>
        <v/>
      </c>
      <c r="P1710">
        <f>IFERROR(VLOOKUP(C1710,Customers!$A:$C,3,FALSE()),"")</f>
        <v>61</v>
      </c>
      <c r="Q1710" t="str">
        <f t="shared" si="26"/>
        <v>Dec-24</v>
      </c>
      <c r="R1710">
        <f>IFERROR((VLOOKUP(D1710,Products!$A:$E,5,FALSE())-VLOOKUP(D1710,Products!$A:$E,4,FALSE()))/VLOOKUP(D1710,Products!$A:$E,5,FALSE()),"")</f>
        <v>0.57171314741035861</v>
      </c>
    </row>
    <row r="1711" spans="1:18" x14ac:dyDescent="0.3">
      <c r="A1711" s="22" t="s">
        <v>3905</v>
      </c>
      <c r="B1711" s="23">
        <v>45456</v>
      </c>
      <c r="C1711" s="22" t="s">
        <v>223</v>
      </c>
      <c r="D1711" s="22" t="s">
        <v>330</v>
      </c>
      <c r="E1711" s="22" t="s">
        <v>3906</v>
      </c>
      <c r="F1711" s="24">
        <v>1</v>
      </c>
      <c r="G1711" s="24">
        <v>3020</v>
      </c>
      <c r="H1711" s="24">
        <v>15.2</v>
      </c>
      <c r="I1711" s="24">
        <v>2560.96</v>
      </c>
      <c r="J1711" s="22" t="s">
        <v>159</v>
      </c>
      <c r="K1711" s="22" t="s">
        <v>105</v>
      </c>
      <c r="L1711" t="str">
        <f>VLOOKUP(D1711,Products!A:F,3,FALSE())</f>
        <v>Beauty</v>
      </c>
      <c r="M1711" t="str">
        <f>VLOOKUP(C1711,Customers!A:F,5,FALSE())</f>
        <v>SMB</v>
      </c>
      <c r="O1711" t="str">
        <f>IFERROR(VLOOKUP(E1711,Sales_Reps!$A:$C,3,FALSE()),"")</f>
        <v/>
      </c>
      <c r="P1711">
        <f>IFERROR(VLOOKUP(C1711,Customers!$A:$C,3,FALSE()),"")</f>
        <v>44</v>
      </c>
      <c r="Q1711" t="str">
        <f t="shared" si="26"/>
        <v>Jun-24</v>
      </c>
      <c r="R1711">
        <f>IFERROR((VLOOKUP(D1711,Products!$A:$E,5,FALSE())-VLOOKUP(D1711,Products!$A:$E,4,FALSE()))/VLOOKUP(D1711,Products!$A:$E,5,FALSE()),"")</f>
        <v>0.46158940397350995</v>
      </c>
    </row>
    <row r="1712" spans="1:18" x14ac:dyDescent="0.3">
      <c r="A1712" s="22" t="s">
        <v>3907</v>
      </c>
      <c r="B1712" s="23">
        <v>45539</v>
      </c>
      <c r="C1712" s="22" t="s">
        <v>1484</v>
      </c>
      <c r="D1712" s="22" t="s">
        <v>108</v>
      </c>
      <c r="E1712" s="22" t="s">
        <v>3908</v>
      </c>
      <c r="F1712" s="24">
        <v>1</v>
      </c>
      <c r="G1712" s="24">
        <v>820</v>
      </c>
      <c r="H1712" s="24">
        <v>6.3</v>
      </c>
      <c r="I1712" s="24">
        <v>768.34</v>
      </c>
      <c r="J1712" s="22" t="s">
        <v>104</v>
      </c>
      <c r="K1712" s="22" t="s">
        <v>129</v>
      </c>
      <c r="L1712" t="str">
        <f>VLOOKUP(D1712,Products!A:F,3,FALSE())</f>
        <v>Apparel</v>
      </c>
      <c r="M1712" t="str">
        <f>VLOOKUP(C1712,Customers!A:F,5,FALSE())</f>
        <v>Retail</v>
      </c>
      <c r="O1712" t="str">
        <f>IFERROR(VLOOKUP(E1712,Sales_Reps!$A:$C,3,FALSE()),"")</f>
        <v/>
      </c>
      <c r="P1712">
        <f>IFERROR(VLOOKUP(C1712,Customers!$A:$C,3,FALSE()),"")</f>
        <v>40</v>
      </c>
      <c r="Q1712" t="str">
        <f t="shared" si="26"/>
        <v>Sep-24</v>
      </c>
      <c r="R1712">
        <f>IFERROR((VLOOKUP(D1712,Products!$A:$E,5,FALSE())-VLOOKUP(D1712,Products!$A:$E,4,FALSE()))/VLOOKUP(D1712,Products!$A:$E,5,FALSE()),"")</f>
        <v>0.52317073170731709</v>
      </c>
    </row>
    <row r="1713" spans="1:18" x14ac:dyDescent="0.3">
      <c r="A1713" s="22" t="s">
        <v>3909</v>
      </c>
      <c r="B1713" s="23">
        <v>45488</v>
      </c>
      <c r="C1713" s="22" t="s">
        <v>1481</v>
      </c>
      <c r="D1713" s="22" t="s">
        <v>123</v>
      </c>
      <c r="E1713" s="22" t="s">
        <v>3910</v>
      </c>
      <c r="F1713" s="24">
        <v>4</v>
      </c>
      <c r="G1713" s="24">
        <v>3160</v>
      </c>
      <c r="H1713" s="24">
        <v>3.6</v>
      </c>
      <c r="I1713" s="24">
        <v>12184.96</v>
      </c>
      <c r="J1713" s="22" t="s">
        <v>110</v>
      </c>
      <c r="K1713" s="22" t="s">
        <v>116</v>
      </c>
      <c r="L1713" t="str">
        <f>VLOOKUP(D1713,Products!A:F,3,FALSE())</f>
        <v>Apparel</v>
      </c>
      <c r="M1713" t="str">
        <f>VLOOKUP(C1713,Customers!A:F,5,FALSE())</f>
        <v>Retail</v>
      </c>
      <c r="O1713" t="str">
        <f>IFERROR(VLOOKUP(E1713,Sales_Reps!$A:$C,3,FALSE()),"")</f>
        <v/>
      </c>
      <c r="P1713">
        <f>IFERROR(VLOOKUP(C1713,Customers!$A:$C,3,FALSE()),"")</f>
        <v>47</v>
      </c>
      <c r="Q1713" t="str">
        <f t="shared" si="26"/>
        <v>Jul-24</v>
      </c>
      <c r="R1713">
        <f>IFERROR((VLOOKUP(D1713,Products!$A:$E,5,FALSE())-VLOOKUP(D1713,Products!$A:$E,4,FALSE()))/VLOOKUP(D1713,Products!$A:$E,5,FALSE()),"")</f>
        <v>0.4031645569620253</v>
      </c>
    </row>
    <row r="1714" spans="1:18" x14ac:dyDescent="0.3">
      <c r="A1714" s="22" t="s">
        <v>3911</v>
      </c>
      <c r="B1714" s="23">
        <v>45370</v>
      </c>
      <c r="C1714" s="22" t="s">
        <v>706</v>
      </c>
      <c r="D1714" s="22" t="s">
        <v>119</v>
      </c>
      <c r="E1714" s="22" t="s">
        <v>3912</v>
      </c>
      <c r="F1714" s="24">
        <v>1</v>
      </c>
      <c r="G1714" s="24">
        <v>3660</v>
      </c>
      <c r="H1714" s="24">
        <v>28.2</v>
      </c>
      <c r="I1714" s="24">
        <v>2627.88</v>
      </c>
      <c r="J1714" s="22" t="s">
        <v>110</v>
      </c>
      <c r="K1714" s="22" t="s">
        <v>116</v>
      </c>
      <c r="L1714" t="str">
        <f>VLOOKUP(D1714,Products!A:F,3,FALSE())</f>
        <v>Grocery</v>
      </c>
      <c r="M1714" t="str">
        <f>VLOOKUP(C1714,Customers!A:F,5,FALSE())</f>
        <v>SMB</v>
      </c>
      <c r="O1714" t="str">
        <f>IFERROR(VLOOKUP(E1714,Sales_Reps!$A:$C,3,FALSE()),"")</f>
        <v/>
      </c>
      <c r="P1714">
        <f>IFERROR(VLOOKUP(C1714,Customers!$A:$C,3,FALSE()),"")</f>
        <v>55</v>
      </c>
      <c r="Q1714" t="str">
        <f t="shared" si="26"/>
        <v>Mar-24</v>
      </c>
      <c r="R1714">
        <f>IFERROR((VLOOKUP(D1714,Products!$A:$E,5,FALSE())-VLOOKUP(D1714,Products!$A:$E,4,FALSE()))/VLOOKUP(D1714,Products!$A:$E,5,FALSE()),"")</f>
        <v>0.39508196721311473</v>
      </c>
    </row>
    <row r="1715" spans="1:18" x14ac:dyDescent="0.3">
      <c r="A1715" s="22" t="s">
        <v>3913</v>
      </c>
      <c r="B1715" s="23">
        <v>45394</v>
      </c>
      <c r="C1715" s="22" t="s">
        <v>113</v>
      </c>
      <c r="D1715" s="22" t="s">
        <v>108</v>
      </c>
      <c r="E1715" s="22" t="s">
        <v>3914</v>
      </c>
      <c r="F1715" s="24">
        <v>2</v>
      </c>
      <c r="G1715" s="24">
        <v>820</v>
      </c>
      <c r="H1715" s="24">
        <v>7</v>
      </c>
      <c r="I1715" s="24">
        <v>1525.2</v>
      </c>
      <c r="J1715" s="22" t="s">
        <v>104</v>
      </c>
      <c r="K1715" s="22" t="s">
        <v>116</v>
      </c>
      <c r="L1715" t="str">
        <f>VLOOKUP(D1715,Products!A:F,3,FALSE())</f>
        <v>Apparel</v>
      </c>
      <c r="M1715" t="str">
        <f>VLOOKUP(C1715,Customers!A:F,5,FALSE())</f>
        <v>Retail</v>
      </c>
      <c r="O1715" t="str">
        <f>IFERROR(VLOOKUP(E1715,Sales_Reps!$A:$C,3,FALSE()),"")</f>
        <v/>
      </c>
      <c r="P1715">
        <f>IFERROR(VLOOKUP(C1715,Customers!$A:$C,3,FALSE()),"")</f>
        <v>52</v>
      </c>
      <c r="Q1715" t="str">
        <f t="shared" si="26"/>
        <v>Apr-24</v>
      </c>
      <c r="R1715">
        <f>IFERROR((VLOOKUP(D1715,Products!$A:$E,5,FALSE())-VLOOKUP(D1715,Products!$A:$E,4,FALSE()))/VLOOKUP(D1715,Products!$A:$E,5,FALSE()),"")</f>
        <v>0.52317073170731709</v>
      </c>
    </row>
    <row r="1716" spans="1:18" x14ac:dyDescent="0.3">
      <c r="A1716" s="22" t="s">
        <v>3915</v>
      </c>
      <c r="B1716" s="23">
        <v>45446</v>
      </c>
      <c r="C1716" s="22" t="s">
        <v>314</v>
      </c>
      <c r="D1716" s="22" t="s">
        <v>459</v>
      </c>
      <c r="E1716" s="22" t="s">
        <v>3916</v>
      </c>
      <c r="F1716" s="24">
        <v>5</v>
      </c>
      <c r="G1716" s="24">
        <v>2380</v>
      </c>
      <c r="H1716" s="24">
        <v>23</v>
      </c>
      <c r="I1716" s="24">
        <v>9163</v>
      </c>
      <c r="J1716" s="22" t="s">
        <v>104</v>
      </c>
      <c r="K1716" s="22" t="s">
        <v>151</v>
      </c>
      <c r="L1716" t="str">
        <f>VLOOKUP(D1716,Products!A:F,3,FALSE())</f>
        <v>Grocery</v>
      </c>
      <c r="M1716" t="str">
        <f>VLOOKUP(C1716,Customers!A:F,5,FALSE())</f>
        <v>Retail</v>
      </c>
      <c r="O1716" t="str">
        <f>IFERROR(VLOOKUP(E1716,Sales_Reps!$A:$C,3,FALSE()),"")</f>
        <v/>
      </c>
      <c r="P1716">
        <f>IFERROR(VLOOKUP(C1716,Customers!$A:$C,3,FALSE()),"")</f>
        <v>53</v>
      </c>
      <c r="Q1716" t="str">
        <f t="shared" si="26"/>
        <v>Jun-24</v>
      </c>
      <c r="R1716">
        <f>IFERROR((VLOOKUP(D1716,Products!$A:$E,5,FALSE())-VLOOKUP(D1716,Products!$A:$E,4,FALSE()))/VLOOKUP(D1716,Products!$A:$E,5,FALSE()),"")</f>
        <v>0.50336134453781511</v>
      </c>
    </row>
    <row r="1717" spans="1:18" x14ac:dyDescent="0.3">
      <c r="A1717" s="22" t="s">
        <v>3917</v>
      </c>
      <c r="B1717" s="23">
        <v>45612</v>
      </c>
      <c r="C1717" s="22" t="s">
        <v>769</v>
      </c>
      <c r="D1717" s="22" t="s">
        <v>293</v>
      </c>
      <c r="E1717" s="22" t="s">
        <v>3918</v>
      </c>
      <c r="F1717" s="24">
        <v>1</v>
      </c>
      <c r="G1717" s="24">
        <v>3870</v>
      </c>
      <c r="H1717" s="24">
        <v>27.3</v>
      </c>
      <c r="I1717" s="24">
        <v>2813.49</v>
      </c>
      <c r="J1717" s="22" t="s">
        <v>104</v>
      </c>
      <c r="K1717" s="22" t="s">
        <v>151</v>
      </c>
      <c r="L1717" t="str">
        <f>VLOOKUP(D1717,Products!A:F,3,FALSE())</f>
        <v>Electronics</v>
      </c>
      <c r="M1717" t="str">
        <f>VLOOKUP(C1717,Customers!A:F,5,FALSE())</f>
        <v>SMB</v>
      </c>
      <c r="O1717" t="str">
        <f>IFERROR(VLOOKUP(E1717,Sales_Reps!$A:$C,3,FALSE()),"")</f>
        <v/>
      </c>
      <c r="P1717">
        <f>IFERROR(VLOOKUP(C1717,Customers!$A:$C,3,FALSE()),"")</f>
        <v>43</v>
      </c>
      <c r="Q1717" t="str">
        <f t="shared" si="26"/>
        <v>Nov-24</v>
      </c>
      <c r="R1717">
        <f>IFERROR((VLOOKUP(D1717,Products!$A:$E,5,FALSE())-VLOOKUP(D1717,Products!$A:$E,4,FALSE()))/VLOOKUP(D1717,Products!$A:$E,5,FALSE()),"")</f>
        <v>0.59715762273901807</v>
      </c>
    </row>
    <row r="1718" spans="1:18" x14ac:dyDescent="0.3">
      <c r="A1718" s="22" t="s">
        <v>3919</v>
      </c>
      <c r="B1718" s="23">
        <v>45301</v>
      </c>
      <c r="C1718" s="22" t="s">
        <v>940</v>
      </c>
      <c r="D1718" s="22" t="s">
        <v>338</v>
      </c>
      <c r="E1718" s="22" t="s">
        <v>3920</v>
      </c>
      <c r="F1718" s="24">
        <v>10</v>
      </c>
      <c r="G1718" s="24">
        <v>300</v>
      </c>
      <c r="H1718" s="24">
        <v>14.1</v>
      </c>
      <c r="I1718" s="24">
        <v>2577</v>
      </c>
      <c r="J1718" s="22" t="s">
        <v>159</v>
      </c>
      <c r="K1718" s="22" t="s">
        <v>111</v>
      </c>
      <c r="L1718" t="str">
        <f>VLOOKUP(D1718,Products!A:F,3,FALSE())</f>
        <v>Electronics</v>
      </c>
      <c r="M1718" t="str">
        <f>VLOOKUP(C1718,Customers!A:F,5,FALSE())</f>
        <v>Corporate</v>
      </c>
      <c r="O1718" t="str">
        <f>IFERROR(VLOOKUP(E1718,Sales_Reps!$A:$C,3,FALSE()),"")</f>
        <v/>
      </c>
      <c r="P1718">
        <f>IFERROR(VLOOKUP(C1718,Customers!$A:$C,3,FALSE()),"")</f>
        <v>41</v>
      </c>
      <c r="Q1718" t="str">
        <f t="shared" si="26"/>
        <v>Jan-24</v>
      </c>
      <c r="R1718">
        <f>IFERROR((VLOOKUP(D1718,Products!$A:$E,5,FALSE())-VLOOKUP(D1718,Products!$A:$E,4,FALSE()))/VLOOKUP(D1718,Products!$A:$E,5,FALSE()),"")</f>
        <v>0.57333333333333336</v>
      </c>
    </row>
    <row r="1719" spans="1:18" x14ac:dyDescent="0.3">
      <c r="A1719" s="22" t="s">
        <v>3921</v>
      </c>
      <c r="B1719" s="23">
        <v>45647</v>
      </c>
      <c r="C1719" s="22" t="s">
        <v>1350</v>
      </c>
      <c r="D1719" s="22" t="s">
        <v>220</v>
      </c>
      <c r="E1719" s="22" t="s">
        <v>3922</v>
      </c>
      <c r="F1719" s="24">
        <v>10</v>
      </c>
      <c r="G1719" s="24">
        <v>5100</v>
      </c>
      <c r="H1719" s="24">
        <v>12.7</v>
      </c>
      <c r="I1719" s="24">
        <v>44523</v>
      </c>
      <c r="J1719" s="22" t="s">
        <v>104</v>
      </c>
      <c r="K1719" s="22" t="s">
        <v>134</v>
      </c>
      <c r="L1719" t="str">
        <f>VLOOKUP(D1719,Products!A:F,3,FALSE())</f>
        <v>Beauty</v>
      </c>
      <c r="M1719" t="str">
        <f>VLOOKUP(C1719,Customers!A:F,5,FALSE())</f>
        <v>Retail</v>
      </c>
      <c r="O1719" t="str">
        <f>IFERROR(VLOOKUP(E1719,Sales_Reps!$A:$C,3,FALSE()),"")</f>
        <v/>
      </c>
      <c r="P1719">
        <f>IFERROR(VLOOKUP(C1719,Customers!$A:$C,3,FALSE()),"")</f>
        <v>46</v>
      </c>
      <c r="Q1719" t="str">
        <f t="shared" si="26"/>
        <v>Dec-24</v>
      </c>
      <c r="R1719">
        <f>IFERROR((VLOOKUP(D1719,Products!$A:$E,5,FALSE())-VLOOKUP(D1719,Products!$A:$E,4,FALSE()))/VLOOKUP(D1719,Products!$A:$E,5,FALSE()),"")</f>
        <v>0.56137254901960787</v>
      </c>
    </row>
    <row r="1720" spans="1:18" x14ac:dyDescent="0.3">
      <c r="A1720" s="22" t="s">
        <v>3923</v>
      </c>
      <c r="B1720" s="23">
        <v>45589</v>
      </c>
      <c r="C1720" s="22" t="s">
        <v>1362</v>
      </c>
      <c r="D1720" s="22" t="s">
        <v>231</v>
      </c>
      <c r="E1720" s="22" t="s">
        <v>3924</v>
      </c>
      <c r="F1720" s="24">
        <v>1</v>
      </c>
      <c r="G1720" s="24">
        <v>2760</v>
      </c>
      <c r="H1720" s="24">
        <v>17.8</v>
      </c>
      <c r="I1720" s="24">
        <v>2268.7199999999998</v>
      </c>
      <c r="J1720" s="22" t="s">
        <v>164</v>
      </c>
      <c r="K1720" s="22" t="s">
        <v>129</v>
      </c>
      <c r="L1720" t="str">
        <f>VLOOKUP(D1720,Products!A:F,3,FALSE())</f>
        <v>Grocery</v>
      </c>
      <c r="M1720" t="str">
        <f>VLOOKUP(C1720,Customers!A:F,5,FALSE())</f>
        <v>Retail</v>
      </c>
      <c r="O1720" t="str">
        <f>IFERROR(VLOOKUP(E1720,Sales_Reps!$A:$C,3,FALSE()),"")</f>
        <v/>
      </c>
      <c r="P1720">
        <f>IFERROR(VLOOKUP(C1720,Customers!$A:$C,3,FALSE()),"")</f>
        <v>37</v>
      </c>
      <c r="Q1720" t="str">
        <f t="shared" si="26"/>
        <v>Oct-24</v>
      </c>
      <c r="R1720">
        <f>IFERROR((VLOOKUP(D1720,Products!$A:$E,5,FALSE())-VLOOKUP(D1720,Products!$A:$E,4,FALSE()))/VLOOKUP(D1720,Products!$A:$E,5,FALSE()),"")</f>
        <v>0.48007246376811596</v>
      </c>
    </row>
    <row r="1721" spans="1:18" x14ac:dyDescent="0.3">
      <c r="A1721" s="22" t="s">
        <v>3925</v>
      </c>
      <c r="B1721" s="23">
        <v>45382</v>
      </c>
      <c r="C1721" s="22" t="s">
        <v>673</v>
      </c>
      <c r="D1721" s="22" t="s">
        <v>455</v>
      </c>
      <c r="E1721" s="22" t="s">
        <v>3926</v>
      </c>
      <c r="F1721" s="24">
        <v>8</v>
      </c>
      <c r="G1721" s="24">
        <v>5330</v>
      </c>
      <c r="H1721" s="24">
        <v>16.399999999999999</v>
      </c>
      <c r="I1721" s="24">
        <v>35647.040000000001</v>
      </c>
      <c r="J1721" s="22" t="s">
        <v>104</v>
      </c>
      <c r="K1721" s="22" t="s">
        <v>151</v>
      </c>
      <c r="L1721" t="str">
        <f>VLOOKUP(D1721,Products!A:F,3,FALSE())</f>
        <v>Electronics</v>
      </c>
      <c r="M1721" t="str">
        <f>VLOOKUP(C1721,Customers!A:F,5,FALSE())</f>
        <v>SMB</v>
      </c>
      <c r="O1721" t="str">
        <f>IFERROR(VLOOKUP(E1721,Sales_Reps!$A:$C,3,FALSE()),"")</f>
        <v/>
      </c>
      <c r="P1721">
        <f>IFERROR(VLOOKUP(C1721,Customers!$A:$C,3,FALSE()),"")</f>
        <v>65</v>
      </c>
      <c r="Q1721" t="str">
        <f t="shared" si="26"/>
        <v>Mar-24</v>
      </c>
      <c r="R1721">
        <f>IFERROR((VLOOKUP(D1721,Products!$A:$E,5,FALSE())-VLOOKUP(D1721,Products!$A:$E,4,FALSE()))/VLOOKUP(D1721,Products!$A:$E,5,FALSE()),"")</f>
        <v>0.54878048780487809</v>
      </c>
    </row>
    <row r="1722" spans="1:18" x14ac:dyDescent="0.3">
      <c r="A1722" s="22" t="s">
        <v>3927</v>
      </c>
      <c r="B1722" s="23">
        <v>45457</v>
      </c>
      <c r="C1722" s="22" t="s">
        <v>940</v>
      </c>
      <c r="D1722" s="22" t="s">
        <v>209</v>
      </c>
      <c r="E1722" s="22" t="s">
        <v>3928</v>
      </c>
      <c r="F1722" s="24">
        <v>1</v>
      </c>
      <c r="G1722" s="24">
        <v>1010</v>
      </c>
      <c r="H1722" s="24">
        <v>20.399999999999999</v>
      </c>
      <c r="I1722" s="24">
        <v>803.96</v>
      </c>
      <c r="J1722" s="22" t="s">
        <v>159</v>
      </c>
      <c r="K1722" s="22" t="s">
        <v>111</v>
      </c>
      <c r="L1722" t="str">
        <f>VLOOKUP(D1722,Products!A:F,3,FALSE())</f>
        <v>Sports</v>
      </c>
      <c r="M1722" t="str">
        <f>VLOOKUP(C1722,Customers!A:F,5,FALSE())</f>
        <v>Corporate</v>
      </c>
      <c r="O1722" t="str">
        <f>IFERROR(VLOOKUP(E1722,Sales_Reps!$A:$C,3,FALSE()),"")</f>
        <v/>
      </c>
      <c r="P1722">
        <f>IFERROR(VLOOKUP(C1722,Customers!$A:$C,3,FALSE()),"")</f>
        <v>41</v>
      </c>
      <c r="Q1722" t="str">
        <f t="shared" si="26"/>
        <v>Jun-24</v>
      </c>
      <c r="R1722">
        <f>IFERROR((VLOOKUP(D1722,Products!$A:$E,5,FALSE())-VLOOKUP(D1722,Products!$A:$E,4,FALSE()))/VLOOKUP(D1722,Products!$A:$E,5,FALSE()),"")</f>
        <v>0.4891089108910891</v>
      </c>
    </row>
    <row r="1723" spans="1:18" x14ac:dyDescent="0.3">
      <c r="A1723" s="22" t="s">
        <v>3929</v>
      </c>
      <c r="B1723" s="23">
        <v>45376</v>
      </c>
      <c r="C1723" s="22" t="s">
        <v>126</v>
      </c>
      <c r="D1723" s="22" t="s">
        <v>334</v>
      </c>
      <c r="E1723" s="22" t="s">
        <v>3930</v>
      </c>
      <c r="F1723" s="24">
        <v>10</v>
      </c>
      <c r="G1723" s="24">
        <v>2660</v>
      </c>
      <c r="H1723" s="24">
        <v>29.3</v>
      </c>
      <c r="I1723" s="24">
        <v>18806.2</v>
      </c>
      <c r="J1723" s="22" t="s">
        <v>104</v>
      </c>
      <c r="K1723" s="22" t="s">
        <v>129</v>
      </c>
      <c r="L1723" t="str">
        <f>VLOOKUP(D1723,Products!A:F,3,FALSE())</f>
        <v>Electronics</v>
      </c>
      <c r="M1723" t="str">
        <f>VLOOKUP(C1723,Customers!A:F,5,FALSE())</f>
        <v>Retail</v>
      </c>
      <c r="O1723" t="str">
        <f>IFERROR(VLOOKUP(E1723,Sales_Reps!$A:$C,3,FALSE()),"")</f>
        <v/>
      </c>
      <c r="P1723">
        <f>IFERROR(VLOOKUP(C1723,Customers!$A:$C,3,FALSE()),"")</f>
        <v>36</v>
      </c>
      <c r="Q1723" t="str">
        <f t="shared" si="26"/>
        <v>Mar-24</v>
      </c>
      <c r="R1723">
        <f>IFERROR((VLOOKUP(D1723,Products!$A:$E,5,FALSE())-VLOOKUP(D1723,Products!$A:$E,4,FALSE()))/VLOOKUP(D1723,Products!$A:$E,5,FALSE()),"")</f>
        <v>0.52669172932330832</v>
      </c>
    </row>
    <row r="1724" spans="1:18" x14ac:dyDescent="0.3">
      <c r="A1724" s="22" t="s">
        <v>3931</v>
      </c>
      <c r="B1724" s="23">
        <v>45506</v>
      </c>
      <c r="C1724" s="22" t="s">
        <v>193</v>
      </c>
      <c r="D1724" s="22" t="s">
        <v>521</v>
      </c>
      <c r="E1724" s="22" t="s">
        <v>3932</v>
      </c>
      <c r="F1724" s="24">
        <v>9</v>
      </c>
      <c r="G1724" s="24">
        <v>3970</v>
      </c>
      <c r="H1724" s="24">
        <v>10.4</v>
      </c>
      <c r="I1724" s="24">
        <v>32014.080000000002</v>
      </c>
      <c r="J1724" s="22" t="s">
        <v>110</v>
      </c>
      <c r="K1724" s="22" t="s">
        <v>129</v>
      </c>
      <c r="L1724" t="str">
        <f>VLOOKUP(D1724,Products!A:F,3,FALSE())</f>
        <v>Electronics</v>
      </c>
      <c r="M1724" t="str">
        <f>VLOOKUP(C1724,Customers!A:F,5,FALSE())</f>
        <v>Retail</v>
      </c>
      <c r="O1724" t="str">
        <f>IFERROR(VLOOKUP(E1724,Sales_Reps!$A:$C,3,FALSE()),"")</f>
        <v/>
      </c>
      <c r="P1724">
        <f>IFERROR(VLOOKUP(C1724,Customers!$A:$C,3,FALSE()),"")</f>
        <v>34</v>
      </c>
      <c r="Q1724" t="str">
        <f t="shared" si="26"/>
        <v>Aug-24</v>
      </c>
      <c r="R1724">
        <f>IFERROR((VLOOKUP(D1724,Products!$A:$E,5,FALSE())-VLOOKUP(D1724,Products!$A:$E,4,FALSE()))/VLOOKUP(D1724,Products!$A:$E,5,FALSE()),"")</f>
        <v>0.27833753148614609</v>
      </c>
    </row>
    <row r="1725" spans="1:18" x14ac:dyDescent="0.3">
      <c r="A1725" s="22" t="s">
        <v>3933</v>
      </c>
      <c r="B1725" s="23">
        <v>45472</v>
      </c>
      <c r="C1725" s="22" t="s">
        <v>1367</v>
      </c>
      <c r="D1725" s="22" t="s">
        <v>102</v>
      </c>
      <c r="E1725" s="22" t="s">
        <v>3934</v>
      </c>
      <c r="F1725" s="24">
        <v>3</v>
      </c>
      <c r="G1725" s="24">
        <v>3620</v>
      </c>
      <c r="H1725" s="24">
        <v>22</v>
      </c>
      <c r="I1725" s="24">
        <v>8470.7999999999993</v>
      </c>
      <c r="J1725" s="22" t="s">
        <v>104</v>
      </c>
      <c r="K1725" s="22" t="s">
        <v>129</v>
      </c>
      <c r="L1725" t="str">
        <f>VLOOKUP(D1725,Products!A:F,3,FALSE())</f>
        <v>Apparel</v>
      </c>
      <c r="M1725" t="str">
        <f>VLOOKUP(C1725,Customers!A:F,5,FALSE())</f>
        <v>SMB</v>
      </c>
      <c r="O1725" t="str">
        <f>IFERROR(VLOOKUP(E1725,Sales_Reps!$A:$C,3,FALSE()),"")</f>
        <v/>
      </c>
      <c r="P1725">
        <f>IFERROR(VLOOKUP(C1725,Customers!$A:$C,3,FALSE()),"")</f>
        <v>43</v>
      </c>
      <c r="Q1725" t="str">
        <f t="shared" si="26"/>
        <v>Jun-24</v>
      </c>
      <c r="R1725">
        <f>IFERROR((VLOOKUP(D1725,Products!$A:$E,5,FALSE())-VLOOKUP(D1725,Products!$A:$E,4,FALSE()))/VLOOKUP(D1725,Products!$A:$E,5,FALSE()),"")</f>
        <v>0.3069060773480663</v>
      </c>
    </row>
    <row r="1726" spans="1:18" x14ac:dyDescent="0.3">
      <c r="A1726" s="22" t="s">
        <v>3935</v>
      </c>
      <c r="B1726" s="23">
        <v>45383</v>
      </c>
      <c r="C1726" s="22" t="s">
        <v>734</v>
      </c>
      <c r="D1726" s="22" t="s">
        <v>289</v>
      </c>
      <c r="E1726" s="22" t="s">
        <v>3936</v>
      </c>
      <c r="F1726" s="24">
        <v>6</v>
      </c>
      <c r="G1726" s="24">
        <v>2270</v>
      </c>
      <c r="H1726" s="24">
        <v>11.1</v>
      </c>
      <c r="I1726" s="24">
        <v>12108.18</v>
      </c>
      <c r="J1726" s="22" t="s">
        <v>159</v>
      </c>
      <c r="K1726" s="22" t="s">
        <v>151</v>
      </c>
      <c r="L1726" t="str">
        <f>VLOOKUP(D1726,Products!A:F,3,FALSE())</f>
        <v>Grocery</v>
      </c>
      <c r="M1726" t="str">
        <f>VLOOKUP(C1726,Customers!A:F,5,FALSE())</f>
        <v>Retail</v>
      </c>
      <c r="O1726" t="str">
        <f>IFERROR(VLOOKUP(E1726,Sales_Reps!$A:$C,3,FALSE()),"")</f>
        <v/>
      </c>
      <c r="P1726">
        <f>IFERROR(VLOOKUP(C1726,Customers!$A:$C,3,FALSE()),"")</f>
        <v>38</v>
      </c>
      <c r="Q1726" t="str">
        <f t="shared" si="26"/>
        <v>Apr-24</v>
      </c>
      <c r="R1726">
        <f>IFERROR((VLOOKUP(D1726,Products!$A:$E,5,FALSE())-VLOOKUP(D1726,Products!$A:$E,4,FALSE()))/VLOOKUP(D1726,Products!$A:$E,5,FALSE()),"")</f>
        <v>0.37797356828193834</v>
      </c>
    </row>
    <row r="1727" spans="1:18" x14ac:dyDescent="0.3">
      <c r="A1727" s="22" t="s">
        <v>3937</v>
      </c>
      <c r="B1727" s="23">
        <v>45543</v>
      </c>
      <c r="C1727" s="22" t="s">
        <v>2227</v>
      </c>
      <c r="D1727" s="22" t="s">
        <v>289</v>
      </c>
      <c r="E1727" s="22" t="s">
        <v>3938</v>
      </c>
      <c r="F1727" s="24">
        <v>4</v>
      </c>
      <c r="G1727" s="24">
        <v>2270</v>
      </c>
      <c r="H1727" s="24">
        <v>27.2</v>
      </c>
      <c r="I1727" s="24">
        <v>6610.24</v>
      </c>
      <c r="J1727" s="22" t="s">
        <v>110</v>
      </c>
      <c r="K1727" s="22" t="s">
        <v>111</v>
      </c>
      <c r="L1727" t="str">
        <f>VLOOKUP(D1727,Products!A:F,3,FALSE())</f>
        <v>Grocery</v>
      </c>
      <c r="M1727" t="str">
        <f>VLOOKUP(C1727,Customers!A:F,5,FALSE())</f>
        <v>Retail</v>
      </c>
      <c r="O1727" t="str">
        <f>IFERROR(VLOOKUP(E1727,Sales_Reps!$A:$C,3,FALSE()),"")</f>
        <v/>
      </c>
      <c r="P1727">
        <f>IFERROR(VLOOKUP(C1727,Customers!$A:$C,3,FALSE()),"")</f>
        <v>34</v>
      </c>
      <c r="Q1727" t="str">
        <f t="shared" si="26"/>
        <v>Sep-24</v>
      </c>
      <c r="R1727">
        <f>IFERROR((VLOOKUP(D1727,Products!$A:$E,5,FALSE())-VLOOKUP(D1727,Products!$A:$E,4,FALSE()))/VLOOKUP(D1727,Products!$A:$E,5,FALSE()),"")</f>
        <v>0.37797356828193834</v>
      </c>
    </row>
    <row r="1728" spans="1:18" x14ac:dyDescent="0.3">
      <c r="A1728" s="22" t="s">
        <v>3939</v>
      </c>
      <c r="B1728" s="23">
        <v>45576</v>
      </c>
      <c r="C1728" s="22" t="s">
        <v>584</v>
      </c>
      <c r="D1728" s="22" t="s">
        <v>323</v>
      </c>
      <c r="E1728" s="22" t="s">
        <v>3940</v>
      </c>
      <c r="F1728" s="24">
        <v>8</v>
      </c>
      <c r="G1728" s="24">
        <v>4610</v>
      </c>
      <c r="H1728" s="24">
        <v>24.5</v>
      </c>
      <c r="I1728" s="24">
        <v>27844.400000000001</v>
      </c>
      <c r="J1728" s="22" t="s">
        <v>104</v>
      </c>
      <c r="K1728" s="22" t="s">
        <v>129</v>
      </c>
      <c r="L1728" t="str">
        <f>VLOOKUP(D1728,Products!A:F,3,FALSE())</f>
        <v>Home</v>
      </c>
      <c r="M1728" t="str">
        <f>VLOOKUP(C1728,Customers!A:F,5,FALSE())</f>
        <v>Retail</v>
      </c>
      <c r="O1728" t="str">
        <f>IFERROR(VLOOKUP(E1728,Sales_Reps!$A:$C,3,FALSE()),"")</f>
        <v/>
      </c>
      <c r="P1728">
        <f>IFERROR(VLOOKUP(C1728,Customers!$A:$C,3,FALSE()),"")</f>
        <v>41</v>
      </c>
      <c r="Q1728" t="str">
        <f t="shared" si="26"/>
        <v>Oct-24</v>
      </c>
      <c r="R1728">
        <f>IFERROR((VLOOKUP(D1728,Products!$A:$E,5,FALSE())-VLOOKUP(D1728,Products!$A:$E,4,FALSE()))/VLOOKUP(D1728,Products!$A:$E,5,FALSE()),"")</f>
        <v>0.59869848156182215</v>
      </c>
    </row>
    <row r="1729" spans="1:18" x14ac:dyDescent="0.3">
      <c r="A1729" s="22" t="s">
        <v>3941</v>
      </c>
      <c r="B1729" s="23">
        <v>45366</v>
      </c>
      <c r="C1729" s="22" t="s">
        <v>979</v>
      </c>
      <c r="D1729" s="22" t="s">
        <v>167</v>
      </c>
      <c r="E1729" s="22" t="s">
        <v>3942</v>
      </c>
      <c r="F1729" s="24">
        <v>6</v>
      </c>
      <c r="G1729" s="24">
        <v>190</v>
      </c>
      <c r="H1729" s="24">
        <v>8.6999999999999993</v>
      </c>
      <c r="I1729" s="24">
        <v>1040.82</v>
      </c>
      <c r="J1729" s="22" t="s">
        <v>159</v>
      </c>
      <c r="K1729" s="22" t="s">
        <v>116</v>
      </c>
      <c r="L1729" t="str">
        <f>VLOOKUP(D1729,Products!A:F,3,FALSE())</f>
        <v>Sports</v>
      </c>
      <c r="M1729" t="str">
        <f>VLOOKUP(C1729,Customers!A:F,5,FALSE())</f>
        <v>Retail</v>
      </c>
      <c r="O1729" t="str">
        <f>IFERROR(VLOOKUP(E1729,Sales_Reps!$A:$C,3,FALSE()),"")</f>
        <v/>
      </c>
      <c r="P1729">
        <f>IFERROR(VLOOKUP(C1729,Customers!$A:$C,3,FALSE()),"")</f>
        <v>41</v>
      </c>
      <c r="Q1729" t="str">
        <f t="shared" si="26"/>
        <v>Mar-24</v>
      </c>
      <c r="R1729">
        <f>IFERROR((VLOOKUP(D1729,Products!$A:$E,5,FALSE())-VLOOKUP(D1729,Products!$A:$E,4,FALSE()))/VLOOKUP(D1729,Products!$A:$E,5,FALSE()),"")</f>
        <v>0.22631578947368422</v>
      </c>
    </row>
    <row r="1730" spans="1:18" x14ac:dyDescent="0.3">
      <c r="A1730" s="22" t="s">
        <v>3943</v>
      </c>
      <c r="B1730" s="23">
        <v>45617</v>
      </c>
      <c r="C1730" s="22" t="s">
        <v>288</v>
      </c>
      <c r="D1730" s="22" t="s">
        <v>356</v>
      </c>
      <c r="E1730" s="22" t="s">
        <v>3944</v>
      </c>
      <c r="F1730" s="24">
        <v>5</v>
      </c>
      <c r="G1730" s="24">
        <v>2030</v>
      </c>
      <c r="H1730" s="24">
        <v>0.9</v>
      </c>
      <c r="I1730" s="24">
        <v>10058.65</v>
      </c>
      <c r="J1730" s="22" t="s">
        <v>159</v>
      </c>
      <c r="K1730" s="22" t="s">
        <v>111</v>
      </c>
      <c r="L1730" t="str">
        <f>VLOOKUP(D1730,Products!A:F,3,FALSE())</f>
        <v>Home</v>
      </c>
      <c r="M1730" t="str">
        <f>VLOOKUP(C1730,Customers!A:F,5,FALSE())</f>
        <v>Corporate</v>
      </c>
      <c r="O1730" t="str">
        <f>IFERROR(VLOOKUP(E1730,Sales_Reps!$A:$C,3,FALSE()),"")</f>
        <v/>
      </c>
      <c r="P1730">
        <f>IFERROR(VLOOKUP(C1730,Customers!$A:$C,3,FALSE()),"")</f>
        <v>52</v>
      </c>
      <c r="Q1730" t="str">
        <f t="shared" ref="Q1730:Q1793" si="27">TEXT(B1730,"mmm-yy")</f>
        <v>Nov-24</v>
      </c>
      <c r="R1730">
        <f>IFERROR((VLOOKUP(D1730,Products!$A:$E,5,FALSE())-VLOOKUP(D1730,Products!$A:$E,4,FALSE()))/VLOOKUP(D1730,Products!$A:$E,5,FALSE()),"")</f>
        <v>0.43694581280788175</v>
      </c>
    </row>
    <row r="1731" spans="1:18" x14ac:dyDescent="0.3">
      <c r="A1731" s="22" t="s">
        <v>3945</v>
      </c>
      <c r="B1731" s="23">
        <v>45614</v>
      </c>
      <c r="C1731" s="22" t="s">
        <v>573</v>
      </c>
      <c r="D1731" s="22" t="s">
        <v>315</v>
      </c>
      <c r="E1731" s="22" t="s">
        <v>3946</v>
      </c>
      <c r="F1731" s="24">
        <v>1</v>
      </c>
      <c r="G1731" s="24">
        <v>4070</v>
      </c>
      <c r="H1731" s="24">
        <v>9.3000000000000007</v>
      </c>
      <c r="I1731" s="24">
        <v>3691.49</v>
      </c>
      <c r="J1731" s="22" t="s">
        <v>164</v>
      </c>
      <c r="K1731" s="22" t="s">
        <v>105</v>
      </c>
      <c r="L1731" t="str">
        <f>VLOOKUP(D1731,Products!A:F,3,FALSE())</f>
        <v>Grocery</v>
      </c>
      <c r="M1731" t="str">
        <f>VLOOKUP(C1731,Customers!A:F,5,FALSE())</f>
        <v>SMB</v>
      </c>
      <c r="O1731" t="str">
        <f>IFERROR(VLOOKUP(E1731,Sales_Reps!$A:$C,3,FALSE()),"")</f>
        <v/>
      </c>
      <c r="P1731">
        <f>IFERROR(VLOOKUP(C1731,Customers!$A:$C,3,FALSE()),"")</f>
        <v>30</v>
      </c>
      <c r="Q1731" t="str">
        <f t="shared" si="27"/>
        <v>Nov-24</v>
      </c>
      <c r="R1731">
        <f>IFERROR((VLOOKUP(D1731,Products!$A:$E,5,FALSE())-VLOOKUP(D1731,Products!$A:$E,4,FALSE()))/VLOOKUP(D1731,Products!$A:$E,5,FALSE()),"")</f>
        <v>0.50196560196560192</v>
      </c>
    </row>
    <row r="1732" spans="1:18" x14ac:dyDescent="0.3">
      <c r="A1732" s="22" t="s">
        <v>3947</v>
      </c>
      <c r="B1732" s="23">
        <v>45460</v>
      </c>
      <c r="C1732" s="22" t="s">
        <v>724</v>
      </c>
      <c r="D1732" s="22" t="s">
        <v>488</v>
      </c>
      <c r="E1732" s="22" t="s">
        <v>3948</v>
      </c>
      <c r="F1732" s="24">
        <v>3</v>
      </c>
      <c r="G1732" s="24">
        <v>2290</v>
      </c>
      <c r="H1732" s="24">
        <v>12.1</v>
      </c>
      <c r="I1732" s="24">
        <v>6038.73</v>
      </c>
      <c r="J1732" s="22" t="s">
        <v>104</v>
      </c>
      <c r="K1732" s="22" t="s">
        <v>116</v>
      </c>
      <c r="L1732" t="str">
        <f>VLOOKUP(D1732,Products!A:F,3,FALSE())</f>
        <v>Beauty</v>
      </c>
      <c r="M1732" t="str">
        <f>VLOOKUP(C1732,Customers!A:F,5,FALSE())</f>
        <v>SMB</v>
      </c>
      <c r="O1732" t="str">
        <f>IFERROR(VLOOKUP(E1732,Sales_Reps!$A:$C,3,FALSE()),"")</f>
        <v/>
      </c>
      <c r="P1732">
        <f>IFERROR(VLOOKUP(C1732,Customers!$A:$C,3,FALSE()),"")</f>
        <v>48</v>
      </c>
      <c r="Q1732" t="str">
        <f t="shared" si="27"/>
        <v>Jun-24</v>
      </c>
      <c r="R1732">
        <f>IFERROR((VLOOKUP(D1732,Products!$A:$E,5,FALSE())-VLOOKUP(D1732,Products!$A:$E,4,FALSE()))/VLOOKUP(D1732,Products!$A:$E,5,FALSE()),"")</f>
        <v>0.46768558951965067</v>
      </c>
    </row>
    <row r="1733" spans="1:18" x14ac:dyDescent="0.3">
      <c r="A1733" s="22" t="s">
        <v>3949</v>
      </c>
      <c r="B1733" s="23">
        <v>45514</v>
      </c>
      <c r="C1733" s="22" t="s">
        <v>537</v>
      </c>
      <c r="D1733" s="22" t="s">
        <v>265</v>
      </c>
      <c r="E1733" s="22" t="s">
        <v>3950</v>
      </c>
      <c r="F1733" s="24">
        <v>7</v>
      </c>
      <c r="G1733" s="24">
        <v>3730</v>
      </c>
      <c r="H1733" s="24">
        <v>4.5</v>
      </c>
      <c r="I1733" s="24">
        <v>24935.05</v>
      </c>
      <c r="J1733" s="22" t="s">
        <v>104</v>
      </c>
      <c r="K1733" s="22" t="s">
        <v>151</v>
      </c>
      <c r="L1733" t="str">
        <f>VLOOKUP(D1733,Products!A:F,3,FALSE())</f>
        <v>Home</v>
      </c>
      <c r="M1733" t="str">
        <f>VLOOKUP(C1733,Customers!A:F,5,FALSE())</f>
        <v>Retail</v>
      </c>
      <c r="O1733" t="str">
        <f>IFERROR(VLOOKUP(E1733,Sales_Reps!$A:$C,3,FALSE()),"")</f>
        <v/>
      </c>
      <c r="P1733">
        <f>IFERROR(VLOOKUP(C1733,Customers!$A:$C,3,FALSE()),"")</f>
        <v>22</v>
      </c>
      <c r="Q1733" t="str">
        <f t="shared" si="27"/>
        <v>Aug-24</v>
      </c>
      <c r="R1733">
        <f>IFERROR((VLOOKUP(D1733,Products!$A:$E,5,FALSE())-VLOOKUP(D1733,Products!$A:$E,4,FALSE()))/VLOOKUP(D1733,Products!$A:$E,5,FALSE()),"")</f>
        <v>0.42761394101876676</v>
      </c>
    </row>
    <row r="1734" spans="1:18" x14ac:dyDescent="0.3">
      <c r="A1734" s="22" t="s">
        <v>3951</v>
      </c>
      <c r="B1734" s="23">
        <v>45306</v>
      </c>
      <c r="C1734" s="22" t="s">
        <v>529</v>
      </c>
      <c r="D1734" s="22" t="s">
        <v>352</v>
      </c>
      <c r="E1734" s="22" t="s">
        <v>3952</v>
      </c>
      <c r="F1734" s="24">
        <v>5</v>
      </c>
      <c r="G1734" s="24">
        <v>620</v>
      </c>
      <c r="H1734" s="24">
        <v>7.5</v>
      </c>
      <c r="I1734" s="24">
        <v>2867.5</v>
      </c>
      <c r="J1734" s="22" t="s">
        <v>104</v>
      </c>
      <c r="K1734" s="22" t="s">
        <v>105</v>
      </c>
      <c r="L1734" t="str">
        <f>VLOOKUP(D1734,Products!A:F,3,FALSE())</f>
        <v>Apparel</v>
      </c>
      <c r="M1734" t="str">
        <f>VLOOKUP(C1734,Customers!A:F,5,FALSE())</f>
        <v>Retail</v>
      </c>
      <c r="O1734" t="str">
        <f>IFERROR(VLOOKUP(E1734,Sales_Reps!$A:$C,3,FALSE()),"")</f>
        <v/>
      </c>
      <c r="P1734">
        <f>IFERROR(VLOOKUP(C1734,Customers!$A:$C,3,FALSE()),"")</f>
        <v>22</v>
      </c>
      <c r="Q1734" t="str">
        <f t="shared" si="27"/>
        <v>Jan-24</v>
      </c>
      <c r="R1734">
        <f>IFERROR((VLOOKUP(D1734,Products!$A:$E,5,FALSE())-VLOOKUP(D1734,Products!$A:$E,4,FALSE()))/VLOOKUP(D1734,Products!$A:$E,5,FALSE()),"")</f>
        <v>0.36129032258064514</v>
      </c>
    </row>
    <row r="1735" spans="1:18" x14ac:dyDescent="0.3">
      <c r="A1735" s="22" t="s">
        <v>3953</v>
      </c>
      <c r="B1735" s="23">
        <v>45455</v>
      </c>
      <c r="C1735" s="22" t="s">
        <v>482</v>
      </c>
      <c r="D1735" s="22" t="s">
        <v>153</v>
      </c>
      <c r="E1735" s="22" t="s">
        <v>3954</v>
      </c>
      <c r="F1735" s="24">
        <v>8</v>
      </c>
      <c r="G1735" s="24">
        <v>2640</v>
      </c>
      <c r="H1735" s="24">
        <v>16.399999999999999</v>
      </c>
      <c r="I1735" s="24">
        <v>17656.32</v>
      </c>
      <c r="J1735" s="22" t="s">
        <v>104</v>
      </c>
      <c r="K1735" s="22" t="s">
        <v>116</v>
      </c>
      <c r="L1735" t="str">
        <f>VLOOKUP(D1735,Products!A:F,3,FALSE())</f>
        <v>Electronics</v>
      </c>
      <c r="M1735" t="str">
        <f>VLOOKUP(C1735,Customers!A:F,5,FALSE())</f>
        <v>Corporate</v>
      </c>
      <c r="O1735" t="str">
        <f>IFERROR(VLOOKUP(E1735,Sales_Reps!$A:$C,3,FALSE()),"")</f>
        <v/>
      </c>
      <c r="P1735">
        <f>IFERROR(VLOOKUP(C1735,Customers!$A:$C,3,FALSE()),"")</f>
        <v>27</v>
      </c>
      <c r="Q1735" t="str">
        <f t="shared" si="27"/>
        <v>Jun-24</v>
      </c>
      <c r="R1735">
        <f>IFERROR((VLOOKUP(D1735,Products!$A:$E,5,FALSE())-VLOOKUP(D1735,Products!$A:$E,4,FALSE()))/VLOOKUP(D1735,Products!$A:$E,5,FALSE()),"")</f>
        <v>0.56477272727272732</v>
      </c>
    </row>
    <row r="1736" spans="1:18" x14ac:dyDescent="0.3">
      <c r="A1736" s="22" t="s">
        <v>3955</v>
      </c>
      <c r="B1736" s="23">
        <v>45564</v>
      </c>
      <c r="C1736" s="22" t="s">
        <v>389</v>
      </c>
      <c r="D1736" s="22" t="s">
        <v>119</v>
      </c>
      <c r="E1736" s="22" t="s">
        <v>3956</v>
      </c>
      <c r="F1736" s="24">
        <v>6</v>
      </c>
      <c r="G1736" s="24">
        <v>3660</v>
      </c>
      <c r="H1736" s="24">
        <v>6.2</v>
      </c>
      <c r="I1736" s="24">
        <v>20598.48</v>
      </c>
      <c r="J1736" s="22" t="s">
        <v>104</v>
      </c>
      <c r="K1736" s="22" t="s">
        <v>111</v>
      </c>
      <c r="L1736" t="str">
        <f>VLOOKUP(D1736,Products!A:F,3,FALSE())</f>
        <v>Grocery</v>
      </c>
      <c r="M1736" t="str">
        <f>VLOOKUP(C1736,Customers!A:F,5,FALSE())</f>
        <v>SMB</v>
      </c>
      <c r="O1736" t="str">
        <f>IFERROR(VLOOKUP(E1736,Sales_Reps!$A:$C,3,FALSE()),"")</f>
        <v/>
      </c>
      <c r="P1736">
        <f>IFERROR(VLOOKUP(C1736,Customers!$A:$C,3,FALSE()),"")</f>
        <v>57</v>
      </c>
      <c r="Q1736" t="str">
        <f t="shared" si="27"/>
        <v>Sep-24</v>
      </c>
      <c r="R1736">
        <f>IFERROR((VLOOKUP(D1736,Products!$A:$E,5,FALSE())-VLOOKUP(D1736,Products!$A:$E,4,FALSE()))/VLOOKUP(D1736,Products!$A:$E,5,FALSE()),"")</f>
        <v>0.39508196721311473</v>
      </c>
    </row>
    <row r="1737" spans="1:18" x14ac:dyDescent="0.3">
      <c r="A1737" s="22" t="s">
        <v>3957</v>
      </c>
      <c r="B1737" s="23">
        <v>45507</v>
      </c>
      <c r="C1737" s="22" t="s">
        <v>921</v>
      </c>
      <c r="D1737" s="22" t="s">
        <v>108</v>
      </c>
      <c r="E1737" s="22" t="s">
        <v>3958</v>
      </c>
      <c r="F1737" s="24">
        <v>2</v>
      </c>
      <c r="G1737" s="24">
        <v>820</v>
      </c>
      <c r="H1737" s="24">
        <v>25.4</v>
      </c>
      <c r="I1737" s="24">
        <v>1223.44</v>
      </c>
      <c r="J1737" s="22" t="s">
        <v>104</v>
      </c>
      <c r="K1737" s="22" t="s">
        <v>151</v>
      </c>
      <c r="L1737" t="str">
        <f>VLOOKUP(D1737,Products!A:F,3,FALSE())</f>
        <v>Apparel</v>
      </c>
      <c r="M1737" t="str">
        <f>VLOOKUP(C1737,Customers!A:F,5,FALSE())</f>
        <v>Retail</v>
      </c>
      <c r="O1737" t="str">
        <f>IFERROR(VLOOKUP(E1737,Sales_Reps!$A:$C,3,FALSE()),"")</f>
        <v/>
      </c>
      <c r="P1737">
        <f>IFERROR(VLOOKUP(C1737,Customers!$A:$C,3,FALSE()),"")</f>
        <v>50</v>
      </c>
      <c r="Q1737" t="str">
        <f t="shared" si="27"/>
        <v>Aug-24</v>
      </c>
      <c r="R1737">
        <f>IFERROR((VLOOKUP(D1737,Products!$A:$E,5,FALSE())-VLOOKUP(D1737,Products!$A:$E,4,FALSE()))/VLOOKUP(D1737,Products!$A:$E,5,FALSE()),"")</f>
        <v>0.52317073170731709</v>
      </c>
    </row>
    <row r="1738" spans="1:18" x14ac:dyDescent="0.3">
      <c r="A1738" s="22" t="s">
        <v>3959</v>
      </c>
      <c r="B1738" s="23">
        <v>45596</v>
      </c>
      <c r="C1738" s="22" t="s">
        <v>1984</v>
      </c>
      <c r="D1738" s="22" t="s">
        <v>190</v>
      </c>
      <c r="E1738" s="22" t="s">
        <v>3960</v>
      </c>
      <c r="F1738" s="24">
        <v>3</v>
      </c>
      <c r="G1738" s="24">
        <v>2480</v>
      </c>
      <c r="H1738" s="24">
        <v>28.7</v>
      </c>
      <c r="I1738" s="24">
        <v>5304.72</v>
      </c>
      <c r="J1738" s="22" t="s">
        <v>110</v>
      </c>
      <c r="K1738" s="22" t="s">
        <v>129</v>
      </c>
      <c r="L1738" t="str">
        <f>VLOOKUP(D1738,Products!A:F,3,FALSE())</f>
        <v>Apparel</v>
      </c>
      <c r="M1738" t="str">
        <f>VLOOKUP(C1738,Customers!A:F,5,FALSE())</f>
        <v>Retail</v>
      </c>
      <c r="O1738" t="str">
        <f>IFERROR(VLOOKUP(E1738,Sales_Reps!$A:$C,3,FALSE()),"")</f>
        <v/>
      </c>
      <c r="P1738">
        <f>IFERROR(VLOOKUP(C1738,Customers!$A:$C,3,FALSE()),"")</f>
        <v>29</v>
      </c>
      <c r="Q1738" t="str">
        <f t="shared" si="27"/>
        <v>Oct-24</v>
      </c>
      <c r="R1738">
        <f>IFERROR((VLOOKUP(D1738,Products!$A:$E,5,FALSE())-VLOOKUP(D1738,Products!$A:$E,4,FALSE()))/VLOOKUP(D1738,Products!$A:$E,5,FALSE()),"")</f>
        <v>0.52701612903225803</v>
      </c>
    </row>
    <row r="1739" spans="1:18" x14ac:dyDescent="0.3">
      <c r="A1739" s="22" t="s">
        <v>3961</v>
      </c>
      <c r="B1739" s="23">
        <v>45534</v>
      </c>
      <c r="C1739" s="22" t="s">
        <v>1221</v>
      </c>
      <c r="D1739" s="22" t="s">
        <v>283</v>
      </c>
      <c r="E1739" s="22" t="s">
        <v>3962</v>
      </c>
      <c r="F1739" s="24">
        <v>10</v>
      </c>
      <c r="G1739" s="24">
        <v>6080</v>
      </c>
      <c r="H1739" s="24">
        <v>18.899999999999999</v>
      </c>
      <c r="I1739" s="24">
        <v>49308.800000000003</v>
      </c>
      <c r="J1739" s="22" t="s">
        <v>104</v>
      </c>
      <c r="K1739" s="22" t="s">
        <v>111</v>
      </c>
      <c r="L1739" t="str">
        <f>VLOOKUP(D1739,Products!A:F,3,FALSE())</f>
        <v>Beauty</v>
      </c>
      <c r="M1739" t="str">
        <f>VLOOKUP(C1739,Customers!A:F,5,FALSE())</f>
        <v>Retail</v>
      </c>
      <c r="O1739" t="str">
        <f>IFERROR(VLOOKUP(E1739,Sales_Reps!$A:$C,3,FALSE()),"")</f>
        <v/>
      </c>
      <c r="P1739">
        <f>IFERROR(VLOOKUP(C1739,Customers!$A:$C,3,FALSE()),"")</f>
        <v>32</v>
      </c>
      <c r="Q1739" t="str">
        <f t="shared" si="27"/>
        <v>Aug-24</v>
      </c>
      <c r="R1739">
        <f>IFERROR((VLOOKUP(D1739,Products!$A:$E,5,FALSE())-VLOOKUP(D1739,Products!$A:$E,4,FALSE()))/VLOOKUP(D1739,Products!$A:$E,5,FALSE()),"")</f>
        <v>0.56957236842105263</v>
      </c>
    </row>
    <row r="1740" spans="1:18" x14ac:dyDescent="0.3">
      <c r="A1740" s="22" t="s">
        <v>3963</v>
      </c>
      <c r="B1740" s="23">
        <v>45336</v>
      </c>
      <c r="C1740" s="22" t="s">
        <v>161</v>
      </c>
      <c r="D1740" s="22" t="s">
        <v>167</v>
      </c>
      <c r="E1740" s="22" t="s">
        <v>3964</v>
      </c>
      <c r="F1740" s="24">
        <v>1</v>
      </c>
      <c r="G1740" s="24">
        <v>190</v>
      </c>
      <c r="H1740" s="24">
        <v>5.7</v>
      </c>
      <c r="I1740" s="24">
        <v>179.17</v>
      </c>
      <c r="J1740" s="22" t="s">
        <v>104</v>
      </c>
      <c r="K1740" s="22" t="s">
        <v>105</v>
      </c>
      <c r="L1740" t="str">
        <f>VLOOKUP(D1740,Products!A:F,3,FALSE())</f>
        <v>Sports</v>
      </c>
      <c r="M1740" t="str">
        <f>VLOOKUP(C1740,Customers!A:F,5,FALSE())</f>
        <v>SMB</v>
      </c>
      <c r="O1740" t="str">
        <f>IFERROR(VLOOKUP(E1740,Sales_Reps!$A:$C,3,FALSE()),"")</f>
        <v/>
      </c>
      <c r="P1740">
        <f>IFERROR(VLOOKUP(C1740,Customers!$A:$C,3,FALSE()),"")</f>
        <v>39</v>
      </c>
      <c r="Q1740" t="str">
        <f t="shared" si="27"/>
        <v>Feb-24</v>
      </c>
      <c r="R1740">
        <f>IFERROR((VLOOKUP(D1740,Products!$A:$E,5,FALSE())-VLOOKUP(D1740,Products!$A:$E,4,FALSE()))/VLOOKUP(D1740,Products!$A:$E,5,FALSE()),"")</f>
        <v>0.22631578947368422</v>
      </c>
    </row>
    <row r="1741" spans="1:18" x14ac:dyDescent="0.3">
      <c r="A1741" s="22" t="s">
        <v>3965</v>
      </c>
      <c r="B1741" s="23">
        <v>45463</v>
      </c>
      <c r="C1741" s="22" t="s">
        <v>243</v>
      </c>
      <c r="D1741" s="22" t="s">
        <v>605</v>
      </c>
      <c r="E1741" s="22" t="s">
        <v>3966</v>
      </c>
      <c r="F1741" s="24">
        <v>2</v>
      </c>
      <c r="G1741" s="24">
        <v>3780</v>
      </c>
      <c r="H1741" s="24">
        <v>11.8</v>
      </c>
      <c r="I1741" s="24">
        <v>6667.92</v>
      </c>
      <c r="J1741" s="22" t="s">
        <v>104</v>
      </c>
      <c r="K1741" s="22" t="s">
        <v>116</v>
      </c>
      <c r="L1741" t="str">
        <f>VLOOKUP(D1741,Products!A:F,3,FALSE())</f>
        <v>Sports</v>
      </c>
      <c r="M1741" t="str">
        <f>VLOOKUP(C1741,Customers!A:F,5,FALSE())</f>
        <v>Retail</v>
      </c>
      <c r="O1741" t="str">
        <f>IFERROR(VLOOKUP(E1741,Sales_Reps!$A:$C,3,FALSE()),"")</f>
        <v/>
      </c>
      <c r="P1741">
        <f>IFERROR(VLOOKUP(C1741,Customers!$A:$C,3,FALSE()),"")</f>
        <v>41</v>
      </c>
      <c r="Q1741" t="str">
        <f t="shared" si="27"/>
        <v>Jun-24</v>
      </c>
      <c r="R1741">
        <f>IFERROR((VLOOKUP(D1741,Products!$A:$E,5,FALSE())-VLOOKUP(D1741,Products!$A:$E,4,FALSE()))/VLOOKUP(D1741,Products!$A:$E,5,FALSE()),"")</f>
        <v>0.50793650793650791</v>
      </c>
    </row>
    <row r="1742" spans="1:18" x14ac:dyDescent="0.3">
      <c r="A1742" s="22" t="s">
        <v>3967</v>
      </c>
      <c r="B1742" s="23">
        <v>45602</v>
      </c>
      <c r="C1742" s="22" t="s">
        <v>292</v>
      </c>
      <c r="D1742" s="22" t="s">
        <v>162</v>
      </c>
      <c r="E1742" s="22" t="s">
        <v>3968</v>
      </c>
      <c r="F1742" s="24">
        <v>5</v>
      </c>
      <c r="G1742" s="24">
        <v>3250</v>
      </c>
      <c r="H1742" s="24">
        <v>19.899999999999999</v>
      </c>
      <c r="I1742" s="24">
        <v>13016.25</v>
      </c>
      <c r="J1742" s="22" t="s">
        <v>104</v>
      </c>
      <c r="K1742" s="22" t="s">
        <v>134</v>
      </c>
      <c r="L1742" t="str">
        <f>VLOOKUP(D1742,Products!A:F,3,FALSE())</f>
        <v>Home</v>
      </c>
      <c r="M1742" t="str">
        <f>VLOOKUP(C1742,Customers!A:F,5,FALSE())</f>
        <v>Retail</v>
      </c>
      <c r="O1742" t="str">
        <f>IFERROR(VLOOKUP(E1742,Sales_Reps!$A:$C,3,FALSE()),"")</f>
        <v/>
      </c>
      <c r="P1742">
        <f>IFERROR(VLOOKUP(C1742,Customers!$A:$C,3,FALSE()),"")</f>
        <v>34</v>
      </c>
      <c r="Q1742" t="str">
        <f t="shared" si="27"/>
        <v>Nov-24</v>
      </c>
      <c r="R1742">
        <f>IFERROR((VLOOKUP(D1742,Products!$A:$E,5,FALSE())-VLOOKUP(D1742,Products!$A:$E,4,FALSE()))/VLOOKUP(D1742,Products!$A:$E,5,FALSE()),"")</f>
        <v>0.52123076923076928</v>
      </c>
    </row>
    <row r="1743" spans="1:18" x14ac:dyDescent="0.3">
      <c r="A1743" s="22" t="s">
        <v>3969</v>
      </c>
      <c r="B1743" s="23">
        <v>45365</v>
      </c>
      <c r="C1743" s="22" t="s">
        <v>3276</v>
      </c>
      <c r="D1743" s="22" t="s">
        <v>356</v>
      </c>
      <c r="E1743" s="22" t="s">
        <v>3970</v>
      </c>
      <c r="F1743" s="24">
        <v>7</v>
      </c>
      <c r="G1743" s="24">
        <v>2030</v>
      </c>
      <c r="H1743" s="24">
        <v>4.0999999999999996</v>
      </c>
      <c r="I1743" s="24">
        <v>13627.39</v>
      </c>
      <c r="J1743" s="22" t="s">
        <v>104</v>
      </c>
      <c r="K1743" s="22" t="s">
        <v>151</v>
      </c>
      <c r="L1743" t="str">
        <f>VLOOKUP(D1743,Products!A:F,3,FALSE())</f>
        <v>Home</v>
      </c>
      <c r="M1743" t="str">
        <f>VLOOKUP(C1743,Customers!A:F,5,FALSE())</f>
        <v>SMB</v>
      </c>
      <c r="O1743" t="str">
        <f>IFERROR(VLOOKUP(E1743,Sales_Reps!$A:$C,3,FALSE()),"")</f>
        <v/>
      </c>
      <c r="P1743">
        <f>IFERROR(VLOOKUP(C1743,Customers!$A:$C,3,FALSE()),"")</f>
        <v>34</v>
      </c>
      <c r="Q1743" t="str">
        <f t="shared" si="27"/>
        <v>Mar-24</v>
      </c>
      <c r="R1743">
        <f>IFERROR((VLOOKUP(D1743,Products!$A:$E,5,FALSE())-VLOOKUP(D1743,Products!$A:$E,4,FALSE()))/VLOOKUP(D1743,Products!$A:$E,5,FALSE()),"")</f>
        <v>0.43694581280788175</v>
      </c>
    </row>
    <row r="1744" spans="1:18" x14ac:dyDescent="0.3">
      <c r="A1744" s="22" t="s">
        <v>3971</v>
      </c>
      <c r="B1744" s="23">
        <v>45651</v>
      </c>
      <c r="C1744" s="22" t="s">
        <v>1002</v>
      </c>
      <c r="D1744" s="22" t="s">
        <v>212</v>
      </c>
      <c r="E1744" s="22" t="s">
        <v>3972</v>
      </c>
      <c r="F1744" s="24">
        <v>5</v>
      </c>
      <c r="G1744" s="24">
        <v>4880</v>
      </c>
      <c r="H1744" s="24">
        <v>22.9</v>
      </c>
      <c r="I1744" s="24">
        <v>18812.400000000001</v>
      </c>
      <c r="J1744" s="22" t="s">
        <v>104</v>
      </c>
      <c r="K1744" s="22" t="s">
        <v>151</v>
      </c>
      <c r="L1744" t="str">
        <f>VLOOKUP(D1744,Products!A:F,3,FALSE())</f>
        <v>Beauty</v>
      </c>
      <c r="M1744" t="str">
        <f>VLOOKUP(C1744,Customers!A:F,5,FALSE())</f>
        <v>Retail</v>
      </c>
      <c r="O1744" t="str">
        <f>IFERROR(VLOOKUP(E1744,Sales_Reps!$A:$C,3,FALSE()),"")</f>
        <v/>
      </c>
      <c r="P1744">
        <f>IFERROR(VLOOKUP(C1744,Customers!$A:$C,3,FALSE()),"")</f>
        <v>65</v>
      </c>
      <c r="Q1744" t="str">
        <f t="shared" si="27"/>
        <v>Dec-24</v>
      </c>
      <c r="R1744">
        <f>IFERROR((VLOOKUP(D1744,Products!$A:$E,5,FALSE())-VLOOKUP(D1744,Products!$A:$E,4,FALSE()))/VLOOKUP(D1744,Products!$A:$E,5,FALSE()),"")</f>
        <v>0.43278688524590164</v>
      </c>
    </row>
    <row r="1745" spans="1:18" x14ac:dyDescent="0.3">
      <c r="A1745" s="22" t="s">
        <v>3973</v>
      </c>
      <c r="B1745" s="23">
        <v>45297</v>
      </c>
      <c r="C1745" s="22" t="s">
        <v>1077</v>
      </c>
      <c r="D1745" s="22" t="s">
        <v>205</v>
      </c>
      <c r="E1745" s="22" t="s">
        <v>3974</v>
      </c>
      <c r="F1745" s="24">
        <v>3</v>
      </c>
      <c r="G1745" s="24">
        <v>3350</v>
      </c>
      <c r="H1745" s="24">
        <v>15.2</v>
      </c>
      <c r="I1745" s="24">
        <v>8522.4</v>
      </c>
      <c r="J1745" s="22" t="s">
        <v>110</v>
      </c>
      <c r="K1745" s="22" t="s">
        <v>151</v>
      </c>
      <c r="L1745" t="str">
        <f>VLOOKUP(D1745,Products!A:F,3,FALSE())</f>
        <v>Beauty</v>
      </c>
      <c r="M1745" t="str">
        <f>VLOOKUP(C1745,Customers!A:F,5,FALSE())</f>
        <v>SMB</v>
      </c>
      <c r="O1745" t="str">
        <f>IFERROR(VLOOKUP(E1745,Sales_Reps!$A:$C,3,FALSE()),"")</f>
        <v/>
      </c>
      <c r="P1745">
        <f>IFERROR(VLOOKUP(C1745,Customers!$A:$C,3,FALSE()),"")</f>
        <v>29</v>
      </c>
      <c r="Q1745" t="str">
        <f t="shared" si="27"/>
        <v>Jan-24</v>
      </c>
      <c r="R1745">
        <f>IFERROR((VLOOKUP(D1745,Products!$A:$E,5,FALSE())-VLOOKUP(D1745,Products!$A:$E,4,FALSE()))/VLOOKUP(D1745,Products!$A:$E,5,FALSE()),"")</f>
        <v>0.48417910447761192</v>
      </c>
    </row>
    <row r="1746" spans="1:18" x14ac:dyDescent="0.3">
      <c r="A1746" s="22" t="s">
        <v>3975</v>
      </c>
      <c r="B1746" s="23">
        <v>45425</v>
      </c>
      <c r="C1746" s="22" t="s">
        <v>682</v>
      </c>
      <c r="D1746" s="22" t="s">
        <v>224</v>
      </c>
      <c r="E1746" s="22" t="s">
        <v>3976</v>
      </c>
      <c r="F1746" s="24">
        <v>10</v>
      </c>
      <c r="G1746" s="24">
        <v>2860</v>
      </c>
      <c r="H1746" s="24">
        <v>15</v>
      </c>
      <c r="I1746" s="24">
        <v>24310</v>
      </c>
      <c r="J1746" s="22" t="s">
        <v>104</v>
      </c>
      <c r="K1746" s="22" t="s">
        <v>105</v>
      </c>
      <c r="L1746" t="str">
        <f>VLOOKUP(D1746,Products!A:F,3,FALSE())</f>
        <v>Sports</v>
      </c>
      <c r="M1746" t="str">
        <f>VLOOKUP(C1746,Customers!A:F,5,FALSE())</f>
        <v>Retail</v>
      </c>
      <c r="O1746" t="str">
        <f>IFERROR(VLOOKUP(E1746,Sales_Reps!$A:$C,3,FALSE()),"")</f>
        <v/>
      </c>
      <c r="P1746">
        <f>IFERROR(VLOOKUP(C1746,Customers!$A:$C,3,FALSE()),"")</f>
        <v>59</v>
      </c>
      <c r="Q1746" t="str">
        <f t="shared" si="27"/>
        <v>May-24</v>
      </c>
      <c r="R1746">
        <f>IFERROR((VLOOKUP(D1746,Products!$A:$E,5,FALSE())-VLOOKUP(D1746,Products!$A:$E,4,FALSE()))/VLOOKUP(D1746,Products!$A:$E,5,FALSE()),"")</f>
        <v>0.29090909090909089</v>
      </c>
    </row>
    <row r="1747" spans="1:18" x14ac:dyDescent="0.3">
      <c r="A1747" s="22" t="s">
        <v>3977</v>
      </c>
      <c r="B1747" s="23">
        <v>45444</v>
      </c>
      <c r="C1747" s="22" t="s">
        <v>377</v>
      </c>
      <c r="D1747" s="22" t="s">
        <v>178</v>
      </c>
      <c r="E1747" s="22" t="s">
        <v>3978</v>
      </c>
      <c r="F1747" s="24">
        <v>5</v>
      </c>
      <c r="G1747" s="24">
        <v>3450</v>
      </c>
      <c r="H1747" s="24">
        <v>2.2999999999999998</v>
      </c>
      <c r="I1747" s="24">
        <v>16853.25</v>
      </c>
      <c r="J1747" s="22" t="s">
        <v>104</v>
      </c>
      <c r="K1747" s="22" t="s">
        <v>134</v>
      </c>
      <c r="L1747" t="str">
        <f>VLOOKUP(D1747,Products!A:F,3,FALSE())</f>
        <v>Beauty</v>
      </c>
      <c r="M1747" t="str">
        <f>VLOOKUP(C1747,Customers!A:F,5,FALSE())</f>
        <v>Retail</v>
      </c>
      <c r="O1747" t="str">
        <f>IFERROR(VLOOKUP(E1747,Sales_Reps!$A:$C,3,FALSE()),"")</f>
        <v/>
      </c>
      <c r="P1747">
        <f>IFERROR(VLOOKUP(C1747,Customers!$A:$C,3,FALSE()),"")</f>
        <v>42</v>
      </c>
      <c r="Q1747" t="str">
        <f t="shared" si="27"/>
        <v>Jun-24</v>
      </c>
      <c r="R1747">
        <f>IFERROR((VLOOKUP(D1747,Products!$A:$E,5,FALSE())-VLOOKUP(D1747,Products!$A:$E,4,FALSE()))/VLOOKUP(D1747,Products!$A:$E,5,FALSE()),"")</f>
        <v>0.29855072463768118</v>
      </c>
    </row>
    <row r="1748" spans="1:18" x14ac:dyDescent="0.3">
      <c r="A1748" s="22" t="s">
        <v>3979</v>
      </c>
      <c r="B1748" s="23">
        <v>45397</v>
      </c>
      <c r="C1748" s="22" t="s">
        <v>223</v>
      </c>
      <c r="D1748" s="22" t="s">
        <v>149</v>
      </c>
      <c r="E1748" s="22" t="s">
        <v>3980</v>
      </c>
      <c r="F1748" s="24">
        <v>3</v>
      </c>
      <c r="G1748" s="24">
        <v>2270</v>
      </c>
      <c r="H1748" s="24">
        <v>2.8</v>
      </c>
      <c r="I1748" s="24">
        <v>6619.32</v>
      </c>
      <c r="J1748" s="22" t="s">
        <v>110</v>
      </c>
      <c r="K1748" s="22" t="s">
        <v>105</v>
      </c>
      <c r="L1748" t="str">
        <f>VLOOKUP(D1748,Products!A:F,3,FALSE())</f>
        <v>Grocery</v>
      </c>
      <c r="M1748" t="str">
        <f>VLOOKUP(C1748,Customers!A:F,5,FALSE())</f>
        <v>SMB</v>
      </c>
      <c r="O1748" t="str">
        <f>IFERROR(VLOOKUP(E1748,Sales_Reps!$A:$C,3,FALSE()),"")</f>
        <v/>
      </c>
      <c r="P1748">
        <f>IFERROR(VLOOKUP(C1748,Customers!$A:$C,3,FALSE()),"")</f>
        <v>44</v>
      </c>
      <c r="Q1748" t="str">
        <f t="shared" si="27"/>
        <v>Apr-24</v>
      </c>
      <c r="R1748">
        <f>IFERROR((VLOOKUP(D1748,Products!$A:$E,5,FALSE())-VLOOKUP(D1748,Products!$A:$E,4,FALSE()))/VLOOKUP(D1748,Products!$A:$E,5,FALSE()),"")</f>
        <v>0.47004405286343615</v>
      </c>
    </row>
    <row r="1749" spans="1:18" x14ac:dyDescent="0.3">
      <c r="A1749" s="22" t="s">
        <v>3981</v>
      </c>
      <c r="B1749" s="23">
        <v>45354</v>
      </c>
      <c r="C1749" s="22" t="s">
        <v>1147</v>
      </c>
      <c r="D1749" s="22" t="s">
        <v>119</v>
      </c>
      <c r="E1749" s="22" t="s">
        <v>3982</v>
      </c>
      <c r="F1749" s="24">
        <v>8</v>
      </c>
      <c r="G1749" s="24">
        <v>3660</v>
      </c>
      <c r="H1749" s="24">
        <v>16.8</v>
      </c>
      <c r="I1749" s="24">
        <v>24360.959999999999</v>
      </c>
      <c r="J1749" s="22" t="s">
        <v>104</v>
      </c>
      <c r="K1749" s="22" t="s">
        <v>116</v>
      </c>
      <c r="L1749" t="str">
        <f>VLOOKUP(D1749,Products!A:F,3,FALSE())</f>
        <v>Grocery</v>
      </c>
      <c r="M1749" t="str">
        <f>VLOOKUP(C1749,Customers!A:F,5,FALSE())</f>
        <v>SMB</v>
      </c>
      <c r="O1749" t="str">
        <f>IFERROR(VLOOKUP(E1749,Sales_Reps!$A:$C,3,FALSE()),"")</f>
        <v/>
      </c>
      <c r="P1749">
        <f>IFERROR(VLOOKUP(C1749,Customers!$A:$C,3,FALSE()),"")</f>
        <v>29</v>
      </c>
      <c r="Q1749" t="str">
        <f t="shared" si="27"/>
        <v>Mar-24</v>
      </c>
      <c r="R1749">
        <f>IFERROR((VLOOKUP(D1749,Products!$A:$E,5,FALSE())-VLOOKUP(D1749,Products!$A:$E,4,FALSE()))/VLOOKUP(D1749,Products!$A:$E,5,FALSE()),"")</f>
        <v>0.39508196721311473</v>
      </c>
    </row>
    <row r="1750" spans="1:18" x14ac:dyDescent="0.3">
      <c r="A1750" s="22" t="s">
        <v>3983</v>
      </c>
      <c r="B1750" s="23">
        <v>45469</v>
      </c>
      <c r="C1750" s="22" t="s">
        <v>858</v>
      </c>
      <c r="D1750" s="22" t="s">
        <v>330</v>
      </c>
      <c r="E1750" s="22" t="s">
        <v>3984</v>
      </c>
      <c r="F1750" s="24">
        <v>7</v>
      </c>
      <c r="G1750" s="24">
        <v>3020</v>
      </c>
      <c r="H1750" s="24">
        <v>17.8</v>
      </c>
      <c r="I1750" s="24">
        <v>17377.080000000002</v>
      </c>
      <c r="J1750" s="22" t="s">
        <v>104</v>
      </c>
      <c r="K1750" s="22" t="s">
        <v>129</v>
      </c>
      <c r="L1750" t="str">
        <f>VLOOKUP(D1750,Products!A:F,3,FALSE())</f>
        <v>Beauty</v>
      </c>
      <c r="M1750" t="str">
        <f>VLOOKUP(C1750,Customers!A:F,5,FALSE())</f>
        <v>Retail</v>
      </c>
      <c r="O1750" t="str">
        <f>IFERROR(VLOOKUP(E1750,Sales_Reps!$A:$C,3,FALSE()),"")</f>
        <v/>
      </c>
      <c r="P1750">
        <f>IFERROR(VLOOKUP(C1750,Customers!$A:$C,3,FALSE()),"")</f>
        <v>53</v>
      </c>
      <c r="Q1750" t="str">
        <f t="shared" si="27"/>
        <v>Jun-24</v>
      </c>
      <c r="R1750">
        <f>IFERROR((VLOOKUP(D1750,Products!$A:$E,5,FALSE())-VLOOKUP(D1750,Products!$A:$E,4,FALSE()))/VLOOKUP(D1750,Products!$A:$E,5,FALSE()),"")</f>
        <v>0.46158940397350995</v>
      </c>
    </row>
    <row r="1751" spans="1:18" x14ac:dyDescent="0.3">
      <c r="A1751" s="22" t="s">
        <v>3985</v>
      </c>
      <c r="B1751" s="23">
        <v>45587</v>
      </c>
      <c r="C1751" s="22" t="s">
        <v>2036</v>
      </c>
      <c r="D1751" s="22" t="s">
        <v>186</v>
      </c>
      <c r="E1751" s="22" t="s">
        <v>3986</v>
      </c>
      <c r="F1751" s="24">
        <v>7</v>
      </c>
      <c r="G1751" s="24">
        <v>1080</v>
      </c>
      <c r="H1751" s="24">
        <v>12.9</v>
      </c>
      <c r="I1751" s="24">
        <v>6584.76</v>
      </c>
      <c r="J1751" s="22" t="s">
        <v>104</v>
      </c>
      <c r="K1751" s="22" t="s">
        <v>134</v>
      </c>
      <c r="L1751" t="str">
        <f>VLOOKUP(D1751,Products!A:F,3,FALSE())</f>
        <v>Home</v>
      </c>
      <c r="M1751" t="str">
        <f>VLOOKUP(C1751,Customers!A:F,5,FALSE())</f>
        <v>Retail</v>
      </c>
      <c r="O1751" t="str">
        <f>IFERROR(VLOOKUP(E1751,Sales_Reps!$A:$C,3,FALSE()),"")</f>
        <v/>
      </c>
      <c r="P1751">
        <f>IFERROR(VLOOKUP(C1751,Customers!$A:$C,3,FALSE()),"")</f>
        <v>54</v>
      </c>
      <c r="Q1751" t="str">
        <f t="shared" si="27"/>
        <v>Oct-24</v>
      </c>
      <c r="R1751">
        <f>IFERROR((VLOOKUP(D1751,Products!$A:$E,5,FALSE())-VLOOKUP(D1751,Products!$A:$E,4,FALSE()))/VLOOKUP(D1751,Products!$A:$E,5,FALSE()),"")</f>
        <v>0.51944444444444449</v>
      </c>
    </row>
    <row r="1752" spans="1:18" x14ac:dyDescent="0.3">
      <c r="A1752" s="22" t="s">
        <v>3987</v>
      </c>
      <c r="B1752" s="23">
        <v>45494</v>
      </c>
      <c r="C1752" s="22" t="s">
        <v>775</v>
      </c>
      <c r="D1752" s="22" t="s">
        <v>289</v>
      </c>
      <c r="E1752" s="22" t="s">
        <v>3988</v>
      </c>
      <c r="F1752" s="24">
        <v>2</v>
      </c>
      <c r="G1752" s="24">
        <v>2270</v>
      </c>
      <c r="H1752" s="24">
        <v>8.6</v>
      </c>
      <c r="I1752" s="24">
        <v>4149.5600000000004</v>
      </c>
      <c r="J1752" s="22" t="s">
        <v>159</v>
      </c>
      <c r="K1752" s="22" t="s">
        <v>129</v>
      </c>
      <c r="L1752" t="str">
        <f>VLOOKUP(D1752,Products!A:F,3,FALSE())</f>
        <v>Grocery</v>
      </c>
      <c r="M1752" t="str">
        <f>VLOOKUP(C1752,Customers!A:F,5,FALSE())</f>
        <v>SMB</v>
      </c>
      <c r="O1752" t="str">
        <f>IFERROR(VLOOKUP(E1752,Sales_Reps!$A:$C,3,FALSE()),"")</f>
        <v/>
      </c>
      <c r="P1752">
        <f>IFERROR(VLOOKUP(C1752,Customers!$A:$C,3,FALSE()),"")</f>
        <v>61</v>
      </c>
      <c r="Q1752" t="str">
        <f t="shared" si="27"/>
        <v>Jul-24</v>
      </c>
      <c r="R1752">
        <f>IFERROR((VLOOKUP(D1752,Products!$A:$E,5,FALSE())-VLOOKUP(D1752,Products!$A:$E,4,FALSE()))/VLOOKUP(D1752,Products!$A:$E,5,FALSE()),"")</f>
        <v>0.37797356828193834</v>
      </c>
    </row>
    <row r="1753" spans="1:18" x14ac:dyDescent="0.3">
      <c r="A1753" s="22" t="s">
        <v>3989</v>
      </c>
      <c r="B1753" s="23">
        <v>45445</v>
      </c>
      <c r="C1753" s="22" t="s">
        <v>494</v>
      </c>
      <c r="D1753" s="22" t="s">
        <v>352</v>
      </c>
      <c r="E1753" s="22" t="s">
        <v>3990</v>
      </c>
      <c r="F1753" s="24">
        <v>10</v>
      </c>
      <c r="G1753" s="24">
        <v>620</v>
      </c>
      <c r="H1753" s="24">
        <v>26.1</v>
      </c>
      <c r="I1753" s="24">
        <v>4581.8</v>
      </c>
      <c r="J1753" s="22" t="s">
        <v>104</v>
      </c>
      <c r="K1753" s="22" t="s">
        <v>105</v>
      </c>
      <c r="L1753" t="str">
        <f>VLOOKUP(D1753,Products!A:F,3,FALSE())</f>
        <v>Apparel</v>
      </c>
      <c r="M1753" t="str">
        <f>VLOOKUP(C1753,Customers!A:F,5,FALSE())</f>
        <v>SMB</v>
      </c>
      <c r="O1753" t="str">
        <f>IFERROR(VLOOKUP(E1753,Sales_Reps!$A:$C,3,FALSE()),"")</f>
        <v/>
      </c>
      <c r="P1753">
        <f>IFERROR(VLOOKUP(C1753,Customers!$A:$C,3,FALSE()),"")</f>
        <v>54</v>
      </c>
      <c r="Q1753" t="str">
        <f t="shared" si="27"/>
        <v>Jun-24</v>
      </c>
      <c r="R1753">
        <f>IFERROR((VLOOKUP(D1753,Products!$A:$E,5,FALSE())-VLOOKUP(D1753,Products!$A:$E,4,FALSE()))/VLOOKUP(D1753,Products!$A:$E,5,FALSE()),"")</f>
        <v>0.36129032258064514</v>
      </c>
    </row>
    <row r="1754" spans="1:18" x14ac:dyDescent="0.3">
      <c r="A1754" s="22" t="s">
        <v>3991</v>
      </c>
      <c r="B1754" s="23">
        <v>45561</v>
      </c>
      <c r="C1754" s="22" t="s">
        <v>844</v>
      </c>
      <c r="D1754" s="22" t="s">
        <v>436</v>
      </c>
      <c r="E1754" s="22" t="s">
        <v>3992</v>
      </c>
      <c r="F1754" s="24">
        <v>2</v>
      </c>
      <c r="G1754" s="24">
        <v>4060</v>
      </c>
      <c r="H1754" s="24">
        <v>3.8</v>
      </c>
      <c r="I1754" s="24">
        <v>7811.44</v>
      </c>
      <c r="J1754" s="22" t="s">
        <v>104</v>
      </c>
      <c r="K1754" s="22" t="s">
        <v>129</v>
      </c>
      <c r="L1754" t="str">
        <f>VLOOKUP(D1754,Products!A:F,3,FALSE())</f>
        <v>Grocery</v>
      </c>
      <c r="M1754" t="str">
        <f>VLOOKUP(C1754,Customers!A:F,5,FALSE())</f>
        <v>Retail</v>
      </c>
      <c r="O1754" t="str">
        <f>IFERROR(VLOOKUP(E1754,Sales_Reps!$A:$C,3,FALSE()),"")</f>
        <v/>
      </c>
      <c r="P1754">
        <f>IFERROR(VLOOKUP(C1754,Customers!$A:$C,3,FALSE()),"")</f>
        <v>52</v>
      </c>
      <c r="Q1754" t="str">
        <f t="shared" si="27"/>
        <v>Sep-24</v>
      </c>
      <c r="R1754">
        <f>IFERROR((VLOOKUP(D1754,Products!$A:$E,5,FALSE())-VLOOKUP(D1754,Products!$A:$E,4,FALSE()))/VLOOKUP(D1754,Products!$A:$E,5,FALSE()),"")</f>
        <v>0.28300492610837441</v>
      </c>
    </row>
    <row r="1755" spans="1:18" x14ac:dyDescent="0.3">
      <c r="A1755" s="22" t="s">
        <v>3993</v>
      </c>
      <c r="B1755" s="23">
        <v>45488</v>
      </c>
      <c r="C1755" s="22" t="s">
        <v>333</v>
      </c>
      <c r="D1755" s="22" t="s">
        <v>275</v>
      </c>
      <c r="E1755" s="22" t="s">
        <v>3994</v>
      </c>
      <c r="F1755" s="24">
        <v>1</v>
      </c>
      <c r="G1755" s="24">
        <v>3780</v>
      </c>
      <c r="H1755" s="24">
        <v>27.9</v>
      </c>
      <c r="I1755" s="24">
        <v>2725.38</v>
      </c>
      <c r="J1755" s="22" t="s">
        <v>104</v>
      </c>
      <c r="K1755" s="22" t="s">
        <v>151</v>
      </c>
      <c r="L1755" t="str">
        <f>VLOOKUP(D1755,Products!A:F,3,FALSE())</f>
        <v>Grocery</v>
      </c>
      <c r="M1755" t="str">
        <f>VLOOKUP(C1755,Customers!A:F,5,FALSE())</f>
        <v>Corporate</v>
      </c>
      <c r="O1755" t="str">
        <f>IFERROR(VLOOKUP(E1755,Sales_Reps!$A:$C,3,FALSE()),"")</f>
        <v/>
      </c>
      <c r="P1755">
        <f>IFERROR(VLOOKUP(C1755,Customers!$A:$C,3,FALSE()),"")</f>
        <v>29</v>
      </c>
      <c r="Q1755" t="str">
        <f t="shared" si="27"/>
        <v>Jul-24</v>
      </c>
      <c r="R1755">
        <f>IFERROR((VLOOKUP(D1755,Products!$A:$E,5,FALSE())-VLOOKUP(D1755,Products!$A:$E,4,FALSE()))/VLOOKUP(D1755,Products!$A:$E,5,FALSE()),"")</f>
        <v>0.35555555555555557</v>
      </c>
    </row>
    <row r="1756" spans="1:18" x14ac:dyDescent="0.3">
      <c r="A1756" s="22" t="s">
        <v>3995</v>
      </c>
      <c r="B1756" s="23">
        <v>45617</v>
      </c>
      <c r="C1756" s="22" t="s">
        <v>307</v>
      </c>
      <c r="D1756" s="22" t="s">
        <v>459</v>
      </c>
      <c r="E1756" s="22" t="s">
        <v>3996</v>
      </c>
      <c r="F1756" s="24">
        <v>8</v>
      </c>
      <c r="G1756" s="24">
        <v>2380</v>
      </c>
      <c r="H1756" s="24">
        <v>3.8</v>
      </c>
      <c r="I1756" s="24">
        <v>18316.48</v>
      </c>
      <c r="J1756" s="22" t="s">
        <v>104</v>
      </c>
      <c r="K1756" s="22" t="s">
        <v>116</v>
      </c>
      <c r="L1756" t="str">
        <f>VLOOKUP(D1756,Products!A:F,3,FALSE())</f>
        <v>Grocery</v>
      </c>
      <c r="M1756" t="str">
        <f>VLOOKUP(C1756,Customers!A:F,5,FALSE())</f>
        <v>SMB</v>
      </c>
      <c r="O1756" t="str">
        <f>IFERROR(VLOOKUP(E1756,Sales_Reps!$A:$C,3,FALSE()),"")</f>
        <v/>
      </c>
      <c r="P1756">
        <f>IFERROR(VLOOKUP(C1756,Customers!$A:$C,3,FALSE()),"")</f>
        <v>55</v>
      </c>
      <c r="Q1756" t="str">
        <f t="shared" si="27"/>
        <v>Nov-24</v>
      </c>
      <c r="R1756">
        <f>IFERROR((VLOOKUP(D1756,Products!$A:$E,5,FALSE())-VLOOKUP(D1756,Products!$A:$E,4,FALSE()))/VLOOKUP(D1756,Products!$A:$E,5,FALSE()),"")</f>
        <v>0.50336134453781511</v>
      </c>
    </row>
    <row r="1757" spans="1:18" x14ac:dyDescent="0.3">
      <c r="A1757" s="22" t="s">
        <v>3997</v>
      </c>
      <c r="B1757" s="23">
        <v>45378</v>
      </c>
      <c r="C1757" s="22" t="s">
        <v>348</v>
      </c>
      <c r="D1757" s="22" t="s">
        <v>315</v>
      </c>
      <c r="E1757" s="22" t="s">
        <v>3998</v>
      </c>
      <c r="F1757" s="24">
        <v>7</v>
      </c>
      <c r="G1757" s="24">
        <v>4070</v>
      </c>
      <c r="H1757" s="24">
        <v>0.3</v>
      </c>
      <c r="I1757" s="24">
        <v>28404.53</v>
      </c>
      <c r="J1757" s="22" t="s">
        <v>104</v>
      </c>
      <c r="K1757" s="22" t="s">
        <v>111</v>
      </c>
      <c r="L1757" t="str">
        <f>VLOOKUP(D1757,Products!A:F,3,FALSE())</f>
        <v>Grocery</v>
      </c>
      <c r="M1757" t="str">
        <f>VLOOKUP(C1757,Customers!A:F,5,FALSE())</f>
        <v>Retail</v>
      </c>
      <c r="O1757" t="str">
        <f>IFERROR(VLOOKUP(E1757,Sales_Reps!$A:$C,3,FALSE()),"")</f>
        <v/>
      </c>
      <c r="P1757">
        <f>IFERROR(VLOOKUP(C1757,Customers!$A:$C,3,FALSE()),"")</f>
        <v>38</v>
      </c>
      <c r="Q1757" t="str">
        <f t="shared" si="27"/>
        <v>Mar-24</v>
      </c>
      <c r="R1757">
        <f>IFERROR((VLOOKUP(D1757,Products!$A:$E,5,FALSE())-VLOOKUP(D1757,Products!$A:$E,4,FALSE()))/VLOOKUP(D1757,Products!$A:$E,5,FALSE()),"")</f>
        <v>0.50196560196560192</v>
      </c>
    </row>
    <row r="1758" spans="1:18" x14ac:dyDescent="0.3">
      <c r="A1758" s="22" t="s">
        <v>3999</v>
      </c>
      <c r="B1758" s="23">
        <v>45459</v>
      </c>
      <c r="C1758" s="22" t="s">
        <v>1984</v>
      </c>
      <c r="D1758" s="22" t="s">
        <v>153</v>
      </c>
      <c r="E1758" s="22" t="s">
        <v>4000</v>
      </c>
      <c r="F1758" s="24">
        <v>6</v>
      </c>
      <c r="G1758" s="24">
        <v>2640</v>
      </c>
      <c r="H1758" s="24">
        <v>3.4</v>
      </c>
      <c r="I1758" s="24">
        <v>15301.44</v>
      </c>
      <c r="J1758" s="22" t="s">
        <v>104</v>
      </c>
      <c r="K1758" s="22" t="s">
        <v>129</v>
      </c>
      <c r="L1758" t="str">
        <f>VLOOKUP(D1758,Products!A:F,3,FALSE())</f>
        <v>Electronics</v>
      </c>
      <c r="M1758" t="str">
        <f>VLOOKUP(C1758,Customers!A:F,5,FALSE())</f>
        <v>Retail</v>
      </c>
      <c r="O1758" t="str">
        <f>IFERROR(VLOOKUP(E1758,Sales_Reps!$A:$C,3,FALSE()),"")</f>
        <v/>
      </c>
      <c r="P1758">
        <f>IFERROR(VLOOKUP(C1758,Customers!$A:$C,3,FALSE()),"")</f>
        <v>29</v>
      </c>
      <c r="Q1758" t="str">
        <f t="shared" si="27"/>
        <v>Jun-24</v>
      </c>
      <c r="R1758">
        <f>IFERROR((VLOOKUP(D1758,Products!$A:$E,5,FALSE())-VLOOKUP(D1758,Products!$A:$E,4,FALSE()))/VLOOKUP(D1758,Products!$A:$E,5,FALSE()),"")</f>
        <v>0.56477272727272732</v>
      </c>
    </row>
    <row r="1759" spans="1:18" x14ac:dyDescent="0.3">
      <c r="A1759" s="22" t="s">
        <v>4001</v>
      </c>
      <c r="B1759" s="23">
        <v>45377</v>
      </c>
      <c r="C1759" s="22" t="s">
        <v>208</v>
      </c>
      <c r="D1759" s="22" t="s">
        <v>605</v>
      </c>
      <c r="E1759" s="22" t="s">
        <v>4002</v>
      </c>
      <c r="F1759" s="24">
        <v>10</v>
      </c>
      <c r="G1759" s="24">
        <v>3780</v>
      </c>
      <c r="H1759" s="24">
        <v>13.3</v>
      </c>
      <c r="I1759" s="24">
        <v>32772.6</v>
      </c>
      <c r="J1759" s="22" t="s">
        <v>104</v>
      </c>
      <c r="K1759" s="22" t="s">
        <v>116</v>
      </c>
      <c r="L1759" t="str">
        <f>VLOOKUP(D1759,Products!A:F,3,FALSE())</f>
        <v>Sports</v>
      </c>
      <c r="M1759" t="str">
        <f>VLOOKUP(C1759,Customers!A:F,5,FALSE())</f>
        <v>Retail</v>
      </c>
      <c r="O1759" t="str">
        <f>IFERROR(VLOOKUP(E1759,Sales_Reps!$A:$C,3,FALSE()),"")</f>
        <v/>
      </c>
      <c r="P1759">
        <f>IFERROR(VLOOKUP(C1759,Customers!$A:$C,3,FALSE()),"")</f>
        <v>31</v>
      </c>
      <c r="Q1759" t="str">
        <f t="shared" si="27"/>
        <v>Mar-24</v>
      </c>
      <c r="R1759">
        <f>IFERROR((VLOOKUP(D1759,Products!$A:$E,5,FALSE())-VLOOKUP(D1759,Products!$A:$E,4,FALSE()))/VLOOKUP(D1759,Products!$A:$E,5,FALSE()),"")</f>
        <v>0.50793650793650791</v>
      </c>
    </row>
    <row r="1760" spans="1:18" x14ac:dyDescent="0.3">
      <c r="A1760" s="22" t="s">
        <v>4003</v>
      </c>
      <c r="B1760" s="23">
        <v>45302</v>
      </c>
      <c r="C1760" s="22" t="s">
        <v>1309</v>
      </c>
      <c r="D1760" s="22" t="s">
        <v>205</v>
      </c>
      <c r="E1760" s="22" t="s">
        <v>4004</v>
      </c>
      <c r="F1760" s="24">
        <v>9</v>
      </c>
      <c r="G1760" s="24">
        <v>3350</v>
      </c>
      <c r="H1760" s="24">
        <v>12.8</v>
      </c>
      <c r="I1760" s="24">
        <v>26290.799999999999</v>
      </c>
      <c r="J1760" s="22" t="s">
        <v>104</v>
      </c>
      <c r="K1760" s="22" t="s">
        <v>129</v>
      </c>
      <c r="L1760" t="str">
        <f>VLOOKUP(D1760,Products!A:F,3,FALSE())</f>
        <v>Beauty</v>
      </c>
      <c r="M1760" t="str">
        <f>VLOOKUP(C1760,Customers!A:F,5,FALSE())</f>
        <v>Corporate</v>
      </c>
      <c r="O1760" t="str">
        <f>IFERROR(VLOOKUP(E1760,Sales_Reps!$A:$C,3,FALSE()),"")</f>
        <v/>
      </c>
      <c r="P1760">
        <f>IFERROR(VLOOKUP(C1760,Customers!$A:$C,3,FALSE()),"")</f>
        <v>62</v>
      </c>
      <c r="Q1760" t="str">
        <f t="shared" si="27"/>
        <v>Jan-24</v>
      </c>
      <c r="R1760">
        <f>IFERROR((VLOOKUP(D1760,Products!$A:$E,5,FALSE())-VLOOKUP(D1760,Products!$A:$E,4,FALSE()))/VLOOKUP(D1760,Products!$A:$E,5,FALSE()),"")</f>
        <v>0.48417910447761192</v>
      </c>
    </row>
    <row r="1761" spans="1:18" x14ac:dyDescent="0.3">
      <c r="A1761" s="22" t="s">
        <v>4005</v>
      </c>
      <c r="B1761" s="23">
        <v>45459</v>
      </c>
      <c r="C1761" s="22" t="s">
        <v>965</v>
      </c>
      <c r="D1761" s="22" t="s">
        <v>123</v>
      </c>
      <c r="E1761" s="22" t="s">
        <v>4006</v>
      </c>
      <c r="F1761" s="24">
        <v>7</v>
      </c>
      <c r="G1761" s="24">
        <v>3160</v>
      </c>
      <c r="H1761" s="24">
        <v>15.3</v>
      </c>
      <c r="I1761" s="24">
        <v>18735.64</v>
      </c>
      <c r="J1761" s="22" t="s">
        <v>104</v>
      </c>
      <c r="K1761" s="22" t="s">
        <v>105</v>
      </c>
      <c r="L1761" t="str">
        <f>VLOOKUP(D1761,Products!A:F,3,FALSE())</f>
        <v>Apparel</v>
      </c>
      <c r="M1761" t="str">
        <f>VLOOKUP(C1761,Customers!A:F,5,FALSE())</f>
        <v>SMB</v>
      </c>
      <c r="O1761" t="str">
        <f>IFERROR(VLOOKUP(E1761,Sales_Reps!$A:$C,3,FALSE()),"")</f>
        <v/>
      </c>
      <c r="P1761">
        <f>IFERROR(VLOOKUP(C1761,Customers!$A:$C,3,FALSE()),"")</f>
        <v>35</v>
      </c>
      <c r="Q1761" t="str">
        <f t="shared" si="27"/>
        <v>Jun-24</v>
      </c>
      <c r="R1761">
        <f>IFERROR((VLOOKUP(D1761,Products!$A:$E,5,FALSE())-VLOOKUP(D1761,Products!$A:$E,4,FALSE()))/VLOOKUP(D1761,Products!$A:$E,5,FALSE()),"")</f>
        <v>0.4031645569620253</v>
      </c>
    </row>
    <row r="1762" spans="1:18" x14ac:dyDescent="0.3">
      <c r="A1762" s="22" t="s">
        <v>4007</v>
      </c>
      <c r="B1762" s="23">
        <v>45428</v>
      </c>
      <c r="C1762" s="22" t="s">
        <v>1508</v>
      </c>
      <c r="D1762" s="22" t="s">
        <v>224</v>
      </c>
      <c r="E1762" s="22" t="s">
        <v>4008</v>
      </c>
      <c r="F1762" s="24">
        <v>6</v>
      </c>
      <c r="G1762" s="24">
        <v>2860</v>
      </c>
      <c r="H1762" s="24">
        <v>17.5</v>
      </c>
      <c r="I1762" s="24">
        <v>14157</v>
      </c>
      <c r="J1762" s="22" t="s">
        <v>104</v>
      </c>
      <c r="K1762" s="22" t="s">
        <v>134</v>
      </c>
      <c r="L1762" t="str">
        <f>VLOOKUP(D1762,Products!A:F,3,FALSE())</f>
        <v>Sports</v>
      </c>
      <c r="M1762" t="str">
        <f>VLOOKUP(C1762,Customers!A:F,5,FALSE())</f>
        <v>SMB</v>
      </c>
      <c r="O1762" t="str">
        <f>IFERROR(VLOOKUP(E1762,Sales_Reps!$A:$C,3,FALSE()),"")</f>
        <v/>
      </c>
      <c r="P1762">
        <f>IFERROR(VLOOKUP(C1762,Customers!$A:$C,3,FALSE()),"")</f>
        <v>36</v>
      </c>
      <c r="Q1762" t="str">
        <f t="shared" si="27"/>
        <v>May-24</v>
      </c>
      <c r="R1762">
        <f>IFERROR((VLOOKUP(D1762,Products!$A:$E,5,FALSE())-VLOOKUP(D1762,Products!$A:$E,4,FALSE()))/VLOOKUP(D1762,Products!$A:$E,5,FALSE()),"")</f>
        <v>0.29090909090909089</v>
      </c>
    </row>
    <row r="1763" spans="1:18" x14ac:dyDescent="0.3">
      <c r="A1763" s="22" t="s">
        <v>4009</v>
      </c>
      <c r="B1763" s="23">
        <v>45341</v>
      </c>
      <c r="C1763" s="22" t="s">
        <v>1106</v>
      </c>
      <c r="D1763" s="22" t="s">
        <v>338</v>
      </c>
      <c r="E1763" s="22" t="s">
        <v>4010</v>
      </c>
      <c r="F1763" s="24">
        <v>9</v>
      </c>
      <c r="G1763" s="24">
        <v>300</v>
      </c>
      <c r="H1763" s="24">
        <v>25.2</v>
      </c>
      <c r="I1763" s="24">
        <v>2019.6</v>
      </c>
      <c r="J1763" s="22" t="s">
        <v>104</v>
      </c>
      <c r="K1763" s="22" t="s">
        <v>134</v>
      </c>
      <c r="L1763" t="str">
        <f>VLOOKUP(D1763,Products!A:F,3,FALSE())</f>
        <v>Electronics</v>
      </c>
      <c r="M1763" t="str">
        <f>VLOOKUP(C1763,Customers!A:F,5,FALSE())</f>
        <v>Corporate</v>
      </c>
      <c r="O1763" t="str">
        <f>IFERROR(VLOOKUP(E1763,Sales_Reps!$A:$C,3,FALSE()),"")</f>
        <v/>
      </c>
      <c r="P1763">
        <f>IFERROR(VLOOKUP(C1763,Customers!$A:$C,3,FALSE()),"")</f>
        <v>43</v>
      </c>
      <c r="Q1763" t="str">
        <f t="shared" si="27"/>
        <v>Feb-24</v>
      </c>
      <c r="R1763">
        <f>IFERROR((VLOOKUP(D1763,Products!$A:$E,5,FALSE())-VLOOKUP(D1763,Products!$A:$E,4,FALSE()))/VLOOKUP(D1763,Products!$A:$E,5,FALSE()),"")</f>
        <v>0.57333333333333336</v>
      </c>
    </row>
    <row r="1764" spans="1:18" x14ac:dyDescent="0.3">
      <c r="A1764" s="22" t="s">
        <v>4011</v>
      </c>
      <c r="B1764" s="23">
        <v>45296</v>
      </c>
      <c r="C1764" s="22" t="s">
        <v>1497</v>
      </c>
      <c r="D1764" s="22" t="s">
        <v>167</v>
      </c>
      <c r="E1764" s="22" t="s">
        <v>4012</v>
      </c>
      <c r="F1764" s="24">
        <v>5</v>
      </c>
      <c r="G1764" s="24">
        <v>190</v>
      </c>
      <c r="H1764" s="24">
        <v>1.8</v>
      </c>
      <c r="I1764" s="24">
        <v>932.9</v>
      </c>
      <c r="J1764" s="22" t="s">
        <v>104</v>
      </c>
      <c r="K1764" s="22" t="s">
        <v>105</v>
      </c>
      <c r="L1764" t="str">
        <f>VLOOKUP(D1764,Products!A:F,3,FALSE())</f>
        <v>Sports</v>
      </c>
      <c r="M1764" t="str">
        <f>VLOOKUP(C1764,Customers!A:F,5,FALSE())</f>
        <v>Corporate</v>
      </c>
      <c r="O1764" t="str">
        <f>IFERROR(VLOOKUP(E1764,Sales_Reps!$A:$C,3,FALSE()),"")</f>
        <v/>
      </c>
      <c r="P1764">
        <f>IFERROR(VLOOKUP(C1764,Customers!$A:$C,3,FALSE()),"")</f>
        <v>29</v>
      </c>
      <c r="Q1764" t="str">
        <f t="shared" si="27"/>
        <v>Jan-24</v>
      </c>
      <c r="R1764">
        <f>IFERROR((VLOOKUP(D1764,Products!$A:$E,5,FALSE())-VLOOKUP(D1764,Products!$A:$E,4,FALSE()))/VLOOKUP(D1764,Products!$A:$E,5,FALSE()),"")</f>
        <v>0.22631578947368422</v>
      </c>
    </row>
    <row r="1765" spans="1:18" x14ac:dyDescent="0.3">
      <c r="A1765" s="22" t="s">
        <v>4013</v>
      </c>
      <c r="B1765" s="23">
        <v>45533</v>
      </c>
      <c r="C1765" s="22" t="s">
        <v>576</v>
      </c>
      <c r="D1765" s="22" t="s">
        <v>209</v>
      </c>
      <c r="E1765" s="22" t="s">
        <v>4014</v>
      </c>
      <c r="F1765" s="24">
        <v>7</v>
      </c>
      <c r="G1765" s="24">
        <v>1010</v>
      </c>
      <c r="H1765" s="24">
        <v>11.2</v>
      </c>
      <c r="I1765" s="24">
        <v>6278.16</v>
      </c>
      <c r="J1765" s="22" t="s">
        <v>104</v>
      </c>
      <c r="K1765" s="22" t="s">
        <v>105</v>
      </c>
      <c r="L1765" t="str">
        <f>VLOOKUP(D1765,Products!A:F,3,FALSE())</f>
        <v>Sports</v>
      </c>
      <c r="M1765" t="str">
        <f>VLOOKUP(C1765,Customers!A:F,5,FALSE())</f>
        <v>Retail</v>
      </c>
      <c r="O1765" t="str">
        <f>IFERROR(VLOOKUP(E1765,Sales_Reps!$A:$C,3,FALSE()),"")</f>
        <v/>
      </c>
      <c r="P1765">
        <f>IFERROR(VLOOKUP(C1765,Customers!$A:$C,3,FALSE()),"")</f>
        <v>65</v>
      </c>
      <c r="Q1765" t="str">
        <f t="shared" si="27"/>
        <v>Aug-24</v>
      </c>
      <c r="R1765">
        <f>IFERROR((VLOOKUP(D1765,Products!$A:$E,5,FALSE())-VLOOKUP(D1765,Products!$A:$E,4,FALSE()))/VLOOKUP(D1765,Products!$A:$E,5,FALSE()),"")</f>
        <v>0.4891089108910891</v>
      </c>
    </row>
    <row r="1766" spans="1:18" x14ac:dyDescent="0.3">
      <c r="A1766" s="22" t="s">
        <v>4015</v>
      </c>
      <c r="B1766" s="23">
        <v>45515</v>
      </c>
      <c r="C1766" s="22" t="s">
        <v>255</v>
      </c>
      <c r="D1766" s="22" t="s">
        <v>182</v>
      </c>
      <c r="E1766" s="22" t="s">
        <v>4016</v>
      </c>
      <c r="F1766" s="24">
        <v>8</v>
      </c>
      <c r="G1766" s="24">
        <v>3450</v>
      </c>
      <c r="H1766" s="24">
        <v>8.4</v>
      </c>
      <c r="I1766" s="24">
        <v>25281.599999999999</v>
      </c>
      <c r="J1766" s="22" t="s">
        <v>104</v>
      </c>
      <c r="K1766" s="22" t="s">
        <v>116</v>
      </c>
      <c r="L1766" t="str">
        <f>VLOOKUP(D1766,Products!A:F,3,FALSE())</f>
        <v>Sports</v>
      </c>
      <c r="M1766" t="str">
        <f>VLOOKUP(C1766,Customers!A:F,5,FALSE())</f>
        <v>SMB</v>
      </c>
      <c r="O1766" t="str">
        <f>IFERROR(VLOOKUP(E1766,Sales_Reps!$A:$C,3,FALSE()),"")</f>
        <v/>
      </c>
      <c r="P1766">
        <f>IFERROR(VLOOKUP(C1766,Customers!$A:$C,3,FALSE()),"")</f>
        <v>50</v>
      </c>
      <c r="Q1766" t="str">
        <f t="shared" si="27"/>
        <v>Aug-24</v>
      </c>
      <c r="R1766">
        <f>IFERROR((VLOOKUP(D1766,Products!$A:$E,5,FALSE())-VLOOKUP(D1766,Products!$A:$E,4,FALSE()))/VLOOKUP(D1766,Products!$A:$E,5,FALSE()),"")</f>
        <v>0.28492753623188405</v>
      </c>
    </row>
    <row r="1767" spans="1:18" x14ac:dyDescent="0.3">
      <c r="A1767" s="22" t="s">
        <v>4017</v>
      </c>
      <c r="B1767" s="23">
        <v>45597</v>
      </c>
      <c r="C1767" s="22" t="s">
        <v>1513</v>
      </c>
      <c r="D1767" s="22" t="s">
        <v>338</v>
      </c>
      <c r="E1767" s="22" t="s">
        <v>4018</v>
      </c>
      <c r="F1767" s="24">
        <v>3</v>
      </c>
      <c r="G1767" s="24">
        <v>300</v>
      </c>
      <c r="H1767" s="24">
        <v>7.5</v>
      </c>
      <c r="I1767" s="24">
        <v>832.5</v>
      </c>
      <c r="J1767" s="22" t="s">
        <v>164</v>
      </c>
      <c r="K1767" s="22" t="s">
        <v>111</v>
      </c>
      <c r="L1767" t="str">
        <f>VLOOKUP(D1767,Products!A:F,3,FALSE())</f>
        <v>Electronics</v>
      </c>
      <c r="M1767" t="str">
        <f>VLOOKUP(C1767,Customers!A:F,5,FALSE())</f>
        <v>Corporate</v>
      </c>
      <c r="O1767" t="str">
        <f>IFERROR(VLOOKUP(E1767,Sales_Reps!$A:$C,3,FALSE()),"")</f>
        <v/>
      </c>
      <c r="P1767">
        <f>IFERROR(VLOOKUP(C1767,Customers!$A:$C,3,FALSE()),"")</f>
        <v>52</v>
      </c>
      <c r="Q1767" t="str">
        <f t="shared" si="27"/>
        <v>Nov-24</v>
      </c>
      <c r="R1767">
        <f>IFERROR((VLOOKUP(D1767,Products!$A:$E,5,FALSE())-VLOOKUP(D1767,Products!$A:$E,4,FALSE()))/VLOOKUP(D1767,Products!$A:$E,5,FALSE()),"")</f>
        <v>0.57333333333333336</v>
      </c>
    </row>
    <row r="1768" spans="1:18" x14ac:dyDescent="0.3">
      <c r="A1768" s="22" t="s">
        <v>4019</v>
      </c>
      <c r="B1768" s="23">
        <v>45370</v>
      </c>
      <c r="C1768" s="22" t="s">
        <v>268</v>
      </c>
      <c r="D1768" s="22" t="s">
        <v>265</v>
      </c>
      <c r="E1768" s="22" t="s">
        <v>4020</v>
      </c>
      <c r="F1768" s="24">
        <v>4</v>
      </c>
      <c r="G1768" s="24">
        <v>3730</v>
      </c>
      <c r="H1768" s="24">
        <v>24.8</v>
      </c>
      <c r="I1768" s="24">
        <v>11219.84</v>
      </c>
      <c r="J1768" s="22" t="s">
        <v>104</v>
      </c>
      <c r="K1768" s="22" t="s">
        <v>129</v>
      </c>
      <c r="L1768" t="str">
        <f>VLOOKUP(D1768,Products!A:F,3,FALSE())</f>
        <v>Home</v>
      </c>
      <c r="M1768" t="str">
        <f>VLOOKUP(C1768,Customers!A:F,5,FALSE())</f>
        <v>SMB</v>
      </c>
      <c r="O1768" t="str">
        <f>IFERROR(VLOOKUP(E1768,Sales_Reps!$A:$C,3,FALSE()),"")</f>
        <v/>
      </c>
      <c r="P1768">
        <f>IFERROR(VLOOKUP(C1768,Customers!$A:$C,3,FALSE()),"")</f>
        <v>54</v>
      </c>
      <c r="Q1768" t="str">
        <f t="shared" si="27"/>
        <v>Mar-24</v>
      </c>
      <c r="R1768">
        <f>IFERROR((VLOOKUP(D1768,Products!$A:$E,5,FALSE())-VLOOKUP(D1768,Products!$A:$E,4,FALSE()))/VLOOKUP(D1768,Products!$A:$E,5,FALSE()),"")</f>
        <v>0.42761394101876676</v>
      </c>
    </row>
    <row r="1769" spans="1:18" x14ac:dyDescent="0.3">
      <c r="A1769" s="22" t="s">
        <v>4021</v>
      </c>
      <c r="B1769" s="23">
        <v>45462</v>
      </c>
      <c r="C1769" s="22" t="s">
        <v>204</v>
      </c>
      <c r="D1769" s="22" t="s">
        <v>171</v>
      </c>
      <c r="E1769" s="22" t="s">
        <v>4022</v>
      </c>
      <c r="F1769" s="24">
        <v>5</v>
      </c>
      <c r="G1769" s="24">
        <v>2400</v>
      </c>
      <c r="H1769" s="24">
        <v>9.1999999999999993</v>
      </c>
      <c r="I1769" s="24">
        <v>10896</v>
      </c>
      <c r="J1769" s="22" t="s">
        <v>104</v>
      </c>
      <c r="K1769" s="22" t="s">
        <v>111</v>
      </c>
      <c r="L1769" t="str">
        <f>VLOOKUP(D1769,Products!A:F,3,FALSE())</f>
        <v>Sports</v>
      </c>
      <c r="M1769" t="str">
        <f>VLOOKUP(C1769,Customers!A:F,5,FALSE())</f>
        <v>Corporate</v>
      </c>
      <c r="O1769" t="str">
        <f>IFERROR(VLOOKUP(E1769,Sales_Reps!$A:$C,3,FALSE()),"")</f>
        <v/>
      </c>
      <c r="P1769">
        <f>IFERROR(VLOOKUP(C1769,Customers!$A:$C,3,FALSE()),"")</f>
        <v>55</v>
      </c>
      <c r="Q1769" t="str">
        <f t="shared" si="27"/>
        <v>Jun-24</v>
      </c>
      <c r="R1769">
        <f>IFERROR((VLOOKUP(D1769,Products!$A:$E,5,FALSE())-VLOOKUP(D1769,Products!$A:$E,4,FALSE()))/VLOOKUP(D1769,Products!$A:$E,5,FALSE()),"")</f>
        <v>0.59416666666666662</v>
      </c>
    </row>
    <row r="1770" spans="1:18" x14ac:dyDescent="0.3">
      <c r="A1770" s="22" t="s">
        <v>4023</v>
      </c>
      <c r="B1770" s="23">
        <v>45609</v>
      </c>
      <c r="C1770" s="22" t="s">
        <v>514</v>
      </c>
      <c r="D1770" s="22" t="s">
        <v>231</v>
      </c>
      <c r="E1770" s="22" t="s">
        <v>4024</v>
      </c>
      <c r="F1770" s="24">
        <v>3</v>
      </c>
      <c r="G1770" s="24">
        <v>2760</v>
      </c>
      <c r="H1770" s="24">
        <v>2.4</v>
      </c>
      <c r="I1770" s="24">
        <v>8081.28</v>
      </c>
      <c r="J1770" s="22" t="s">
        <v>104</v>
      </c>
      <c r="K1770" s="22" t="s">
        <v>134</v>
      </c>
      <c r="L1770" t="str">
        <f>VLOOKUP(D1770,Products!A:F,3,FALSE())</f>
        <v>Grocery</v>
      </c>
      <c r="M1770" t="str">
        <f>VLOOKUP(C1770,Customers!A:F,5,FALSE())</f>
        <v>Retail</v>
      </c>
      <c r="O1770" t="str">
        <f>IFERROR(VLOOKUP(E1770,Sales_Reps!$A:$C,3,FALSE()),"")</f>
        <v/>
      </c>
      <c r="P1770">
        <f>IFERROR(VLOOKUP(C1770,Customers!$A:$C,3,FALSE()),"")</f>
        <v>59</v>
      </c>
      <c r="Q1770" t="str">
        <f t="shared" si="27"/>
        <v>Nov-24</v>
      </c>
      <c r="R1770">
        <f>IFERROR((VLOOKUP(D1770,Products!$A:$E,5,FALSE())-VLOOKUP(D1770,Products!$A:$E,4,FALSE()))/VLOOKUP(D1770,Products!$A:$E,5,FALSE()),"")</f>
        <v>0.48007246376811596</v>
      </c>
    </row>
    <row r="1771" spans="1:18" x14ac:dyDescent="0.3">
      <c r="A1771" s="22" t="s">
        <v>950</v>
      </c>
      <c r="B1771" s="23">
        <v>45548</v>
      </c>
      <c r="C1771" s="22" t="s">
        <v>240</v>
      </c>
      <c r="D1771" s="22" t="s">
        <v>114</v>
      </c>
      <c r="E1771" s="22" t="s">
        <v>4025</v>
      </c>
      <c r="F1771" s="24">
        <v>8</v>
      </c>
      <c r="G1771" s="24">
        <v>470</v>
      </c>
      <c r="H1771" s="24">
        <v>24.8</v>
      </c>
      <c r="I1771" s="24">
        <v>2827.52</v>
      </c>
      <c r="J1771" s="22" t="s">
        <v>110</v>
      </c>
      <c r="K1771" s="22" t="s">
        <v>151</v>
      </c>
      <c r="L1771" t="str">
        <f>VLOOKUP(D1771,Products!A:F,3,FALSE())</f>
        <v>Sports</v>
      </c>
      <c r="M1771" t="str">
        <f>VLOOKUP(C1771,Customers!A:F,5,FALSE())</f>
        <v>Retail</v>
      </c>
      <c r="O1771" t="str">
        <f>IFERROR(VLOOKUP(E1771,Sales_Reps!$A:$C,3,FALSE()),"")</f>
        <v/>
      </c>
      <c r="P1771">
        <f>IFERROR(VLOOKUP(C1771,Customers!$A:$C,3,FALSE()),"")</f>
        <v>26</v>
      </c>
      <c r="Q1771" t="str">
        <f t="shared" si="27"/>
        <v>Sep-24</v>
      </c>
      <c r="R1771">
        <f>IFERROR((VLOOKUP(D1771,Products!$A:$E,5,FALSE())-VLOOKUP(D1771,Products!$A:$E,4,FALSE()))/VLOOKUP(D1771,Products!$A:$E,5,FALSE()),"")</f>
        <v>0.35744680851063831</v>
      </c>
    </row>
    <row r="1772" spans="1:18" x14ac:dyDescent="0.3">
      <c r="A1772" s="22" t="s">
        <v>4026</v>
      </c>
      <c r="B1772" s="23">
        <v>45633</v>
      </c>
      <c r="C1772" s="22" t="s">
        <v>838</v>
      </c>
      <c r="D1772" s="22" t="s">
        <v>114</v>
      </c>
      <c r="E1772" s="22" t="s">
        <v>4027</v>
      </c>
      <c r="F1772" s="24">
        <v>3</v>
      </c>
      <c r="G1772" s="24">
        <v>470</v>
      </c>
      <c r="H1772" s="24">
        <v>18.600000000000001</v>
      </c>
      <c r="I1772" s="24">
        <v>1147.74</v>
      </c>
      <c r="J1772" s="22" t="s">
        <v>104</v>
      </c>
      <c r="K1772" s="22" t="s">
        <v>111</v>
      </c>
      <c r="L1772" t="str">
        <f>VLOOKUP(D1772,Products!A:F,3,FALSE())</f>
        <v>Sports</v>
      </c>
      <c r="M1772" t="str">
        <f>VLOOKUP(C1772,Customers!A:F,5,FALSE())</f>
        <v>Retail</v>
      </c>
      <c r="O1772" t="str">
        <f>IFERROR(VLOOKUP(E1772,Sales_Reps!$A:$C,3,FALSE()),"")</f>
        <v/>
      </c>
      <c r="P1772">
        <f>IFERROR(VLOOKUP(C1772,Customers!$A:$C,3,FALSE()),"")</f>
        <v>61</v>
      </c>
      <c r="Q1772" t="str">
        <f t="shared" si="27"/>
        <v>Dec-24</v>
      </c>
      <c r="R1772">
        <f>IFERROR((VLOOKUP(D1772,Products!$A:$E,5,FALSE())-VLOOKUP(D1772,Products!$A:$E,4,FALSE()))/VLOOKUP(D1772,Products!$A:$E,5,FALSE()),"")</f>
        <v>0.35744680851063831</v>
      </c>
    </row>
    <row r="1773" spans="1:18" x14ac:dyDescent="0.3">
      <c r="A1773" s="22" t="s">
        <v>4028</v>
      </c>
      <c r="B1773" s="23">
        <v>45580</v>
      </c>
      <c r="C1773" s="22" t="s">
        <v>682</v>
      </c>
      <c r="D1773" s="22" t="s">
        <v>127</v>
      </c>
      <c r="E1773" s="22" t="s">
        <v>4029</v>
      </c>
      <c r="F1773" s="24">
        <v>2</v>
      </c>
      <c r="G1773" s="24">
        <v>370</v>
      </c>
      <c r="H1773" s="24">
        <v>24</v>
      </c>
      <c r="I1773" s="24">
        <v>562.4</v>
      </c>
      <c r="J1773" s="22" t="s">
        <v>104</v>
      </c>
      <c r="K1773" s="22" t="s">
        <v>105</v>
      </c>
      <c r="L1773" t="str">
        <f>VLOOKUP(D1773,Products!A:F,3,FALSE())</f>
        <v>Home</v>
      </c>
      <c r="M1773" t="str">
        <f>VLOOKUP(C1773,Customers!A:F,5,FALSE())</f>
        <v>Retail</v>
      </c>
      <c r="O1773" t="str">
        <f>IFERROR(VLOOKUP(E1773,Sales_Reps!$A:$C,3,FALSE()),"")</f>
        <v/>
      </c>
      <c r="P1773">
        <f>IFERROR(VLOOKUP(C1773,Customers!$A:$C,3,FALSE()),"")</f>
        <v>59</v>
      </c>
      <c r="Q1773" t="str">
        <f t="shared" si="27"/>
        <v>Oct-24</v>
      </c>
      <c r="R1773">
        <f>IFERROR((VLOOKUP(D1773,Products!$A:$E,5,FALSE())-VLOOKUP(D1773,Products!$A:$E,4,FALSE()))/VLOOKUP(D1773,Products!$A:$E,5,FALSE()),"")</f>
        <v>0.22162162162162163</v>
      </c>
    </row>
    <row r="1774" spans="1:18" x14ac:dyDescent="0.3">
      <c r="A1774" s="22" t="s">
        <v>4030</v>
      </c>
      <c r="B1774" s="23">
        <v>45329</v>
      </c>
      <c r="C1774" s="22" t="s">
        <v>1984</v>
      </c>
      <c r="D1774" s="22" t="s">
        <v>419</v>
      </c>
      <c r="E1774" s="22" t="s">
        <v>4031</v>
      </c>
      <c r="F1774" s="24">
        <v>6</v>
      </c>
      <c r="G1774" s="24">
        <v>2210</v>
      </c>
      <c r="H1774" s="24">
        <v>28.3</v>
      </c>
      <c r="I1774" s="24">
        <v>9507.42</v>
      </c>
      <c r="J1774" s="22" t="s">
        <v>159</v>
      </c>
      <c r="K1774" s="22" t="s">
        <v>129</v>
      </c>
      <c r="L1774" t="str">
        <f>VLOOKUP(D1774,Products!A:F,3,FALSE())</f>
        <v>Grocery</v>
      </c>
      <c r="M1774" t="str">
        <f>VLOOKUP(C1774,Customers!A:F,5,FALSE())</f>
        <v>Retail</v>
      </c>
      <c r="O1774" t="str">
        <f>IFERROR(VLOOKUP(E1774,Sales_Reps!$A:$C,3,FALSE()),"")</f>
        <v/>
      </c>
      <c r="P1774">
        <f>IFERROR(VLOOKUP(C1774,Customers!$A:$C,3,FALSE()),"")</f>
        <v>29</v>
      </c>
      <c r="Q1774" t="str">
        <f t="shared" si="27"/>
        <v>Feb-24</v>
      </c>
      <c r="R1774">
        <f>IFERROR((VLOOKUP(D1774,Products!$A:$E,5,FALSE())-VLOOKUP(D1774,Products!$A:$E,4,FALSE()))/VLOOKUP(D1774,Products!$A:$E,5,FALSE()),"")</f>
        <v>0.54298642533936647</v>
      </c>
    </row>
    <row r="1775" spans="1:18" x14ac:dyDescent="0.3">
      <c r="A1775" s="22" t="s">
        <v>4032</v>
      </c>
      <c r="B1775" s="23">
        <v>45549</v>
      </c>
      <c r="C1775" s="22" t="s">
        <v>769</v>
      </c>
      <c r="D1775" s="22" t="s">
        <v>695</v>
      </c>
      <c r="E1775" s="22" t="s">
        <v>4033</v>
      </c>
      <c r="F1775" s="24">
        <v>3</v>
      </c>
      <c r="G1775" s="24">
        <v>6940</v>
      </c>
      <c r="H1775" s="24">
        <v>27.2</v>
      </c>
      <c r="I1775" s="24">
        <v>15156.96</v>
      </c>
      <c r="J1775" s="22" t="s">
        <v>164</v>
      </c>
      <c r="K1775" s="22" t="s">
        <v>151</v>
      </c>
      <c r="L1775" t="str">
        <f>VLOOKUP(D1775,Products!A:F,3,FALSE())</f>
        <v>Sports</v>
      </c>
      <c r="M1775" t="str">
        <f>VLOOKUP(C1775,Customers!A:F,5,FALSE())</f>
        <v>SMB</v>
      </c>
      <c r="O1775" t="str">
        <f>IFERROR(VLOOKUP(E1775,Sales_Reps!$A:$C,3,FALSE()),"")</f>
        <v/>
      </c>
      <c r="P1775">
        <f>IFERROR(VLOOKUP(C1775,Customers!$A:$C,3,FALSE()),"")</f>
        <v>43</v>
      </c>
      <c r="Q1775" t="str">
        <f t="shared" si="27"/>
        <v>Sep-24</v>
      </c>
      <c r="R1775">
        <f>IFERROR((VLOOKUP(D1775,Products!$A:$E,5,FALSE())-VLOOKUP(D1775,Products!$A:$E,4,FALSE()))/VLOOKUP(D1775,Products!$A:$E,5,FALSE()),"")</f>
        <v>0.5926512968299712</v>
      </c>
    </row>
    <row r="1776" spans="1:18" x14ac:dyDescent="0.3">
      <c r="A1776" s="22" t="s">
        <v>4034</v>
      </c>
      <c r="B1776" s="23">
        <v>45423</v>
      </c>
      <c r="C1776" s="22" t="s">
        <v>1442</v>
      </c>
      <c r="D1776" s="22" t="s">
        <v>356</v>
      </c>
      <c r="E1776" s="22" t="s">
        <v>4035</v>
      </c>
      <c r="F1776" s="24">
        <v>10</v>
      </c>
      <c r="G1776" s="24">
        <v>2030</v>
      </c>
      <c r="H1776" s="24">
        <v>25.6</v>
      </c>
      <c r="I1776" s="24">
        <v>15103.2</v>
      </c>
      <c r="J1776" s="22" t="s">
        <v>104</v>
      </c>
      <c r="K1776" s="22" t="s">
        <v>105</v>
      </c>
      <c r="L1776" t="str">
        <f>VLOOKUP(D1776,Products!A:F,3,FALSE())</f>
        <v>Home</v>
      </c>
      <c r="M1776" t="str">
        <f>VLOOKUP(C1776,Customers!A:F,5,FALSE())</f>
        <v>Retail</v>
      </c>
      <c r="O1776" t="str">
        <f>IFERROR(VLOOKUP(E1776,Sales_Reps!$A:$C,3,FALSE()),"")</f>
        <v/>
      </c>
      <c r="P1776">
        <f>IFERROR(VLOOKUP(C1776,Customers!$A:$C,3,FALSE()),"")</f>
        <v>54</v>
      </c>
      <c r="Q1776" t="str">
        <f t="shared" si="27"/>
        <v>May-24</v>
      </c>
      <c r="R1776">
        <f>IFERROR((VLOOKUP(D1776,Products!$A:$E,5,FALSE())-VLOOKUP(D1776,Products!$A:$E,4,FALSE()))/VLOOKUP(D1776,Products!$A:$E,5,FALSE()),"")</f>
        <v>0.43694581280788175</v>
      </c>
    </row>
    <row r="1777" spans="1:18" x14ac:dyDescent="0.3">
      <c r="A1777" s="22" t="s">
        <v>4036</v>
      </c>
      <c r="B1777" s="23">
        <v>45533</v>
      </c>
      <c r="C1777" s="22" t="s">
        <v>1442</v>
      </c>
      <c r="D1777" s="22" t="s">
        <v>209</v>
      </c>
      <c r="E1777" s="22" t="s">
        <v>4037</v>
      </c>
      <c r="F1777" s="24">
        <v>9</v>
      </c>
      <c r="G1777" s="24">
        <v>1010</v>
      </c>
      <c r="H1777" s="24">
        <v>9.3000000000000007</v>
      </c>
      <c r="I1777" s="24">
        <v>8244.6299999999992</v>
      </c>
      <c r="J1777" s="22" t="s">
        <v>104</v>
      </c>
      <c r="K1777" s="22" t="s">
        <v>105</v>
      </c>
      <c r="L1777" t="str">
        <f>VLOOKUP(D1777,Products!A:F,3,FALSE())</f>
        <v>Sports</v>
      </c>
      <c r="M1777" t="str">
        <f>VLOOKUP(C1777,Customers!A:F,5,FALSE())</f>
        <v>Retail</v>
      </c>
      <c r="O1777" t="str">
        <f>IFERROR(VLOOKUP(E1777,Sales_Reps!$A:$C,3,FALSE()),"")</f>
        <v/>
      </c>
      <c r="P1777">
        <f>IFERROR(VLOOKUP(C1777,Customers!$A:$C,3,FALSE()),"")</f>
        <v>54</v>
      </c>
      <c r="Q1777" t="str">
        <f t="shared" si="27"/>
        <v>Aug-24</v>
      </c>
      <c r="R1777">
        <f>IFERROR((VLOOKUP(D1777,Products!$A:$E,5,FALSE())-VLOOKUP(D1777,Products!$A:$E,4,FALSE()))/VLOOKUP(D1777,Products!$A:$E,5,FALSE()),"")</f>
        <v>0.4891089108910891</v>
      </c>
    </row>
    <row r="1778" spans="1:18" x14ac:dyDescent="0.3">
      <c r="A1778" s="22" t="s">
        <v>4038</v>
      </c>
      <c r="B1778" s="23">
        <v>45571</v>
      </c>
      <c r="C1778" s="22" t="s">
        <v>403</v>
      </c>
      <c r="D1778" s="22" t="s">
        <v>442</v>
      </c>
      <c r="E1778" s="22" t="s">
        <v>4039</v>
      </c>
      <c r="F1778" s="24">
        <v>5</v>
      </c>
      <c r="G1778" s="24">
        <v>2510</v>
      </c>
      <c r="H1778" s="24">
        <v>22.2</v>
      </c>
      <c r="I1778" s="24">
        <v>9763.9</v>
      </c>
      <c r="J1778" s="22" t="s">
        <v>104</v>
      </c>
      <c r="K1778" s="22" t="s">
        <v>111</v>
      </c>
      <c r="L1778" t="str">
        <f>VLOOKUP(D1778,Products!A:F,3,FALSE())</f>
        <v>Apparel</v>
      </c>
      <c r="M1778" t="str">
        <f>VLOOKUP(C1778,Customers!A:F,5,FALSE())</f>
        <v>Retail</v>
      </c>
      <c r="O1778" t="str">
        <f>IFERROR(VLOOKUP(E1778,Sales_Reps!$A:$C,3,FALSE()),"")</f>
        <v/>
      </c>
      <c r="P1778">
        <f>IFERROR(VLOOKUP(C1778,Customers!$A:$C,3,FALSE()),"")</f>
        <v>28</v>
      </c>
      <c r="Q1778" t="str">
        <f t="shared" si="27"/>
        <v>Oct-24</v>
      </c>
      <c r="R1778">
        <f>IFERROR((VLOOKUP(D1778,Products!$A:$E,5,FALSE())-VLOOKUP(D1778,Products!$A:$E,4,FALSE()))/VLOOKUP(D1778,Products!$A:$E,5,FALSE()),"")</f>
        <v>0.57171314741035861</v>
      </c>
    </row>
    <row r="1779" spans="1:18" x14ac:dyDescent="0.3">
      <c r="A1779" s="22" t="s">
        <v>4040</v>
      </c>
      <c r="B1779" s="23">
        <v>45441</v>
      </c>
      <c r="C1779" s="22" t="s">
        <v>1109</v>
      </c>
      <c r="D1779" s="22" t="s">
        <v>127</v>
      </c>
      <c r="E1779" s="22" t="s">
        <v>4041</v>
      </c>
      <c r="F1779" s="24">
        <v>10</v>
      </c>
      <c r="G1779" s="24">
        <v>370</v>
      </c>
      <c r="H1779" s="24">
        <v>29</v>
      </c>
      <c r="I1779" s="24">
        <v>2627</v>
      </c>
      <c r="J1779" s="22" t="s">
        <v>104</v>
      </c>
      <c r="K1779" s="22" t="s">
        <v>134</v>
      </c>
      <c r="L1779" t="str">
        <f>VLOOKUP(D1779,Products!A:F,3,FALSE())</f>
        <v>Home</v>
      </c>
      <c r="M1779" t="str">
        <f>VLOOKUP(C1779,Customers!A:F,5,FALSE())</f>
        <v>Retail</v>
      </c>
      <c r="O1779" t="str">
        <f>IFERROR(VLOOKUP(E1779,Sales_Reps!$A:$C,3,FALSE()),"")</f>
        <v/>
      </c>
      <c r="P1779">
        <f>IFERROR(VLOOKUP(C1779,Customers!$A:$C,3,FALSE()),"")</f>
        <v>29</v>
      </c>
      <c r="Q1779" t="str">
        <f t="shared" si="27"/>
        <v>May-24</v>
      </c>
      <c r="R1779">
        <f>IFERROR((VLOOKUP(D1779,Products!$A:$E,5,FALSE())-VLOOKUP(D1779,Products!$A:$E,4,FALSE()))/VLOOKUP(D1779,Products!$A:$E,5,FALSE()),"")</f>
        <v>0.22162162162162163</v>
      </c>
    </row>
    <row r="1780" spans="1:18" x14ac:dyDescent="0.3">
      <c r="A1780" s="22" t="s">
        <v>4042</v>
      </c>
      <c r="B1780" s="23">
        <v>45403</v>
      </c>
      <c r="C1780" s="22" t="s">
        <v>742</v>
      </c>
      <c r="D1780" s="22" t="s">
        <v>190</v>
      </c>
      <c r="E1780" s="22" t="s">
        <v>4043</v>
      </c>
      <c r="F1780" s="24">
        <v>3</v>
      </c>
      <c r="G1780" s="24">
        <v>2480</v>
      </c>
      <c r="H1780" s="24">
        <v>9.6</v>
      </c>
      <c r="I1780" s="24">
        <v>6725.76</v>
      </c>
      <c r="J1780" s="22" t="s">
        <v>104</v>
      </c>
      <c r="K1780" s="22" t="s">
        <v>151</v>
      </c>
      <c r="L1780" t="str">
        <f>VLOOKUP(D1780,Products!A:F,3,FALSE())</f>
        <v>Apparel</v>
      </c>
      <c r="M1780" t="str">
        <f>VLOOKUP(C1780,Customers!A:F,5,FALSE())</f>
        <v>Retail</v>
      </c>
      <c r="O1780" t="str">
        <f>IFERROR(VLOOKUP(E1780,Sales_Reps!$A:$C,3,FALSE()),"")</f>
        <v/>
      </c>
      <c r="P1780">
        <f>IFERROR(VLOOKUP(C1780,Customers!$A:$C,3,FALSE()),"")</f>
        <v>25</v>
      </c>
      <c r="Q1780" t="str">
        <f t="shared" si="27"/>
        <v>Apr-24</v>
      </c>
      <c r="R1780">
        <f>IFERROR((VLOOKUP(D1780,Products!$A:$E,5,FALSE())-VLOOKUP(D1780,Products!$A:$E,4,FALSE()))/VLOOKUP(D1780,Products!$A:$E,5,FALSE()),"")</f>
        <v>0.52701612903225803</v>
      </c>
    </row>
    <row r="1781" spans="1:18" x14ac:dyDescent="0.3">
      <c r="A1781" s="22" t="s">
        <v>4044</v>
      </c>
      <c r="B1781" s="23">
        <v>45644</v>
      </c>
      <c r="C1781" s="22" t="s">
        <v>1172</v>
      </c>
      <c r="D1781" s="22" t="s">
        <v>153</v>
      </c>
      <c r="E1781" s="22" t="s">
        <v>4045</v>
      </c>
      <c r="F1781" s="24">
        <v>3</v>
      </c>
      <c r="G1781" s="24">
        <v>2640</v>
      </c>
      <c r="H1781" s="24">
        <v>10.199999999999999</v>
      </c>
      <c r="I1781" s="24">
        <v>7112.16</v>
      </c>
      <c r="J1781" s="22" t="s">
        <v>159</v>
      </c>
      <c r="K1781" s="22" t="s">
        <v>111</v>
      </c>
      <c r="L1781" t="str">
        <f>VLOOKUP(D1781,Products!A:F,3,FALSE())</f>
        <v>Electronics</v>
      </c>
      <c r="M1781" t="str">
        <f>VLOOKUP(C1781,Customers!A:F,5,FALSE())</f>
        <v>Retail</v>
      </c>
      <c r="O1781" t="str">
        <f>IFERROR(VLOOKUP(E1781,Sales_Reps!$A:$C,3,FALSE()),"")</f>
        <v/>
      </c>
      <c r="P1781">
        <f>IFERROR(VLOOKUP(C1781,Customers!$A:$C,3,FALSE()),"")</f>
        <v>22</v>
      </c>
      <c r="Q1781" t="str">
        <f t="shared" si="27"/>
        <v>Dec-24</v>
      </c>
      <c r="R1781">
        <f>IFERROR((VLOOKUP(D1781,Products!$A:$E,5,FALSE())-VLOOKUP(D1781,Products!$A:$E,4,FALSE()))/VLOOKUP(D1781,Products!$A:$E,5,FALSE()),"")</f>
        <v>0.56477272727272732</v>
      </c>
    </row>
    <row r="1782" spans="1:18" x14ac:dyDescent="0.3">
      <c r="A1782" s="22" t="s">
        <v>4046</v>
      </c>
      <c r="B1782" s="23">
        <v>45504</v>
      </c>
      <c r="C1782" s="22" t="s">
        <v>2501</v>
      </c>
      <c r="D1782" s="22" t="s">
        <v>674</v>
      </c>
      <c r="E1782" s="22" t="s">
        <v>4047</v>
      </c>
      <c r="F1782" s="24">
        <v>1</v>
      </c>
      <c r="G1782" s="24">
        <v>1090</v>
      </c>
      <c r="H1782" s="24">
        <v>21.6</v>
      </c>
      <c r="I1782" s="24">
        <v>854.56</v>
      </c>
      <c r="J1782" s="22" t="s">
        <v>159</v>
      </c>
      <c r="K1782" s="22" t="s">
        <v>111</v>
      </c>
      <c r="L1782" t="str">
        <f>VLOOKUP(D1782,Products!A:F,3,FALSE())</f>
        <v>Home</v>
      </c>
      <c r="M1782" t="str">
        <f>VLOOKUP(C1782,Customers!A:F,5,FALSE())</f>
        <v>Retail</v>
      </c>
      <c r="O1782" t="str">
        <f>IFERROR(VLOOKUP(E1782,Sales_Reps!$A:$C,3,FALSE()),"")</f>
        <v/>
      </c>
      <c r="P1782">
        <f>IFERROR(VLOOKUP(C1782,Customers!$A:$C,3,FALSE()),"")</f>
        <v>26</v>
      </c>
      <c r="Q1782" t="str">
        <f t="shared" si="27"/>
        <v>Jul-24</v>
      </c>
      <c r="R1782">
        <f>IFERROR((VLOOKUP(D1782,Products!$A:$E,5,FALSE())-VLOOKUP(D1782,Products!$A:$E,4,FALSE()))/VLOOKUP(D1782,Products!$A:$E,5,FALSE()),"")</f>
        <v>0.57431192660550456</v>
      </c>
    </row>
    <row r="1783" spans="1:18" x14ac:dyDescent="0.3">
      <c r="A1783" s="22" t="s">
        <v>4048</v>
      </c>
      <c r="B1783" s="23">
        <v>45606</v>
      </c>
      <c r="C1783" s="22" t="s">
        <v>2207</v>
      </c>
      <c r="D1783" s="22" t="s">
        <v>205</v>
      </c>
      <c r="E1783" s="22" t="s">
        <v>4049</v>
      </c>
      <c r="F1783" s="24">
        <v>10</v>
      </c>
      <c r="G1783" s="24">
        <v>3350</v>
      </c>
      <c r="H1783" s="24">
        <v>12.1</v>
      </c>
      <c r="I1783" s="24">
        <v>29446.5</v>
      </c>
      <c r="J1783" s="22" t="s">
        <v>104</v>
      </c>
      <c r="K1783" s="22" t="s">
        <v>129</v>
      </c>
      <c r="L1783" t="str">
        <f>VLOOKUP(D1783,Products!A:F,3,FALSE())</f>
        <v>Beauty</v>
      </c>
      <c r="M1783" t="str">
        <f>VLOOKUP(C1783,Customers!A:F,5,FALSE())</f>
        <v>Retail</v>
      </c>
      <c r="O1783" t="str">
        <f>IFERROR(VLOOKUP(E1783,Sales_Reps!$A:$C,3,FALSE()),"")</f>
        <v/>
      </c>
      <c r="P1783">
        <f>IFERROR(VLOOKUP(C1783,Customers!$A:$C,3,FALSE()),"")</f>
        <v>38</v>
      </c>
      <c r="Q1783" t="str">
        <f t="shared" si="27"/>
        <v>Nov-24</v>
      </c>
      <c r="R1783">
        <f>IFERROR((VLOOKUP(D1783,Products!$A:$E,5,FALSE())-VLOOKUP(D1783,Products!$A:$E,4,FALSE()))/VLOOKUP(D1783,Products!$A:$E,5,FALSE()),"")</f>
        <v>0.48417910447761192</v>
      </c>
    </row>
    <row r="1784" spans="1:18" x14ac:dyDescent="0.3">
      <c r="A1784" s="22" t="s">
        <v>4050</v>
      </c>
      <c r="B1784" s="23">
        <v>45562</v>
      </c>
      <c r="C1784" s="22" t="s">
        <v>810</v>
      </c>
      <c r="D1784" s="22" t="s">
        <v>283</v>
      </c>
      <c r="E1784" s="22" t="s">
        <v>4051</v>
      </c>
      <c r="F1784" s="24">
        <v>4</v>
      </c>
      <c r="G1784" s="24">
        <v>6080</v>
      </c>
      <c r="H1784" s="24">
        <v>26.7</v>
      </c>
      <c r="I1784" s="24">
        <v>17826.560000000001</v>
      </c>
      <c r="J1784" s="22" t="s">
        <v>159</v>
      </c>
      <c r="K1784" s="22" t="s">
        <v>111</v>
      </c>
      <c r="L1784" t="str">
        <f>VLOOKUP(D1784,Products!A:F,3,FALSE())</f>
        <v>Beauty</v>
      </c>
      <c r="M1784" t="str">
        <f>VLOOKUP(C1784,Customers!A:F,5,FALSE())</f>
        <v>Retail</v>
      </c>
      <c r="O1784" t="str">
        <f>IFERROR(VLOOKUP(E1784,Sales_Reps!$A:$C,3,FALSE()),"")</f>
        <v/>
      </c>
      <c r="P1784">
        <f>IFERROR(VLOOKUP(C1784,Customers!$A:$C,3,FALSE()),"")</f>
        <v>26</v>
      </c>
      <c r="Q1784" t="str">
        <f t="shared" si="27"/>
        <v>Sep-24</v>
      </c>
      <c r="R1784">
        <f>IFERROR((VLOOKUP(D1784,Products!$A:$E,5,FALSE())-VLOOKUP(D1784,Products!$A:$E,4,FALSE()))/VLOOKUP(D1784,Products!$A:$E,5,FALSE()),"")</f>
        <v>0.56957236842105263</v>
      </c>
    </row>
    <row r="1785" spans="1:18" x14ac:dyDescent="0.3">
      <c r="A1785" s="22" t="s">
        <v>4052</v>
      </c>
      <c r="B1785" s="23">
        <v>45372</v>
      </c>
      <c r="C1785" s="22" t="s">
        <v>1002</v>
      </c>
      <c r="D1785" s="22" t="s">
        <v>479</v>
      </c>
      <c r="E1785" s="22" t="s">
        <v>4053</v>
      </c>
      <c r="F1785" s="24">
        <v>3</v>
      </c>
      <c r="G1785" s="24">
        <v>960</v>
      </c>
      <c r="H1785" s="24">
        <v>13.2</v>
      </c>
      <c r="I1785" s="24">
        <v>2499.84</v>
      </c>
      <c r="J1785" s="22" t="s">
        <v>104</v>
      </c>
      <c r="K1785" s="22" t="s">
        <v>151</v>
      </c>
      <c r="L1785" t="str">
        <f>VLOOKUP(D1785,Products!A:F,3,FALSE())</f>
        <v>Beauty</v>
      </c>
      <c r="M1785" t="str">
        <f>VLOOKUP(C1785,Customers!A:F,5,FALSE())</f>
        <v>Retail</v>
      </c>
      <c r="O1785" t="str">
        <f>IFERROR(VLOOKUP(E1785,Sales_Reps!$A:$C,3,FALSE()),"")</f>
        <v/>
      </c>
      <c r="P1785">
        <f>IFERROR(VLOOKUP(C1785,Customers!$A:$C,3,FALSE()),"")</f>
        <v>65</v>
      </c>
      <c r="Q1785" t="str">
        <f t="shared" si="27"/>
        <v>Mar-24</v>
      </c>
      <c r="R1785">
        <f>IFERROR((VLOOKUP(D1785,Products!$A:$E,5,FALSE())-VLOOKUP(D1785,Products!$A:$E,4,FALSE()))/VLOOKUP(D1785,Products!$A:$E,5,FALSE()),"")</f>
        <v>0.296875</v>
      </c>
    </row>
    <row r="1786" spans="1:18" x14ac:dyDescent="0.3">
      <c r="A1786" s="22" t="s">
        <v>4054</v>
      </c>
      <c r="B1786" s="23">
        <v>45610</v>
      </c>
      <c r="C1786" s="22" t="s">
        <v>772</v>
      </c>
      <c r="D1786" s="22" t="s">
        <v>119</v>
      </c>
      <c r="E1786" s="22" t="s">
        <v>4055</v>
      </c>
      <c r="F1786" s="24">
        <v>9</v>
      </c>
      <c r="G1786" s="24">
        <v>3660</v>
      </c>
      <c r="H1786" s="24">
        <v>9.3000000000000007</v>
      </c>
      <c r="I1786" s="24">
        <v>29876.58</v>
      </c>
      <c r="J1786" s="22" t="s">
        <v>159</v>
      </c>
      <c r="K1786" s="22" t="s">
        <v>105</v>
      </c>
      <c r="L1786" t="str">
        <f>VLOOKUP(D1786,Products!A:F,3,FALSE())</f>
        <v>Grocery</v>
      </c>
      <c r="M1786" t="str">
        <f>VLOOKUP(C1786,Customers!A:F,5,FALSE())</f>
        <v>SMB</v>
      </c>
      <c r="O1786" t="str">
        <f>IFERROR(VLOOKUP(E1786,Sales_Reps!$A:$C,3,FALSE()),"")</f>
        <v/>
      </c>
      <c r="P1786">
        <f>IFERROR(VLOOKUP(C1786,Customers!$A:$C,3,FALSE()),"")</f>
        <v>24</v>
      </c>
      <c r="Q1786" t="str">
        <f t="shared" si="27"/>
        <v>Nov-24</v>
      </c>
      <c r="R1786">
        <f>IFERROR((VLOOKUP(D1786,Products!$A:$E,5,FALSE())-VLOOKUP(D1786,Products!$A:$E,4,FALSE()))/VLOOKUP(D1786,Products!$A:$E,5,FALSE()),"")</f>
        <v>0.39508196721311473</v>
      </c>
    </row>
    <row r="1787" spans="1:18" x14ac:dyDescent="0.3">
      <c r="A1787" s="22" t="s">
        <v>4056</v>
      </c>
      <c r="B1787" s="23">
        <v>45388</v>
      </c>
      <c r="C1787" s="22" t="s">
        <v>517</v>
      </c>
      <c r="D1787" s="22" t="s">
        <v>178</v>
      </c>
      <c r="E1787" s="22" t="s">
        <v>4057</v>
      </c>
      <c r="F1787" s="24">
        <v>6</v>
      </c>
      <c r="G1787" s="24">
        <v>3450</v>
      </c>
      <c r="H1787" s="24">
        <v>8.1999999999999993</v>
      </c>
      <c r="I1787" s="24">
        <v>19002.599999999999</v>
      </c>
      <c r="J1787" s="22" t="s">
        <v>104</v>
      </c>
      <c r="K1787" s="22" t="s">
        <v>111</v>
      </c>
      <c r="L1787" t="str">
        <f>VLOOKUP(D1787,Products!A:F,3,FALSE())</f>
        <v>Beauty</v>
      </c>
      <c r="M1787" t="str">
        <f>VLOOKUP(C1787,Customers!A:F,5,FALSE())</f>
        <v>Corporate</v>
      </c>
      <c r="O1787" t="str">
        <f>IFERROR(VLOOKUP(E1787,Sales_Reps!$A:$C,3,FALSE()),"")</f>
        <v/>
      </c>
      <c r="P1787">
        <f>IFERROR(VLOOKUP(C1787,Customers!$A:$C,3,FALSE()),"")</f>
        <v>24</v>
      </c>
      <c r="Q1787" t="str">
        <f t="shared" si="27"/>
        <v>Apr-24</v>
      </c>
      <c r="R1787">
        <f>IFERROR((VLOOKUP(D1787,Products!$A:$E,5,FALSE())-VLOOKUP(D1787,Products!$A:$E,4,FALSE()))/VLOOKUP(D1787,Products!$A:$E,5,FALSE()),"")</f>
        <v>0.29855072463768118</v>
      </c>
    </row>
    <row r="1788" spans="1:18" x14ac:dyDescent="0.3">
      <c r="A1788" s="22" t="s">
        <v>4058</v>
      </c>
      <c r="B1788" s="23">
        <v>45421</v>
      </c>
      <c r="C1788" s="22" t="s">
        <v>960</v>
      </c>
      <c r="D1788" s="22" t="s">
        <v>323</v>
      </c>
      <c r="E1788" s="22" t="s">
        <v>4059</v>
      </c>
      <c r="F1788" s="24">
        <v>7</v>
      </c>
      <c r="G1788" s="24">
        <v>4610</v>
      </c>
      <c r="H1788" s="24">
        <v>10.4</v>
      </c>
      <c r="I1788" s="24">
        <v>28913.919999999998</v>
      </c>
      <c r="J1788" s="22" t="s">
        <v>104</v>
      </c>
      <c r="K1788" s="22" t="s">
        <v>129</v>
      </c>
      <c r="L1788" t="str">
        <f>VLOOKUP(D1788,Products!A:F,3,FALSE())</f>
        <v>Home</v>
      </c>
      <c r="M1788" t="str">
        <f>VLOOKUP(C1788,Customers!A:F,5,FALSE())</f>
        <v>Retail</v>
      </c>
      <c r="O1788" t="str">
        <f>IFERROR(VLOOKUP(E1788,Sales_Reps!$A:$C,3,FALSE()),"")</f>
        <v/>
      </c>
      <c r="P1788">
        <f>IFERROR(VLOOKUP(C1788,Customers!$A:$C,3,FALSE()),"")</f>
        <v>35</v>
      </c>
      <c r="Q1788" t="str">
        <f t="shared" si="27"/>
        <v>May-24</v>
      </c>
      <c r="R1788">
        <f>IFERROR((VLOOKUP(D1788,Products!$A:$E,5,FALSE())-VLOOKUP(D1788,Products!$A:$E,4,FALSE()))/VLOOKUP(D1788,Products!$A:$E,5,FALSE()),"")</f>
        <v>0.59869848156182215</v>
      </c>
    </row>
    <row r="1789" spans="1:18" x14ac:dyDescent="0.3">
      <c r="A1789" s="22" t="s">
        <v>4060</v>
      </c>
      <c r="B1789" s="23">
        <v>45529</v>
      </c>
      <c r="C1789" s="22" t="s">
        <v>608</v>
      </c>
      <c r="D1789" s="22" t="s">
        <v>132</v>
      </c>
      <c r="E1789" s="22" t="s">
        <v>4061</v>
      </c>
      <c r="F1789" s="24">
        <v>2</v>
      </c>
      <c r="G1789" s="24">
        <v>960</v>
      </c>
      <c r="H1789" s="24">
        <v>16.5</v>
      </c>
      <c r="I1789" s="24">
        <v>1603.2</v>
      </c>
      <c r="J1789" s="22" t="s">
        <v>104</v>
      </c>
      <c r="K1789" s="22" t="s">
        <v>134</v>
      </c>
      <c r="L1789" t="str">
        <f>VLOOKUP(D1789,Products!A:F,3,FALSE())</f>
        <v>Sports</v>
      </c>
      <c r="M1789" t="str">
        <f>VLOOKUP(C1789,Customers!A:F,5,FALSE())</f>
        <v>Retail</v>
      </c>
      <c r="O1789" t="str">
        <f>IFERROR(VLOOKUP(E1789,Sales_Reps!$A:$C,3,FALSE()),"")</f>
        <v/>
      </c>
      <c r="P1789">
        <f>IFERROR(VLOOKUP(C1789,Customers!$A:$C,3,FALSE()),"")</f>
        <v>55</v>
      </c>
      <c r="Q1789" t="str">
        <f t="shared" si="27"/>
        <v>Aug-24</v>
      </c>
      <c r="R1789">
        <f>IFERROR((VLOOKUP(D1789,Products!$A:$E,5,FALSE())-VLOOKUP(D1789,Products!$A:$E,4,FALSE()))/VLOOKUP(D1789,Products!$A:$E,5,FALSE()),"")</f>
        <v>0.265625</v>
      </c>
    </row>
    <row r="1790" spans="1:18" x14ac:dyDescent="0.3">
      <c r="A1790" s="22" t="s">
        <v>4062</v>
      </c>
      <c r="B1790" s="23">
        <v>45553</v>
      </c>
      <c r="C1790" s="22" t="s">
        <v>543</v>
      </c>
      <c r="D1790" s="22" t="s">
        <v>127</v>
      </c>
      <c r="E1790" s="22" t="s">
        <v>4063</v>
      </c>
      <c r="F1790" s="24">
        <v>7</v>
      </c>
      <c r="G1790" s="24">
        <v>370</v>
      </c>
      <c r="H1790" s="24">
        <v>1.4</v>
      </c>
      <c r="I1790" s="24">
        <v>2553.7399999999998</v>
      </c>
      <c r="J1790" s="22" t="s">
        <v>164</v>
      </c>
      <c r="K1790" s="22" t="s">
        <v>111</v>
      </c>
      <c r="L1790" t="str">
        <f>VLOOKUP(D1790,Products!A:F,3,FALSE())</f>
        <v>Home</v>
      </c>
      <c r="M1790" t="str">
        <f>VLOOKUP(C1790,Customers!A:F,5,FALSE())</f>
        <v>SMB</v>
      </c>
      <c r="O1790" t="str">
        <f>IFERROR(VLOOKUP(E1790,Sales_Reps!$A:$C,3,FALSE()),"")</f>
        <v/>
      </c>
      <c r="P1790">
        <f>IFERROR(VLOOKUP(C1790,Customers!$A:$C,3,FALSE()),"")</f>
        <v>64</v>
      </c>
      <c r="Q1790" t="str">
        <f t="shared" si="27"/>
        <v>Sep-24</v>
      </c>
      <c r="R1790">
        <f>IFERROR((VLOOKUP(D1790,Products!$A:$E,5,FALSE())-VLOOKUP(D1790,Products!$A:$E,4,FALSE()))/VLOOKUP(D1790,Products!$A:$E,5,FALSE()),"")</f>
        <v>0.22162162162162163</v>
      </c>
    </row>
    <row r="1791" spans="1:18" x14ac:dyDescent="0.3">
      <c r="A1791" s="22" t="s">
        <v>4064</v>
      </c>
      <c r="B1791" s="23">
        <v>45535</v>
      </c>
      <c r="C1791" s="22" t="s">
        <v>868</v>
      </c>
      <c r="D1791" s="22" t="s">
        <v>149</v>
      </c>
      <c r="E1791" s="22" t="s">
        <v>4065</v>
      </c>
      <c r="F1791" s="24">
        <v>3</v>
      </c>
      <c r="G1791" s="24">
        <v>2270</v>
      </c>
      <c r="H1791" s="24">
        <v>12.6</v>
      </c>
      <c r="I1791" s="24">
        <v>5951.94</v>
      </c>
      <c r="J1791" s="22" t="s">
        <v>104</v>
      </c>
      <c r="K1791" s="22" t="s">
        <v>111</v>
      </c>
      <c r="L1791" t="str">
        <f>VLOOKUP(D1791,Products!A:F,3,FALSE())</f>
        <v>Grocery</v>
      </c>
      <c r="M1791" t="str">
        <f>VLOOKUP(C1791,Customers!A:F,5,FALSE())</f>
        <v>Corporate</v>
      </c>
      <c r="O1791" t="str">
        <f>IFERROR(VLOOKUP(E1791,Sales_Reps!$A:$C,3,FALSE()),"")</f>
        <v/>
      </c>
      <c r="P1791">
        <f>IFERROR(VLOOKUP(C1791,Customers!$A:$C,3,FALSE()),"")</f>
        <v>22</v>
      </c>
      <c r="Q1791" t="str">
        <f t="shared" si="27"/>
        <v>Aug-24</v>
      </c>
      <c r="R1791">
        <f>IFERROR((VLOOKUP(D1791,Products!$A:$E,5,FALSE())-VLOOKUP(D1791,Products!$A:$E,4,FALSE()))/VLOOKUP(D1791,Products!$A:$E,5,FALSE()),"")</f>
        <v>0.47004405286343615</v>
      </c>
    </row>
    <row r="1792" spans="1:18" x14ac:dyDescent="0.3">
      <c r="A1792" s="22" t="s">
        <v>885</v>
      </c>
      <c r="B1792" s="23">
        <v>45301</v>
      </c>
      <c r="C1792" s="22" t="s">
        <v>2222</v>
      </c>
      <c r="D1792" s="22" t="s">
        <v>162</v>
      </c>
      <c r="E1792" s="22" t="s">
        <v>4066</v>
      </c>
      <c r="F1792" s="24">
        <v>1</v>
      </c>
      <c r="G1792" s="24">
        <v>3250</v>
      </c>
      <c r="H1792" s="24">
        <v>17.8</v>
      </c>
      <c r="I1792" s="24">
        <v>2671.5</v>
      </c>
      <c r="J1792" s="22" t="s">
        <v>104</v>
      </c>
      <c r="K1792" s="22" t="s">
        <v>129</v>
      </c>
      <c r="L1792" t="str">
        <f>VLOOKUP(D1792,Products!A:F,3,FALSE())</f>
        <v>Home</v>
      </c>
      <c r="M1792" t="str">
        <f>VLOOKUP(C1792,Customers!A:F,5,FALSE())</f>
        <v>Corporate</v>
      </c>
      <c r="O1792" t="str">
        <f>IFERROR(VLOOKUP(E1792,Sales_Reps!$A:$C,3,FALSE()),"")</f>
        <v/>
      </c>
      <c r="P1792">
        <f>IFERROR(VLOOKUP(C1792,Customers!$A:$C,3,FALSE()),"")</f>
        <v>42</v>
      </c>
      <c r="Q1792" t="str">
        <f t="shared" si="27"/>
        <v>Jan-24</v>
      </c>
      <c r="R1792">
        <f>IFERROR((VLOOKUP(D1792,Products!$A:$E,5,FALSE())-VLOOKUP(D1792,Products!$A:$E,4,FALSE()))/VLOOKUP(D1792,Products!$A:$E,5,FALSE()),"")</f>
        <v>0.52123076923076928</v>
      </c>
    </row>
    <row r="1793" spans="1:18" x14ac:dyDescent="0.3">
      <c r="A1793" s="22" t="s">
        <v>4067</v>
      </c>
      <c r="B1793" s="23">
        <v>45404</v>
      </c>
      <c r="C1793" s="22" t="s">
        <v>3246</v>
      </c>
      <c r="D1793" s="22" t="s">
        <v>352</v>
      </c>
      <c r="E1793" s="22" t="s">
        <v>4068</v>
      </c>
      <c r="F1793" s="24">
        <v>5</v>
      </c>
      <c r="G1793" s="24">
        <v>620</v>
      </c>
      <c r="H1793" s="24">
        <v>19.399999999999999</v>
      </c>
      <c r="I1793" s="24">
        <v>2498.6</v>
      </c>
      <c r="J1793" s="22" t="s">
        <v>110</v>
      </c>
      <c r="K1793" s="22" t="s">
        <v>111</v>
      </c>
      <c r="L1793" t="str">
        <f>VLOOKUP(D1793,Products!A:F,3,FALSE())</f>
        <v>Apparel</v>
      </c>
      <c r="M1793" t="str">
        <f>VLOOKUP(C1793,Customers!A:F,5,FALSE())</f>
        <v>Corporate</v>
      </c>
      <c r="O1793" t="str">
        <f>IFERROR(VLOOKUP(E1793,Sales_Reps!$A:$C,3,FALSE()),"")</f>
        <v/>
      </c>
      <c r="P1793">
        <f>IFERROR(VLOOKUP(C1793,Customers!$A:$C,3,FALSE()),"")</f>
        <v>54</v>
      </c>
      <c r="Q1793" t="str">
        <f t="shared" si="27"/>
        <v>Apr-24</v>
      </c>
      <c r="R1793">
        <f>IFERROR((VLOOKUP(D1793,Products!$A:$E,5,FALSE())-VLOOKUP(D1793,Products!$A:$E,4,FALSE()))/VLOOKUP(D1793,Products!$A:$E,5,FALSE()),"")</f>
        <v>0.36129032258064514</v>
      </c>
    </row>
    <row r="1794" spans="1:18" x14ac:dyDescent="0.3">
      <c r="A1794" s="22" t="s">
        <v>4069</v>
      </c>
      <c r="B1794" s="23">
        <v>45600</v>
      </c>
      <c r="C1794" s="22" t="s">
        <v>494</v>
      </c>
      <c r="D1794" s="22" t="s">
        <v>334</v>
      </c>
      <c r="E1794" s="22" t="s">
        <v>4070</v>
      </c>
      <c r="F1794" s="24">
        <v>6</v>
      </c>
      <c r="G1794" s="24">
        <v>2660</v>
      </c>
      <c r="H1794" s="24">
        <v>14.9</v>
      </c>
      <c r="I1794" s="24">
        <v>13581.96</v>
      </c>
      <c r="J1794" s="22" t="s">
        <v>104</v>
      </c>
      <c r="K1794" s="22" t="s">
        <v>105</v>
      </c>
      <c r="L1794" t="str">
        <f>VLOOKUP(D1794,Products!A:F,3,FALSE())</f>
        <v>Electronics</v>
      </c>
      <c r="M1794" t="str">
        <f>VLOOKUP(C1794,Customers!A:F,5,FALSE())</f>
        <v>SMB</v>
      </c>
      <c r="O1794" t="str">
        <f>IFERROR(VLOOKUP(E1794,Sales_Reps!$A:$C,3,FALSE()),"")</f>
        <v/>
      </c>
      <c r="P1794">
        <f>IFERROR(VLOOKUP(C1794,Customers!$A:$C,3,FALSE()),"")</f>
        <v>54</v>
      </c>
      <c r="Q1794" t="str">
        <f t="shared" ref="Q1794:Q1857" si="28">TEXT(B1794,"mmm-yy")</f>
        <v>Nov-24</v>
      </c>
      <c r="R1794">
        <f>IFERROR((VLOOKUP(D1794,Products!$A:$E,5,FALSE())-VLOOKUP(D1794,Products!$A:$E,4,FALSE()))/VLOOKUP(D1794,Products!$A:$E,5,FALSE()),"")</f>
        <v>0.52669172932330832</v>
      </c>
    </row>
    <row r="1795" spans="1:18" x14ac:dyDescent="0.3">
      <c r="A1795" s="22" t="s">
        <v>4071</v>
      </c>
      <c r="B1795" s="23">
        <v>45526</v>
      </c>
      <c r="C1795" s="22" t="s">
        <v>1306</v>
      </c>
      <c r="D1795" s="22" t="s">
        <v>102</v>
      </c>
      <c r="E1795" s="22" t="s">
        <v>4072</v>
      </c>
      <c r="F1795" s="24">
        <v>5</v>
      </c>
      <c r="G1795" s="24">
        <v>3620</v>
      </c>
      <c r="H1795" s="24">
        <v>21</v>
      </c>
      <c r="I1795" s="24">
        <v>14299</v>
      </c>
      <c r="J1795" s="22" t="s">
        <v>159</v>
      </c>
      <c r="K1795" s="22" t="s">
        <v>134</v>
      </c>
      <c r="L1795" t="str">
        <f>VLOOKUP(D1795,Products!A:F,3,FALSE())</f>
        <v>Apparel</v>
      </c>
      <c r="M1795" t="str">
        <f>VLOOKUP(C1795,Customers!A:F,5,FALSE())</f>
        <v>Retail</v>
      </c>
      <c r="O1795" t="str">
        <f>IFERROR(VLOOKUP(E1795,Sales_Reps!$A:$C,3,FALSE()),"")</f>
        <v/>
      </c>
      <c r="P1795">
        <f>IFERROR(VLOOKUP(C1795,Customers!$A:$C,3,FALSE()),"")</f>
        <v>47</v>
      </c>
      <c r="Q1795" t="str">
        <f t="shared" si="28"/>
        <v>Aug-24</v>
      </c>
      <c r="R1795">
        <f>IFERROR((VLOOKUP(D1795,Products!$A:$E,5,FALSE())-VLOOKUP(D1795,Products!$A:$E,4,FALSE()))/VLOOKUP(D1795,Products!$A:$E,5,FALSE()),"")</f>
        <v>0.3069060773480663</v>
      </c>
    </row>
    <row r="1796" spans="1:18" x14ac:dyDescent="0.3">
      <c r="A1796" s="22" t="s">
        <v>4073</v>
      </c>
      <c r="B1796" s="23">
        <v>45580</v>
      </c>
      <c r="C1796" s="22" t="s">
        <v>2826</v>
      </c>
      <c r="D1796" s="22" t="s">
        <v>279</v>
      </c>
      <c r="E1796" s="22" t="s">
        <v>4074</v>
      </c>
      <c r="F1796" s="24">
        <v>1</v>
      </c>
      <c r="G1796" s="24">
        <v>3640</v>
      </c>
      <c r="H1796" s="24">
        <v>15.8</v>
      </c>
      <c r="I1796" s="24">
        <v>3064.88</v>
      </c>
      <c r="J1796" s="22" t="s">
        <v>104</v>
      </c>
      <c r="K1796" s="22" t="s">
        <v>134</v>
      </c>
      <c r="L1796" t="str">
        <f>VLOOKUP(D1796,Products!A:F,3,FALSE())</f>
        <v>Apparel</v>
      </c>
      <c r="M1796" t="str">
        <f>VLOOKUP(C1796,Customers!A:F,5,FALSE())</f>
        <v>Retail</v>
      </c>
      <c r="O1796" t="str">
        <f>IFERROR(VLOOKUP(E1796,Sales_Reps!$A:$C,3,FALSE()),"")</f>
        <v/>
      </c>
      <c r="P1796">
        <f>IFERROR(VLOOKUP(C1796,Customers!$A:$C,3,FALSE()),"")</f>
        <v>48</v>
      </c>
      <c r="Q1796" t="str">
        <f t="shared" si="28"/>
        <v>Oct-24</v>
      </c>
      <c r="R1796">
        <f>IFERROR((VLOOKUP(D1796,Products!$A:$E,5,FALSE())-VLOOKUP(D1796,Products!$A:$E,4,FALSE()))/VLOOKUP(D1796,Products!$A:$E,5,FALSE()),"")</f>
        <v>0.28269230769230769</v>
      </c>
    </row>
    <row r="1797" spans="1:18" x14ac:dyDescent="0.3">
      <c r="A1797" s="22" t="s">
        <v>4075</v>
      </c>
      <c r="B1797" s="23">
        <v>45444</v>
      </c>
      <c r="C1797" s="22" t="s">
        <v>1114</v>
      </c>
      <c r="D1797" s="22" t="s">
        <v>319</v>
      </c>
      <c r="E1797" s="22" t="s">
        <v>4076</v>
      </c>
      <c r="F1797" s="24">
        <v>1</v>
      </c>
      <c r="G1797" s="24">
        <v>1220</v>
      </c>
      <c r="H1797" s="24">
        <v>0.6</v>
      </c>
      <c r="I1797" s="24">
        <v>1212.68</v>
      </c>
      <c r="J1797" s="22" t="s">
        <v>164</v>
      </c>
      <c r="K1797" s="22" t="s">
        <v>151</v>
      </c>
      <c r="L1797" t="str">
        <f>VLOOKUP(D1797,Products!A:F,3,FALSE())</f>
        <v>Electronics</v>
      </c>
      <c r="M1797" t="str">
        <f>VLOOKUP(C1797,Customers!A:F,5,FALSE())</f>
        <v>Retail</v>
      </c>
      <c r="O1797" t="str">
        <f>IFERROR(VLOOKUP(E1797,Sales_Reps!$A:$C,3,FALSE()),"")</f>
        <v/>
      </c>
      <c r="P1797">
        <f>IFERROR(VLOOKUP(C1797,Customers!$A:$C,3,FALSE()),"")</f>
        <v>52</v>
      </c>
      <c r="Q1797" t="str">
        <f t="shared" si="28"/>
        <v>Jun-24</v>
      </c>
      <c r="R1797">
        <f>IFERROR((VLOOKUP(D1797,Products!$A:$E,5,FALSE())-VLOOKUP(D1797,Products!$A:$E,4,FALSE()))/VLOOKUP(D1797,Products!$A:$E,5,FALSE()),"")</f>
        <v>0.57622950819672136</v>
      </c>
    </row>
    <row r="1798" spans="1:18" x14ac:dyDescent="0.3">
      <c r="A1798" s="22" t="s">
        <v>4077</v>
      </c>
      <c r="B1798" s="23">
        <v>45350</v>
      </c>
      <c r="C1798" s="22" t="s">
        <v>174</v>
      </c>
      <c r="D1798" s="22" t="s">
        <v>190</v>
      </c>
      <c r="E1798" s="22" t="s">
        <v>4078</v>
      </c>
      <c r="F1798" s="24">
        <v>10</v>
      </c>
      <c r="G1798" s="24">
        <v>2480</v>
      </c>
      <c r="H1798" s="24">
        <v>0.6</v>
      </c>
      <c r="I1798" s="24">
        <v>24651.200000000001</v>
      </c>
      <c r="J1798" s="22" t="s">
        <v>104</v>
      </c>
      <c r="K1798" s="22" t="s">
        <v>134</v>
      </c>
      <c r="L1798" t="str">
        <f>VLOOKUP(D1798,Products!A:F,3,FALSE())</f>
        <v>Apparel</v>
      </c>
      <c r="M1798" t="str">
        <f>VLOOKUP(C1798,Customers!A:F,5,FALSE())</f>
        <v>SMB</v>
      </c>
      <c r="O1798" t="str">
        <f>IFERROR(VLOOKUP(E1798,Sales_Reps!$A:$C,3,FALSE()),"")</f>
        <v/>
      </c>
      <c r="P1798">
        <f>IFERROR(VLOOKUP(C1798,Customers!$A:$C,3,FALSE()),"")</f>
        <v>46</v>
      </c>
      <c r="Q1798" t="str">
        <f t="shared" si="28"/>
        <v>Feb-24</v>
      </c>
      <c r="R1798">
        <f>IFERROR((VLOOKUP(D1798,Products!$A:$E,5,FALSE())-VLOOKUP(D1798,Products!$A:$E,4,FALSE()))/VLOOKUP(D1798,Products!$A:$E,5,FALSE()),"")</f>
        <v>0.52701612903225803</v>
      </c>
    </row>
    <row r="1799" spans="1:18" x14ac:dyDescent="0.3">
      <c r="A1799" s="22" t="s">
        <v>4079</v>
      </c>
      <c r="B1799" s="23">
        <v>45634</v>
      </c>
      <c r="C1799" s="22" t="s">
        <v>838</v>
      </c>
      <c r="D1799" s="22" t="s">
        <v>201</v>
      </c>
      <c r="E1799" s="22" t="s">
        <v>4080</v>
      </c>
      <c r="F1799" s="24">
        <v>9</v>
      </c>
      <c r="G1799" s="24">
        <v>1650</v>
      </c>
      <c r="H1799" s="24">
        <v>26.8</v>
      </c>
      <c r="I1799" s="24">
        <v>10870.2</v>
      </c>
      <c r="J1799" s="22" t="s">
        <v>104</v>
      </c>
      <c r="K1799" s="22" t="s">
        <v>111</v>
      </c>
      <c r="L1799" t="str">
        <f>VLOOKUP(D1799,Products!A:F,3,FALSE())</f>
        <v>Beauty</v>
      </c>
      <c r="M1799" t="str">
        <f>VLOOKUP(C1799,Customers!A:F,5,FALSE())</f>
        <v>Retail</v>
      </c>
      <c r="O1799" t="str">
        <f>IFERROR(VLOOKUP(E1799,Sales_Reps!$A:$C,3,FALSE()),"")</f>
        <v/>
      </c>
      <c r="P1799">
        <f>IFERROR(VLOOKUP(C1799,Customers!$A:$C,3,FALSE()),"")</f>
        <v>61</v>
      </c>
      <c r="Q1799" t="str">
        <f t="shared" si="28"/>
        <v>Dec-24</v>
      </c>
      <c r="R1799">
        <f>IFERROR((VLOOKUP(D1799,Products!$A:$E,5,FALSE())-VLOOKUP(D1799,Products!$A:$E,4,FALSE()))/VLOOKUP(D1799,Products!$A:$E,5,FALSE()),"")</f>
        <v>0.2593939393939394</v>
      </c>
    </row>
    <row r="1800" spans="1:18" x14ac:dyDescent="0.3">
      <c r="A1800" s="22" t="s">
        <v>4081</v>
      </c>
      <c r="B1800" s="23">
        <v>45560</v>
      </c>
      <c r="C1800" s="22" t="s">
        <v>1035</v>
      </c>
      <c r="D1800" s="22" t="s">
        <v>330</v>
      </c>
      <c r="E1800" s="22" t="s">
        <v>4082</v>
      </c>
      <c r="F1800" s="24">
        <v>10</v>
      </c>
      <c r="G1800" s="24">
        <v>3020</v>
      </c>
      <c r="H1800" s="24">
        <v>2.6</v>
      </c>
      <c r="I1800" s="24">
        <v>29414.799999999999</v>
      </c>
      <c r="J1800" s="22" t="s">
        <v>104</v>
      </c>
      <c r="K1800" s="22" t="s">
        <v>111</v>
      </c>
      <c r="L1800" t="str">
        <f>VLOOKUP(D1800,Products!A:F,3,FALSE())</f>
        <v>Beauty</v>
      </c>
      <c r="M1800" t="str">
        <f>VLOOKUP(C1800,Customers!A:F,5,FALSE())</f>
        <v>Retail</v>
      </c>
      <c r="O1800" t="str">
        <f>IFERROR(VLOOKUP(E1800,Sales_Reps!$A:$C,3,FALSE()),"")</f>
        <v/>
      </c>
      <c r="P1800">
        <f>IFERROR(VLOOKUP(C1800,Customers!$A:$C,3,FALSE()),"")</f>
        <v>24</v>
      </c>
      <c r="Q1800" t="str">
        <f t="shared" si="28"/>
        <v>Sep-24</v>
      </c>
      <c r="R1800">
        <f>IFERROR((VLOOKUP(D1800,Products!$A:$E,5,FALSE())-VLOOKUP(D1800,Products!$A:$E,4,FALSE()))/VLOOKUP(D1800,Products!$A:$E,5,FALSE()),"")</f>
        <v>0.46158940397350995</v>
      </c>
    </row>
    <row r="1801" spans="1:18" x14ac:dyDescent="0.3">
      <c r="A1801" s="22" t="s">
        <v>4083</v>
      </c>
      <c r="B1801" s="23">
        <v>45544</v>
      </c>
      <c r="C1801" s="22" t="s">
        <v>1306</v>
      </c>
      <c r="D1801" s="22" t="s">
        <v>591</v>
      </c>
      <c r="E1801" s="22" t="s">
        <v>4084</v>
      </c>
      <c r="F1801" s="24">
        <v>5</v>
      </c>
      <c r="G1801" s="24">
        <v>3450</v>
      </c>
      <c r="H1801" s="24">
        <v>25.3</v>
      </c>
      <c r="I1801" s="24">
        <v>12885.75</v>
      </c>
      <c r="J1801" s="22" t="s">
        <v>104</v>
      </c>
      <c r="K1801" s="22" t="s">
        <v>134</v>
      </c>
      <c r="L1801" t="str">
        <f>VLOOKUP(D1801,Products!A:F,3,FALSE())</f>
        <v>Apparel</v>
      </c>
      <c r="M1801" t="str">
        <f>VLOOKUP(C1801,Customers!A:F,5,FALSE())</f>
        <v>Retail</v>
      </c>
      <c r="O1801" t="str">
        <f>IFERROR(VLOOKUP(E1801,Sales_Reps!$A:$C,3,FALSE()),"")</f>
        <v/>
      </c>
      <c r="P1801">
        <f>IFERROR(VLOOKUP(C1801,Customers!$A:$C,3,FALSE()),"")</f>
        <v>47</v>
      </c>
      <c r="Q1801" t="str">
        <f t="shared" si="28"/>
        <v>Sep-24</v>
      </c>
      <c r="R1801">
        <f>IFERROR((VLOOKUP(D1801,Products!$A:$E,5,FALSE())-VLOOKUP(D1801,Products!$A:$E,4,FALSE()))/VLOOKUP(D1801,Products!$A:$E,5,FALSE()),"")</f>
        <v>0.49333333333333335</v>
      </c>
    </row>
    <row r="1802" spans="1:18" x14ac:dyDescent="0.3">
      <c r="A1802" s="22" t="s">
        <v>4085</v>
      </c>
      <c r="B1802" s="23">
        <v>45457</v>
      </c>
      <c r="C1802" s="22" t="s">
        <v>240</v>
      </c>
      <c r="D1802" s="22" t="s">
        <v>319</v>
      </c>
      <c r="E1802" s="22" t="s">
        <v>4086</v>
      </c>
      <c r="F1802" s="24">
        <v>7</v>
      </c>
      <c r="G1802" s="24">
        <v>1220</v>
      </c>
      <c r="H1802" s="24">
        <v>13.1</v>
      </c>
      <c r="I1802" s="24">
        <v>7421.26</v>
      </c>
      <c r="J1802" s="22" t="s">
        <v>104</v>
      </c>
      <c r="K1802" s="22" t="s">
        <v>151</v>
      </c>
      <c r="L1802" t="str">
        <f>VLOOKUP(D1802,Products!A:F,3,FALSE())</f>
        <v>Electronics</v>
      </c>
      <c r="M1802" t="str">
        <f>VLOOKUP(C1802,Customers!A:F,5,FALSE())</f>
        <v>Retail</v>
      </c>
      <c r="O1802" t="str">
        <f>IFERROR(VLOOKUP(E1802,Sales_Reps!$A:$C,3,FALSE()),"")</f>
        <v/>
      </c>
      <c r="P1802">
        <f>IFERROR(VLOOKUP(C1802,Customers!$A:$C,3,FALSE()),"")</f>
        <v>26</v>
      </c>
      <c r="Q1802" t="str">
        <f t="shared" si="28"/>
        <v>Jun-24</v>
      </c>
      <c r="R1802">
        <f>IFERROR((VLOOKUP(D1802,Products!$A:$E,5,FALSE())-VLOOKUP(D1802,Products!$A:$E,4,FALSE()))/VLOOKUP(D1802,Products!$A:$E,5,FALSE()),"")</f>
        <v>0.57622950819672136</v>
      </c>
    </row>
    <row r="1803" spans="1:18" x14ac:dyDescent="0.3">
      <c r="A1803" s="22" t="s">
        <v>4087</v>
      </c>
      <c r="B1803" s="23">
        <v>45578</v>
      </c>
      <c r="C1803" s="22" t="s">
        <v>237</v>
      </c>
      <c r="D1803" s="22" t="s">
        <v>275</v>
      </c>
      <c r="E1803" s="22" t="s">
        <v>4088</v>
      </c>
      <c r="F1803" s="24">
        <v>10</v>
      </c>
      <c r="G1803" s="24">
        <v>3780</v>
      </c>
      <c r="H1803" s="24">
        <v>23.7</v>
      </c>
      <c r="I1803" s="24">
        <v>28841.4</v>
      </c>
      <c r="J1803" s="22" t="s">
        <v>104</v>
      </c>
      <c r="K1803" s="22" t="s">
        <v>151</v>
      </c>
      <c r="L1803" t="str">
        <f>VLOOKUP(D1803,Products!A:F,3,FALSE())</f>
        <v>Grocery</v>
      </c>
      <c r="M1803" t="str">
        <f>VLOOKUP(C1803,Customers!A:F,5,FALSE())</f>
        <v>SMB</v>
      </c>
      <c r="O1803" t="str">
        <f>IFERROR(VLOOKUP(E1803,Sales_Reps!$A:$C,3,FALSE()),"")</f>
        <v/>
      </c>
      <c r="P1803">
        <f>IFERROR(VLOOKUP(C1803,Customers!$A:$C,3,FALSE()),"")</f>
        <v>40</v>
      </c>
      <c r="Q1803" t="str">
        <f t="shared" si="28"/>
        <v>Oct-24</v>
      </c>
      <c r="R1803">
        <f>IFERROR((VLOOKUP(D1803,Products!$A:$E,5,FALSE())-VLOOKUP(D1803,Products!$A:$E,4,FALSE()))/VLOOKUP(D1803,Products!$A:$E,5,FALSE()),"")</f>
        <v>0.35555555555555557</v>
      </c>
    </row>
    <row r="1804" spans="1:18" x14ac:dyDescent="0.3">
      <c r="A1804" s="22" t="s">
        <v>4089</v>
      </c>
      <c r="B1804" s="23">
        <v>45405</v>
      </c>
      <c r="C1804" s="22" t="s">
        <v>540</v>
      </c>
      <c r="D1804" s="22" t="s">
        <v>334</v>
      </c>
      <c r="E1804" s="22" t="s">
        <v>4090</v>
      </c>
      <c r="F1804" s="24">
        <v>8</v>
      </c>
      <c r="G1804" s="24">
        <v>2660</v>
      </c>
      <c r="H1804" s="24">
        <v>16.100000000000001</v>
      </c>
      <c r="I1804" s="24">
        <v>17853.919999999998</v>
      </c>
      <c r="J1804" s="22" t="s">
        <v>104</v>
      </c>
      <c r="K1804" s="22" t="s">
        <v>116</v>
      </c>
      <c r="L1804" t="str">
        <f>VLOOKUP(D1804,Products!A:F,3,FALSE())</f>
        <v>Electronics</v>
      </c>
      <c r="M1804" t="str">
        <f>VLOOKUP(C1804,Customers!A:F,5,FALSE())</f>
        <v>Retail</v>
      </c>
      <c r="O1804" t="str">
        <f>IFERROR(VLOOKUP(E1804,Sales_Reps!$A:$C,3,FALSE()),"")</f>
        <v/>
      </c>
      <c r="P1804">
        <f>IFERROR(VLOOKUP(C1804,Customers!$A:$C,3,FALSE()),"")</f>
        <v>44</v>
      </c>
      <c r="Q1804" t="str">
        <f t="shared" si="28"/>
        <v>Apr-24</v>
      </c>
      <c r="R1804">
        <f>IFERROR((VLOOKUP(D1804,Products!$A:$E,5,FALSE())-VLOOKUP(D1804,Products!$A:$E,4,FALSE()))/VLOOKUP(D1804,Products!$A:$E,5,FALSE()),"")</f>
        <v>0.52669172932330832</v>
      </c>
    </row>
    <row r="1805" spans="1:18" x14ac:dyDescent="0.3">
      <c r="A1805" s="22" t="s">
        <v>4091</v>
      </c>
      <c r="B1805" s="23">
        <v>45338</v>
      </c>
      <c r="C1805" s="22" t="s">
        <v>380</v>
      </c>
      <c r="D1805" s="22" t="s">
        <v>674</v>
      </c>
      <c r="E1805" s="22" t="s">
        <v>4092</v>
      </c>
      <c r="F1805" s="24">
        <v>6</v>
      </c>
      <c r="G1805" s="24">
        <v>1090</v>
      </c>
      <c r="H1805" s="24">
        <v>20</v>
      </c>
      <c r="I1805" s="24">
        <v>5232</v>
      </c>
      <c r="J1805" s="22" t="s">
        <v>110</v>
      </c>
      <c r="K1805" s="22" t="s">
        <v>151</v>
      </c>
      <c r="L1805" t="str">
        <f>VLOOKUP(D1805,Products!A:F,3,FALSE())</f>
        <v>Home</v>
      </c>
      <c r="M1805" t="str">
        <f>VLOOKUP(C1805,Customers!A:F,5,FALSE())</f>
        <v>Retail</v>
      </c>
      <c r="O1805" t="str">
        <f>IFERROR(VLOOKUP(E1805,Sales_Reps!$A:$C,3,FALSE()),"")</f>
        <v/>
      </c>
      <c r="P1805">
        <f>IFERROR(VLOOKUP(C1805,Customers!$A:$C,3,FALSE()),"")</f>
        <v>46</v>
      </c>
      <c r="Q1805" t="str">
        <f t="shared" si="28"/>
        <v>Feb-24</v>
      </c>
      <c r="R1805">
        <f>IFERROR((VLOOKUP(D1805,Products!$A:$E,5,FALSE())-VLOOKUP(D1805,Products!$A:$E,4,FALSE()))/VLOOKUP(D1805,Products!$A:$E,5,FALSE()),"")</f>
        <v>0.57431192660550456</v>
      </c>
    </row>
    <row r="1806" spans="1:18" x14ac:dyDescent="0.3">
      <c r="A1806" s="22" t="s">
        <v>4093</v>
      </c>
      <c r="B1806" s="23">
        <v>45324</v>
      </c>
      <c r="C1806" s="22" t="s">
        <v>4094</v>
      </c>
      <c r="D1806" s="22" t="s">
        <v>234</v>
      </c>
      <c r="E1806" s="22" t="s">
        <v>4095</v>
      </c>
      <c r="F1806" s="24">
        <v>2</v>
      </c>
      <c r="G1806" s="24">
        <v>660</v>
      </c>
      <c r="H1806" s="24">
        <v>18.7</v>
      </c>
      <c r="I1806" s="24">
        <v>1073.1600000000001</v>
      </c>
      <c r="J1806" s="22" t="s">
        <v>104</v>
      </c>
      <c r="K1806" s="22" t="s">
        <v>129</v>
      </c>
      <c r="L1806" t="str">
        <f>VLOOKUP(D1806,Products!A:F,3,FALSE())</f>
        <v>Home</v>
      </c>
      <c r="M1806" t="e">
        <f>VLOOKUP(C1806,Customers!A:F,5,FALSE())</f>
        <v>#N/A</v>
      </c>
      <c r="O1806" t="str">
        <f>IFERROR(VLOOKUP(E1806,Sales_Reps!$A:$C,3,FALSE()),"")</f>
        <v/>
      </c>
      <c r="P1806" t="str">
        <f>IFERROR(VLOOKUP(C1806,Customers!$A:$C,3,FALSE()),"")</f>
        <v/>
      </c>
      <c r="Q1806" t="str">
        <f t="shared" si="28"/>
        <v>Feb-24</v>
      </c>
      <c r="R1806">
        <f>IFERROR((VLOOKUP(D1806,Products!$A:$E,5,FALSE())-VLOOKUP(D1806,Products!$A:$E,4,FALSE()))/VLOOKUP(D1806,Products!$A:$E,5,FALSE()),"")</f>
        <v>0.50151515151515147</v>
      </c>
    </row>
    <row r="1807" spans="1:18" x14ac:dyDescent="0.3">
      <c r="A1807" s="22" t="s">
        <v>4096</v>
      </c>
      <c r="B1807" s="23">
        <v>45332</v>
      </c>
      <c r="C1807" s="22" t="s">
        <v>1672</v>
      </c>
      <c r="D1807" s="22" t="s">
        <v>674</v>
      </c>
      <c r="E1807" s="22" t="s">
        <v>4097</v>
      </c>
      <c r="F1807" s="24">
        <v>7</v>
      </c>
      <c r="G1807" s="24">
        <v>1090</v>
      </c>
      <c r="H1807" s="24">
        <v>19.399999999999999</v>
      </c>
      <c r="I1807" s="24">
        <v>6149.78</v>
      </c>
      <c r="J1807" s="22" t="s">
        <v>110</v>
      </c>
      <c r="K1807" s="22" t="s">
        <v>129</v>
      </c>
      <c r="L1807" t="str">
        <f>VLOOKUP(D1807,Products!A:F,3,FALSE())</f>
        <v>Home</v>
      </c>
      <c r="M1807" t="str">
        <f>VLOOKUP(C1807,Customers!A:F,5,FALSE())</f>
        <v>SMB</v>
      </c>
      <c r="O1807" t="str">
        <f>IFERROR(VLOOKUP(E1807,Sales_Reps!$A:$C,3,FALSE()),"")</f>
        <v/>
      </c>
      <c r="P1807">
        <f>IFERROR(VLOOKUP(C1807,Customers!$A:$C,3,FALSE()),"")</f>
        <v>53</v>
      </c>
      <c r="Q1807" t="str">
        <f t="shared" si="28"/>
        <v>Feb-24</v>
      </c>
      <c r="R1807">
        <f>IFERROR((VLOOKUP(D1807,Products!$A:$E,5,FALSE())-VLOOKUP(D1807,Products!$A:$E,4,FALSE()))/VLOOKUP(D1807,Products!$A:$E,5,FALSE()),"")</f>
        <v>0.57431192660550456</v>
      </c>
    </row>
    <row r="1808" spans="1:18" x14ac:dyDescent="0.3">
      <c r="A1808" s="22" t="s">
        <v>4098</v>
      </c>
      <c r="B1808" s="23">
        <v>45429</v>
      </c>
      <c r="C1808" s="22" t="s">
        <v>377</v>
      </c>
      <c r="D1808" s="22" t="s">
        <v>419</v>
      </c>
      <c r="E1808" s="22" t="s">
        <v>4099</v>
      </c>
      <c r="F1808" s="24">
        <v>3</v>
      </c>
      <c r="G1808" s="24">
        <v>2210</v>
      </c>
      <c r="H1808" s="24">
        <v>11</v>
      </c>
      <c r="I1808" s="24">
        <v>5900.7</v>
      </c>
      <c r="J1808" s="22" t="s">
        <v>104</v>
      </c>
      <c r="K1808" s="22" t="s">
        <v>134</v>
      </c>
      <c r="L1808" t="str">
        <f>VLOOKUP(D1808,Products!A:F,3,FALSE())</f>
        <v>Grocery</v>
      </c>
      <c r="M1808" t="str">
        <f>VLOOKUP(C1808,Customers!A:F,5,FALSE())</f>
        <v>Retail</v>
      </c>
      <c r="O1808" t="str">
        <f>IFERROR(VLOOKUP(E1808,Sales_Reps!$A:$C,3,FALSE()),"")</f>
        <v/>
      </c>
      <c r="P1808">
        <f>IFERROR(VLOOKUP(C1808,Customers!$A:$C,3,FALSE()),"")</f>
        <v>42</v>
      </c>
      <c r="Q1808" t="str">
        <f t="shared" si="28"/>
        <v>May-24</v>
      </c>
      <c r="R1808">
        <f>IFERROR((VLOOKUP(D1808,Products!$A:$E,5,FALSE())-VLOOKUP(D1808,Products!$A:$E,4,FALSE()))/VLOOKUP(D1808,Products!$A:$E,5,FALSE()),"")</f>
        <v>0.54298642533936647</v>
      </c>
    </row>
    <row r="1809" spans="1:18" x14ac:dyDescent="0.3">
      <c r="A1809" s="22" t="s">
        <v>4100</v>
      </c>
      <c r="B1809" s="23">
        <v>45420</v>
      </c>
      <c r="C1809" s="22" t="s">
        <v>204</v>
      </c>
      <c r="D1809" s="22" t="s">
        <v>521</v>
      </c>
      <c r="E1809" s="22" t="s">
        <v>4101</v>
      </c>
      <c r="F1809" s="24">
        <v>2</v>
      </c>
      <c r="G1809" s="24">
        <v>3970</v>
      </c>
      <c r="H1809" s="24">
        <v>24.9</v>
      </c>
      <c r="I1809" s="24">
        <v>5962.94</v>
      </c>
      <c r="J1809" s="22" t="s">
        <v>104</v>
      </c>
      <c r="K1809" s="22" t="s">
        <v>111</v>
      </c>
      <c r="L1809" t="str">
        <f>VLOOKUP(D1809,Products!A:F,3,FALSE())</f>
        <v>Electronics</v>
      </c>
      <c r="M1809" t="str">
        <f>VLOOKUP(C1809,Customers!A:F,5,FALSE())</f>
        <v>Corporate</v>
      </c>
      <c r="O1809" t="str">
        <f>IFERROR(VLOOKUP(E1809,Sales_Reps!$A:$C,3,FALSE()),"")</f>
        <v/>
      </c>
      <c r="P1809">
        <f>IFERROR(VLOOKUP(C1809,Customers!$A:$C,3,FALSE()),"")</f>
        <v>55</v>
      </c>
      <c r="Q1809" t="str">
        <f t="shared" si="28"/>
        <v>May-24</v>
      </c>
      <c r="R1809">
        <f>IFERROR((VLOOKUP(D1809,Products!$A:$E,5,FALSE())-VLOOKUP(D1809,Products!$A:$E,4,FALSE()))/VLOOKUP(D1809,Products!$A:$E,5,FALSE()),"")</f>
        <v>0.27833753148614609</v>
      </c>
    </row>
    <row r="1810" spans="1:18" x14ac:dyDescent="0.3">
      <c r="A1810" s="22" t="s">
        <v>4102</v>
      </c>
      <c r="B1810" s="23">
        <v>45403</v>
      </c>
      <c r="C1810" s="22" t="s">
        <v>682</v>
      </c>
      <c r="D1810" s="22" t="s">
        <v>323</v>
      </c>
      <c r="E1810" s="22" t="s">
        <v>4103</v>
      </c>
      <c r="F1810" s="24">
        <v>7</v>
      </c>
      <c r="G1810" s="24">
        <v>4610</v>
      </c>
      <c r="H1810" s="24">
        <v>6.3</v>
      </c>
      <c r="I1810" s="24">
        <v>30236.99</v>
      </c>
      <c r="J1810" s="22" t="s">
        <v>104</v>
      </c>
      <c r="K1810" s="22" t="s">
        <v>105</v>
      </c>
      <c r="L1810" t="str">
        <f>VLOOKUP(D1810,Products!A:F,3,FALSE())</f>
        <v>Home</v>
      </c>
      <c r="M1810" t="str">
        <f>VLOOKUP(C1810,Customers!A:F,5,FALSE())</f>
        <v>Retail</v>
      </c>
      <c r="O1810" t="str">
        <f>IFERROR(VLOOKUP(E1810,Sales_Reps!$A:$C,3,FALSE()),"")</f>
        <v/>
      </c>
      <c r="P1810">
        <f>IFERROR(VLOOKUP(C1810,Customers!$A:$C,3,FALSE()),"")</f>
        <v>59</v>
      </c>
      <c r="Q1810" t="str">
        <f t="shared" si="28"/>
        <v>Apr-24</v>
      </c>
      <c r="R1810">
        <f>IFERROR((VLOOKUP(D1810,Products!$A:$E,5,FALSE())-VLOOKUP(D1810,Products!$A:$E,4,FALSE()))/VLOOKUP(D1810,Products!$A:$E,5,FALSE()),"")</f>
        <v>0.59869848156182215</v>
      </c>
    </row>
    <row r="1811" spans="1:18" x14ac:dyDescent="0.3">
      <c r="A1811" s="22" t="s">
        <v>4104</v>
      </c>
      <c r="B1811" s="23">
        <v>45403</v>
      </c>
      <c r="C1811" s="22" t="s">
        <v>706</v>
      </c>
      <c r="D1811" s="22" t="s">
        <v>479</v>
      </c>
      <c r="E1811" s="22" t="s">
        <v>4105</v>
      </c>
      <c r="F1811" s="24">
        <v>10</v>
      </c>
      <c r="G1811" s="24">
        <v>960</v>
      </c>
      <c r="H1811" s="24">
        <v>14.6</v>
      </c>
      <c r="I1811" s="24">
        <v>8198.4</v>
      </c>
      <c r="J1811" s="22" t="s">
        <v>104</v>
      </c>
      <c r="K1811" s="22" t="s">
        <v>116</v>
      </c>
      <c r="L1811" t="str">
        <f>VLOOKUP(D1811,Products!A:F,3,FALSE())</f>
        <v>Beauty</v>
      </c>
      <c r="M1811" t="str">
        <f>VLOOKUP(C1811,Customers!A:F,5,FALSE())</f>
        <v>SMB</v>
      </c>
      <c r="O1811" t="str">
        <f>IFERROR(VLOOKUP(E1811,Sales_Reps!$A:$C,3,FALSE()),"")</f>
        <v/>
      </c>
      <c r="P1811">
        <f>IFERROR(VLOOKUP(C1811,Customers!$A:$C,3,FALSE()),"")</f>
        <v>55</v>
      </c>
      <c r="Q1811" t="str">
        <f t="shared" si="28"/>
        <v>Apr-24</v>
      </c>
      <c r="R1811">
        <f>IFERROR((VLOOKUP(D1811,Products!$A:$E,5,FALSE())-VLOOKUP(D1811,Products!$A:$E,4,FALSE()))/VLOOKUP(D1811,Products!$A:$E,5,FALSE()),"")</f>
        <v>0.296875</v>
      </c>
    </row>
    <row r="1812" spans="1:18" x14ac:dyDescent="0.3">
      <c r="A1812" s="22" t="s">
        <v>4106</v>
      </c>
      <c r="B1812" s="23">
        <v>45600</v>
      </c>
      <c r="C1812" s="22" t="s">
        <v>271</v>
      </c>
      <c r="D1812" s="22" t="s">
        <v>330</v>
      </c>
      <c r="E1812" s="22" t="s">
        <v>4107</v>
      </c>
      <c r="F1812" s="24">
        <v>8</v>
      </c>
      <c r="G1812" s="24">
        <v>3020</v>
      </c>
      <c r="H1812" s="24">
        <v>14.5</v>
      </c>
      <c r="I1812" s="24">
        <v>20656.8</v>
      </c>
      <c r="J1812" s="22" t="s">
        <v>104</v>
      </c>
      <c r="K1812" s="22" t="s">
        <v>134</v>
      </c>
      <c r="L1812" t="str">
        <f>VLOOKUP(D1812,Products!A:F,3,FALSE())</f>
        <v>Beauty</v>
      </c>
      <c r="M1812" t="str">
        <f>VLOOKUP(C1812,Customers!A:F,5,FALSE())</f>
        <v>SMB</v>
      </c>
      <c r="O1812" t="str">
        <f>IFERROR(VLOOKUP(E1812,Sales_Reps!$A:$C,3,FALSE()),"")</f>
        <v/>
      </c>
      <c r="P1812">
        <f>IFERROR(VLOOKUP(C1812,Customers!$A:$C,3,FALSE()),"")</f>
        <v>64</v>
      </c>
      <c r="Q1812" t="str">
        <f t="shared" si="28"/>
        <v>Nov-24</v>
      </c>
      <c r="R1812">
        <f>IFERROR((VLOOKUP(D1812,Products!$A:$E,5,FALSE())-VLOOKUP(D1812,Products!$A:$E,4,FALSE()))/VLOOKUP(D1812,Products!$A:$E,5,FALSE()),"")</f>
        <v>0.46158940397350995</v>
      </c>
    </row>
    <row r="1813" spans="1:18" x14ac:dyDescent="0.3">
      <c r="A1813" s="22" t="s">
        <v>4108</v>
      </c>
      <c r="B1813" s="23">
        <v>45629</v>
      </c>
      <c r="C1813" s="22" t="s">
        <v>161</v>
      </c>
      <c r="D1813" s="22" t="s">
        <v>190</v>
      </c>
      <c r="E1813" s="22" t="s">
        <v>4109</v>
      </c>
      <c r="F1813" s="24">
        <v>7</v>
      </c>
      <c r="G1813" s="24">
        <v>2480</v>
      </c>
      <c r="H1813" s="24">
        <v>17.3</v>
      </c>
      <c r="I1813" s="24">
        <v>14356.72</v>
      </c>
      <c r="J1813" s="22" t="s">
        <v>104</v>
      </c>
      <c r="K1813" s="22" t="s">
        <v>105</v>
      </c>
      <c r="L1813" t="str">
        <f>VLOOKUP(D1813,Products!A:F,3,FALSE())</f>
        <v>Apparel</v>
      </c>
      <c r="M1813" t="str">
        <f>VLOOKUP(C1813,Customers!A:F,5,FALSE())</f>
        <v>SMB</v>
      </c>
      <c r="O1813" t="str">
        <f>IFERROR(VLOOKUP(E1813,Sales_Reps!$A:$C,3,FALSE()),"")</f>
        <v/>
      </c>
      <c r="P1813">
        <f>IFERROR(VLOOKUP(C1813,Customers!$A:$C,3,FALSE()),"")</f>
        <v>39</v>
      </c>
      <c r="Q1813" t="str">
        <f t="shared" si="28"/>
        <v>Dec-24</v>
      </c>
      <c r="R1813">
        <f>IFERROR((VLOOKUP(D1813,Products!$A:$E,5,FALSE())-VLOOKUP(D1813,Products!$A:$E,4,FALSE()))/VLOOKUP(D1813,Products!$A:$E,5,FALSE()),"")</f>
        <v>0.52701612903225803</v>
      </c>
    </row>
    <row r="1814" spans="1:18" x14ac:dyDescent="0.3">
      <c r="A1814" s="22" t="s">
        <v>4110</v>
      </c>
      <c r="B1814" s="23">
        <v>45330</v>
      </c>
      <c r="C1814" s="22" t="s">
        <v>822</v>
      </c>
      <c r="D1814" s="22" t="s">
        <v>293</v>
      </c>
      <c r="E1814" s="22" t="s">
        <v>4111</v>
      </c>
      <c r="F1814" s="24">
        <v>10</v>
      </c>
      <c r="G1814" s="24">
        <v>3870</v>
      </c>
      <c r="H1814" s="24">
        <v>22.4</v>
      </c>
      <c r="I1814" s="24">
        <v>30031.200000000001</v>
      </c>
      <c r="J1814" s="22" t="s">
        <v>110</v>
      </c>
      <c r="K1814" s="22" t="s">
        <v>151</v>
      </c>
      <c r="L1814" t="str">
        <f>VLOOKUP(D1814,Products!A:F,3,FALSE())</f>
        <v>Electronics</v>
      </c>
      <c r="M1814" t="str">
        <f>VLOOKUP(C1814,Customers!A:F,5,FALSE())</f>
        <v>Retail</v>
      </c>
      <c r="O1814" t="str">
        <f>IFERROR(VLOOKUP(E1814,Sales_Reps!$A:$C,3,FALSE()),"")</f>
        <v/>
      </c>
      <c r="P1814">
        <f>IFERROR(VLOOKUP(C1814,Customers!$A:$C,3,FALSE()),"")</f>
        <v>22</v>
      </c>
      <c r="Q1814" t="str">
        <f t="shared" si="28"/>
        <v>Feb-24</v>
      </c>
      <c r="R1814">
        <f>IFERROR((VLOOKUP(D1814,Products!$A:$E,5,FALSE())-VLOOKUP(D1814,Products!$A:$E,4,FALSE()))/VLOOKUP(D1814,Products!$A:$E,5,FALSE()),"")</f>
        <v>0.59715762273901807</v>
      </c>
    </row>
    <row r="1815" spans="1:18" x14ac:dyDescent="0.3">
      <c r="A1815" s="22" t="s">
        <v>4112</v>
      </c>
      <c r="B1815" s="23">
        <v>45551</v>
      </c>
      <c r="C1815" s="22" t="s">
        <v>1319</v>
      </c>
      <c r="D1815" s="22" t="s">
        <v>234</v>
      </c>
      <c r="E1815" s="22" t="s">
        <v>4113</v>
      </c>
      <c r="F1815" s="24">
        <v>6</v>
      </c>
      <c r="G1815" s="24">
        <v>660</v>
      </c>
      <c r="H1815" s="24">
        <v>27.3</v>
      </c>
      <c r="I1815" s="24">
        <v>2878.92</v>
      </c>
      <c r="J1815" s="22" t="s">
        <v>104</v>
      </c>
      <c r="K1815" s="22" t="s">
        <v>129</v>
      </c>
      <c r="L1815" t="str">
        <f>VLOOKUP(D1815,Products!A:F,3,FALSE())</f>
        <v>Home</v>
      </c>
      <c r="M1815" t="str">
        <f>VLOOKUP(C1815,Customers!A:F,5,FALSE())</f>
        <v>Corporate</v>
      </c>
      <c r="O1815" t="str">
        <f>IFERROR(VLOOKUP(E1815,Sales_Reps!$A:$C,3,FALSE()),"")</f>
        <v/>
      </c>
      <c r="P1815">
        <f>IFERROR(VLOOKUP(C1815,Customers!$A:$C,3,FALSE()),"")</f>
        <v>62</v>
      </c>
      <c r="Q1815" t="str">
        <f t="shared" si="28"/>
        <v>Sep-24</v>
      </c>
      <c r="R1815">
        <f>IFERROR((VLOOKUP(D1815,Products!$A:$E,5,FALSE())-VLOOKUP(D1815,Products!$A:$E,4,FALSE()))/VLOOKUP(D1815,Products!$A:$E,5,FALSE()),"")</f>
        <v>0.50151515151515147</v>
      </c>
    </row>
    <row r="1816" spans="1:18" x14ac:dyDescent="0.3">
      <c r="A1816" s="22" t="s">
        <v>4114</v>
      </c>
      <c r="B1816" s="23">
        <v>45321</v>
      </c>
      <c r="C1816" s="22" t="s">
        <v>4115</v>
      </c>
      <c r="D1816" s="22" t="s">
        <v>293</v>
      </c>
      <c r="E1816" s="22" t="s">
        <v>4116</v>
      </c>
      <c r="F1816" s="24">
        <v>3</v>
      </c>
      <c r="G1816" s="24">
        <v>3870</v>
      </c>
      <c r="H1816" s="24">
        <v>7.6</v>
      </c>
      <c r="I1816" s="24">
        <v>10727.64</v>
      </c>
      <c r="J1816" s="22" t="s">
        <v>159</v>
      </c>
      <c r="K1816" s="22" t="s">
        <v>111</v>
      </c>
      <c r="L1816" t="str">
        <f>VLOOKUP(D1816,Products!A:F,3,FALSE())</f>
        <v>Electronics</v>
      </c>
      <c r="M1816" t="e">
        <f>VLOOKUP(C1816,Customers!A:F,5,FALSE())</f>
        <v>#N/A</v>
      </c>
      <c r="O1816" t="str">
        <f>IFERROR(VLOOKUP(E1816,Sales_Reps!$A:$C,3,FALSE()),"")</f>
        <v/>
      </c>
      <c r="P1816" t="str">
        <f>IFERROR(VLOOKUP(C1816,Customers!$A:$C,3,FALSE()),"")</f>
        <v/>
      </c>
      <c r="Q1816" t="str">
        <f t="shared" si="28"/>
        <v>Jan-24</v>
      </c>
      <c r="R1816">
        <f>IFERROR((VLOOKUP(D1816,Products!$A:$E,5,FALSE())-VLOOKUP(D1816,Products!$A:$E,4,FALSE()))/VLOOKUP(D1816,Products!$A:$E,5,FALSE()),"")</f>
        <v>0.59715762273901807</v>
      </c>
    </row>
    <row r="1817" spans="1:18" x14ac:dyDescent="0.3">
      <c r="A1817" s="22" t="s">
        <v>4117</v>
      </c>
      <c r="B1817" s="23">
        <v>45542</v>
      </c>
      <c r="C1817" s="22" t="s">
        <v>101</v>
      </c>
      <c r="D1817" s="22" t="s">
        <v>190</v>
      </c>
      <c r="E1817" s="22" t="s">
        <v>4118</v>
      </c>
      <c r="F1817" s="24">
        <v>10</v>
      </c>
      <c r="G1817" s="24">
        <v>2480</v>
      </c>
      <c r="H1817" s="24">
        <v>21.5</v>
      </c>
      <c r="I1817" s="24">
        <v>19468</v>
      </c>
      <c r="J1817" s="22" t="s">
        <v>110</v>
      </c>
      <c r="K1817" s="22" t="s">
        <v>105</v>
      </c>
      <c r="L1817" t="str">
        <f>VLOOKUP(D1817,Products!A:F,3,FALSE())</f>
        <v>Apparel</v>
      </c>
      <c r="M1817" t="str">
        <f>VLOOKUP(C1817,Customers!A:F,5,FALSE())</f>
        <v>SMB</v>
      </c>
      <c r="O1817" t="str">
        <f>IFERROR(VLOOKUP(E1817,Sales_Reps!$A:$C,3,FALSE()),"")</f>
        <v/>
      </c>
      <c r="P1817">
        <f>IFERROR(VLOOKUP(C1817,Customers!$A:$C,3,FALSE()),"")</f>
        <v>44</v>
      </c>
      <c r="Q1817" t="str">
        <f t="shared" si="28"/>
        <v>Sep-24</v>
      </c>
      <c r="R1817">
        <f>IFERROR((VLOOKUP(D1817,Products!$A:$E,5,FALSE())-VLOOKUP(D1817,Products!$A:$E,4,FALSE()))/VLOOKUP(D1817,Products!$A:$E,5,FALSE()),"")</f>
        <v>0.52701612903225803</v>
      </c>
    </row>
    <row r="1818" spans="1:18" x14ac:dyDescent="0.3">
      <c r="A1818" s="22" t="s">
        <v>4119</v>
      </c>
      <c r="B1818" s="23">
        <v>45643</v>
      </c>
      <c r="C1818" s="22" t="s">
        <v>838</v>
      </c>
      <c r="D1818" s="22" t="s">
        <v>153</v>
      </c>
      <c r="E1818" s="22" t="s">
        <v>4120</v>
      </c>
      <c r="F1818" s="24">
        <v>8</v>
      </c>
      <c r="G1818" s="24">
        <v>2640</v>
      </c>
      <c r="H1818" s="24">
        <v>22.3</v>
      </c>
      <c r="I1818" s="24">
        <v>16410.240000000002</v>
      </c>
      <c r="J1818" s="22" t="s">
        <v>104</v>
      </c>
      <c r="K1818" s="22" t="s">
        <v>111</v>
      </c>
      <c r="L1818" t="str">
        <f>VLOOKUP(D1818,Products!A:F,3,FALSE())</f>
        <v>Electronics</v>
      </c>
      <c r="M1818" t="str">
        <f>VLOOKUP(C1818,Customers!A:F,5,FALSE())</f>
        <v>Retail</v>
      </c>
      <c r="O1818" t="str">
        <f>IFERROR(VLOOKUP(E1818,Sales_Reps!$A:$C,3,FALSE()),"")</f>
        <v/>
      </c>
      <c r="P1818">
        <f>IFERROR(VLOOKUP(C1818,Customers!$A:$C,3,FALSE()),"")</f>
        <v>61</v>
      </c>
      <c r="Q1818" t="str">
        <f t="shared" si="28"/>
        <v>Dec-24</v>
      </c>
      <c r="R1818">
        <f>IFERROR((VLOOKUP(D1818,Products!$A:$E,5,FALSE())-VLOOKUP(D1818,Products!$A:$E,4,FALSE()))/VLOOKUP(D1818,Products!$A:$E,5,FALSE()),"")</f>
        <v>0.56477272727272732</v>
      </c>
    </row>
    <row r="1819" spans="1:18" x14ac:dyDescent="0.3">
      <c r="A1819" s="22" t="s">
        <v>4121</v>
      </c>
      <c r="B1819" s="23">
        <v>45559</v>
      </c>
      <c r="C1819" s="22" t="s">
        <v>1906</v>
      </c>
      <c r="D1819" s="22" t="s">
        <v>145</v>
      </c>
      <c r="E1819" s="22" t="s">
        <v>4122</v>
      </c>
      <c r="F1819" s="24">
        <v>8</v>
      </c>
      <c r="G1819" s="24">
        <v>970</v>
      </c>
      <c r="H1819" s="24">
        <v>13.1</v>
      </c>
      <c r="I1819" s="24">
        <v>6743.44</v>
      </c>
      <c r="J1819" s="22" t="s">
        <v>104</v>
      </c>
      <c r="K1819" s="22" t="s">
        <v>151</v>
      </c>
      <c r="L1819" t="str">
        <f>VLOOKUP(D1819,Products!A:F,3,FALSE())</f>
        <v>Grocery</v>
      </c>
      <c r="M1819" t="str">
        <f>VLOOKUP(C1819,Customers!A:F,5,FALSE())</f>
        <v>SMB</v>
      </c>
      <c r="O1819" t="str">
        <f>IFERROR(VLOOKUP(E1819,Sales_Reps!$A:$C,3,FALSE()),"")</f>
        <v/>
      </c>
      <c r="P1819">
        <f>IFERROR(VLOOKUP(C1819,Customers!$A:$C,3,FALSE()),"")</f>
        <v>25</v>
      </c>
      <c r="Q1819" t="str">
        <f t="shared" si="28"/>
        <v>Sep-24</v>
      </c>
      <c r="R1819">
        <f>IFERROR((VLOOKUP(D1819,Products!$A:$E,5,FALSE())-VLOOKUP(D1819,Products!$A:$E,4,FALSE()))/VLOOKUP(D1819,Products!$A:$E,5,FALSE()),"")</f>
        <v>0.5525773195876289</v>
      </c>
    </row>
    <row r="1820" spans="1:18" x14ac:dyDescent="0.3">
      <c r="A1820" s="22" t="s">
        <v>4123</v>
      </c>
      <c r="B1820" s="23">
        <v>45416</v>
      </c>
      <c r="C1820" s="22" t="s">
        <v>830</v>
      </c>
      <c r="D1820" s="22" t="s">
        <v>132</v>
      </c>
      <c r="E1820" s="22" t="s">
        <v>4124</v>
      </c>
      <c r="F1820" s="24">
        <v>6</v>
      </c>
      <c r="G1820" s="24">
        <v>960</v>
      </c>
      <c r="H1820" s="24">
        <v>3.2</v>
      </c>
      <c r="I1820" s="24">
        <v>5575.68</v>
      </c>
      <c r="J1820" s="22" t="s">
        <v>104</v>
      </c>
      <c r="K1820" s="22" t="s">
        <v>129</v>
      </c>
      <c r="L1820" t="str">
        <f>VLOOKUP(D1820,Products!A:F,3,FALSE())</f>
        <v>Sports</v>
      </c>
      <c r="M1820" t="str">
        <f>VLOOKUP(C1820,Customers!A:F,5,FALSE())</f>
        <v>Retail</v>
      </c>
      <c r="O1820" t="str">
        <f>IFERROR(VLOOKUP(E1820,Sales_Reps!$A:$C,3,FALSE()),"")</f>
        <v/>
      </c>
      <c r="P1820">
        <f>IFERROR(VLOOKUP(C1820,Customers!$A:$C,3,FALSE()),"")</f>
        <v>39</v>
      </c>
      <c r="Q1820" t="str">
        <f t="shared" si="28"/>
        <v>May-24</v>
      </c>
      <c r="R1820">
        <f>IFERROR((VLOOKUP(D1820,Products!$A:$E,5,FALSE())-VLOOKUP(D1820,Products!$A:$E,4,FALSE()))/VLOOKUP(D1820,Products!$A:$E,5,FALSE()),"")</f>
        <v>0.265625</v>
      </c>
    </row>
    <row r="1821" spans="1:18" x14ac:dyDescent="0.3">
      <c r="A1821" s="22" t="s">
        <v>4125</v>
      </c>
      <c r="B1821" s="23">
        <v>45469</v>
      </c>
      <c r="C1821" s="22" t="s">
        <v>2560</v>
      </c>
      <c r="D1821" s="22" t="s">
        <v>356</v>
      </c>
      <c r="E1821" s="22" t="s">
        <v>4126</v>
      </c>
      <c r="F1821" s="24">
        <v>9</v>
      </c>
      <c r="G1821" s="24">
        <v>2030</v>
      </c>
      <c r="H1821" s="24">
        <v>12.6</v>
      </c>
      <c r="I1821" s="24">
        <v>15967.98</v>
      </c>
      <c r="J1821" s="22" t="s">
        <v>159</v>
      </c>
      <c r="K1821" s="22" t="s">
        <v>111</v>
      </c>
      <c r="L1821" t="str">
        <f>VLOOKUP(D1821,Products!A:F,3,FALSE())</f>
        <v>Home</v>
      </c>
      <c r="M1821" t="str">
        <f>VLOOKUP(C1821,Customers!A:F,5,FALSE())</f>
        <v>Retail</v>
      </c>
      <c r="O1821" t="str">
        <f>IFERROR(VLOOKUP(E1821,Sales_Reps!$A:$C,3,FALSE()),"")</f>
        <v/>
      </c>
      <c r="P1821">
        <f>IFERROR(VLOOKUP(C1821,Customers!$A:$C,3,FALSE()),"")</f>
        <v>31</v>
      </c>
      <c r="Q1821" t="str">
        <f t="shared" si="28"/>
        <v>Jun-24</v>
      </c>
      <c r="R1821">
        <f>IFERROR((VLOOKUP(D1821,Products!$A:$E,5,FALSE())-VLOOKUP(D1821,Products!$A:$E,4,FALSE()))/VLOOKUP(D1821,Products!$A:$E,5,FALSE()),"")</f>
        <v>0.43694581280788175</v>
      </c>
    </row>
    <row r="1822" spans="1:18" x14ac:dyDescent="0.3">
      <c r="A1822" s="22" t="s">
        <v>3542</v>
      </c>
      <c r="B1822" s="23">
        <v>45387</v>
      </c>
      <c r="C1822" s="22" t="s">
        <v>274</v>
      </c>
      <c r="D1822" s="22" t="s">
        <v>488</v>
      </c>
      <c r="E1822" s="22" t="s">
        <v>4127</v>
      </c>
      <c r="F1822" s="24">
        <v>10</v>
      </c>
      <c r="G1822" s="24">
        <v>2290</v>
      </c>
      <c r="H1822" s="24">
        <v>22.2</v>
      </c>
      <c r="I1822" s="24">
        <v>17816.2</v>
      </c>
      <c r="J1822" s="22" t="s">
        <v>104</v>
      </c>
      <c r="K1822" s="22" t="s">
        <v>105</v>
      </c>
      <c r="L1822" t="str">
        <f>VLOOKUP(D1822,Products!A:F,3,FALSE())</f>
        <v>Beauty</v>
      </c>
      <c r="M1822" t="str">
        <f>VLOOKUP(C1822,Customers!A:F,5,FALSE())</f>
        <v>SMB</v>
      </c>
      <c r="O1822" t="str">
        <f>IFERROR(VLOOKUP(E1822,Sales_Reps!$A:$C,3,FALSE()),"")</f>
        <v/>
      </c>
      <c r="P1822">
        <f>IFERROR(VLOOKUP(C1822,Customers!$A:$C,3,FALSE()),"")</f>
        <v>29</v>
      </c>
      <c r="Q1822" t="str">
        <f t="shared" si="28"/>
        <v>Apr-24</v>
      </c>
      <c r="R1822">
        <f>IFERROR((VLOOKUP(D1822,Products!$A:$E,5,FALSE())-VLOOKUP(D1822,Products!$A:$E,4,FALSE()))/VLOOKUP(D1822,Products!$A:$E,5,FALSE()),"")</f>
        <v>0.46768558951965067</v>
      </c>
    </row>
    <row r="1823" spans="1:18" x14ac:dyDescent="0.3">
      <c r="A1823" s="22" t="s">
        <v>4128</v>
      </c>
      <c r="B1823" s="23">
        <v>45373</v>
      </c>
      <c r="C1823" s="22" t="s">
        <v>2501</v>
      </c>
      <c r="D1823" s="22" t="s">
        <v>108</v>
      </c>
      <c r="E1823" s="22" t="s">
        <v>4129</v>
      </c>
      <c r="F1823" s="24">
        <v>7</v>
      </c>
      <c r="G1823" s="24">
        <v>820</v>
      </c>
      <c r="H1823" s="24">
        <v>6.4</v>
      </c>
      <c r="I1823" s="24">
        <v>5372.64</v>
      </c>
      <c r="J1823" s="22" t="s">
        <v>164</v>
      </c>
      <c r="K1823" s="22" t="s">
        <v>111</v>
      </c>
      <c r="L1823" t="str">
        <f>VLOOKUP(D1823,Products!A:F,3,FALSE())</f>
        <v>Apparel</v>
      </c>
      <c r="M1823" t="str">
        <f>VLOOKUP(C1823,Customers!A:F,5,FALSE())</f>
        <v>Retail</v>
      </c>
      <c r="O1823" t="str">
        <f>IFERROR(VLOOKUP(E1823,Sales_Reps!$A:$C,3,FALSE()),"")</f>
        <v/>
      </c>
      <c r="P1823">
        <f>IFERROR(VLOOKUP(C1823,Customers!$A:$C,3,FALSE()),"")</f>
        <v>26</v>
      </c>
      <c r="Q1823" t="str">
        <f t="shared" si="28"/>
        <v>Mar-24</v>
      </c>
      <c r="R1823">
        <f>IFERROR((VLOOKUP(D1823,Products!$A:$E,5,FALSE())-VLOOKUP(D1823,Products!$A:$E,4,FALSE()))/VLOOKUP(D1823,Products!$A:$E,5,FALSE()),"")</f>
        <v>0.52317073170731709</v>
      </c>
    </row>
    <row r="1824" spans="1:18" x14ac:dyDescent="0.3">
      <c r="A1824" s="22" t="s">
        <v>4130</v>
      </c>
      <c r="B1824" s="23">
        <v>45614</v>
      </c>
      <c r="C1824" s="22" t="s">
        <v>411</v>
      </c>
      <c r="D1824" s="22" t="s">
        <v>186</v>
      </c>
      <c r="E1824" s="22" t="s">
        <v>4131</v>
      </c>
      <c r="F1824" s="24">
        <v>5</v>
      </c>
      <c r="G1824" s="24">
        <v>1080</v>
      </c>
      <c r="H1824" s="24">
        <v>6</v>
      </c>
      <c r="I1824" s="24">
        <v>5076</v>
      </c>
      <c r="J1824" s="22" t="s">
        <v>104</v>
      </c>
      <c r="K1824" s="22" t="s">
        <v>151</v>
      </c>
      <c r="L1824" t="str">
        <f>VLOOKUP(D1824,Products!A:F,3,FALSE())</f>
        <v>Home</v>
      </c>
      <c r="M1824" t="str">
        <f>VLOOKUP(C1824,Customers!A:F,5,FALSE())</f>
        <v>SMB</v>
      </c>
      <c r="O1824" t="str">
        <f>IFERROR(VLOOKUP(E1824,Sales_Reps!$A:$C,3,FALSE()),"")</f>
        <v/>
      </c>
      <c r="P1824">
        <f>IFERROR(VLOOKUP(C1824,Customers!$A:$C,3,FALSE()),"")</f>
        <v>65</v>
      </c>
      <c r="Q1824" t="str">
        <f t="shared" si="28"/>
        <v>Nov-24</v>
      </c>
      <c r="R1824">
        <f>IFERROR((VLOOKUP(D1824,Products!$A:$E,5,FALSE())-VLOOKUP(D1824,Products!$A:$E,4,FALSE()))/VLOOKUP(D1824,Products!$A:$E,5,FALSE()),"")</f>
        <v>0.51944444444444449</v>
      </c>
    </row>
    <row r="1825" spans="1:18" x14ac:dyDescent="0.3">
      <c r="A1825" s="22" t="s">
        <v>4132</v>
      </c>
      <c r="B1825" s="23">
        <v>45310</v>
      </c>
      <c r="C1825" s="22" t="s">
        <v>635</v>
      </c>
      <c r="D1825" s="22" t="s">
        <v>167</v>
      </c>
      <c r="E1825" s="22" t="s">
        <v>4133</v>
      </c>
      <c r="F1825" s="24">
        <v>4</v>
      </c>
      <c r="G1825" s="24">
        <v>190</v>
      </c>
      <c r="H1825" s="24">
        <v>6.3</v>
      </c>
      <c r="I1825" s="24">
        <v>712.12</v>
      </c>
      <c r="J1825" s="22" t="s">
        <v>164</v>
      </c>
      <c r="K1825" s="22" t="s">
        <v>105</v>
      </c>
      <c r="L1825" t="str">
        <f>VLOOKUP(D1825,Products!A:F,3,FALSE())</f>
        <v>Sports</v>
      </c>
      <c r="M1825" t="str">
        <f>VLOOKUP(C1825,Customers!A:F,5,FALSE())</f>
        <v>SMB</v>
      </c>
      <c r="O1825" t="str">
        <f>IFERROR(VLOOKUP(E1825,Sales_Reps!$A:$C,3,FALSE()),"")</f>
        <v/>
      </c>
      <c r="P1825">
        <f>IFERROR(VLOOKUP(C1825,Customers!$A:$C,3,FALSE()),"")</f>
        <v>49</v>
      </c>
      <c r="Q1825" t="str">
        <f t="shared" si="28"/>
        <v>Jan-24</v>
      </c>
      <c r="R1825">
        <f>IFERROR((VLOOKUP(D1825,Products!$A:$E,5,FALSE())-VLOOKUP(D1825,Products!$A:$E,4,FALSE()))/VLOOKUP(D1825,Products!$A:$E,5,FALSE()),"")</f>
        <v>0.22631578947368422</v>
      </c>
    </row>
    <row r="1826" spans="1:18" x14ac:dyDescent="0.3">
      <c r="A1826" s="22" t="s">
        <v>4134</v>
      </c>
      <c r="B1826" s="23">
        <v>45319</v>
      </c>
      <c r="C1826" s="22" t="s">
        <v>326</v>
      </c>
      <c r="D1826" s="22" t="s">
        <v>442</v>
      </c>
      <c r="E1826" s="22" t="s">
        <v>4135</v>
      </c>
      <c r="F1826" s="24">
        <v>6</v>
      </c>
      <c r="G1826" s="24">
        <v>2510</v>
      </c>
      <c r="H1826" s="24">
        <v>11.5</v>
      </c>
      <c r="I1826" s="24">
        <v>13328.1</v>
      </c>
      <c r="J1826" s="22" t="s">
        <v>104</v>
      </c>
      <c r="K1826" s="22" t="s">
        <v>111</v>
      </c>
      <c r="L1826" t="str">
        <f>VLOOKUP(D1826,Products!A:F,3,FALSE())</f>
        <v>Apparel</v>
      </c>
      <c r="M1826" t="str">
        <f>VLOOKUP(C1826,Customers!A:F,5,FALSE())</f>
        <v>SMB</v>
      </c>
      <c r="O1826" t="str">
        <f>IFERROR(VLOOKUP(E1826,Sales_Reps!$A:$C,3,FALSE()),"")</f>
        <v/>
      </c>
      <c r="P1826">
        <f>IFERROR(VLOOKUP(C1826,Customers!$A:$C,3,FALSE()),"")</f>
        <v>55</v>
      </c>
      <c r="Q1826" t="str">
        <f t="shared" si="28"/>
        <v>Jan-24</v>
      </c>
      <c r="R1826">
        <f>IFERROR((VLOOKUP(D1826,Products!$A:$E,5,FALSE())-VLOOKUP(D1826,Products!$A:$E,4,FALSE()))/VLOOKUP(D1826,Products!$A:$E,5,FALSE()),"")</f>
        <v>0.57171314741035861</v>
      </c>
    </row>
    <row r="1827" spans="1:18" x14ac:dyDescent="0.3">
      <c r="A1827" s="22" t="s">
        <v>4136</v>
      </c>
      <c r="B1827" s="23">
        <v>45299</v>
      </c>
      <c r="C1827" s="22" t="s">
        <v>122</v>
      </c>
      <c r="D1827" s="22" t="s">
        <v>935</v>
      </c>
      <c r="E1827" s="22" t="s">
        <v>4137</v>
      </c>
      <c r="F1827" s="24">
        <v>2</v>
      </c>
      <c r="G1827" s="24">
        <v>3560</v>
      </c>
      <c r="H1827" s="24">
        <v>10.5</v>
      </c>
      <c r="I1827" s="24">
        <v>6372.4</v>
      </c>
      <c r="J1827" s="22" t="s">
        <v>104</v>
      </c>
      <c r="K1827" s="22" t="s">
        <v>111</v>
      </c>
      <c r="L1827" t="str">
        <f>VLOOKUP(D1827,Products!A:F,3,FALSE())</f>
        <v>Apparel</v>
      </c>
      <c r="M1827" t="str">
        <f>VLOOKUP(C1827,Customers!A:F,5,FALSE())</f>
        <v>Retail</v>
      </c>
      <c r="O1827" t="str">
        <f>IFERROR(VLOOKUP(E1827,Sales_Reps!$A:$C,3,FALSE()),"")</f>
        <v/>
      </c>
      <c r="P1827">
        <f>IFERROR(VLOOKUP(C1827,Customers!$A:$C,3,FALSE()),"")</f>
        <v>36</v>
      </c>
      <c r="Q1827" t="str">
        <f t="shared" si="28"/>
        <v>Jan-24</v>
      </c>
      <c r="R1827">
        <f>IFERROR((VLOOKUP(D1827,Products!$A:$E,5,FALSE())-VLOOKUP(D1827,Products!$A:$E,4,FALSE()))/VLOOKUP(D1827,Products!$A:$E,5,FALSE()),"")</f>
        <v>0.26151685393258428</v>
      </c>
    </row>
    <row r="1828" spans="1:18" x14ac:dyDescent="0.3">
      <c r="A1828" s="22" t="s">
        <v>4138</v>
      </c>
      <c r="B1828" s="23">
        <v>45556</v>
      </c>
      <c r="C1828" s="22" t="s">
        <v>1253</v>
      </c>
      <c r="D1828" s="22" t="s">
        <v>108</v>
      </c>
      <c r="E1828" s="22" t="s">
        <v>4139</v>
      </c>
      <c r="F1828" s="24">
        <v>3</v>
      </c>
      <c r="G1828" s="24">
        <v>820</v>
      </c>
      <c r="H1828" s="24">
        <v>13</v>
      </c>
      <c r="I1828" s="24">
        <v>2140.1999999999998</v>
      </c>
      <c r="J1828" s="22" t="s">
        <v>159</v>
      </c>
      <c r="K1828" s="22" t="s">
        <v>134</v>
      </c>
      <c r="L1828" t="str">
        <f>VLOOKUP(D1828,Products!A:F,3,FALSE())</f>
        <v>Apparel</v>
      </c>
      <c r="M1828" t="str">
        <f>VLOOKUP(C1828,Customers!A:F,5,FALSE())</f>
        <v>Corporate</v>
      </c>
      <c r="O1828" t="str">
        <f>IFERROR(VLOOKUP(E1828,Sales_Reps!$A:$C,3,FALSE()),"")</f>
        <v/>
      </c>
      <c r="P1828">
        <f>IFERROR(VLOOKUP(C1828,Customers!$A:$C,3,FALSE()),"")</f>
        <v>41</v>
      </c>
      <c r="Q1828" t="str">
        <f t="shared" si="28"/>
        <v>Sep-24</v>
      </c>
      <c r="R1828">
        <f>IFERROR((VLOOKUP(D1828,Products!$A:$E,5,FALSE())-VLOOKUP(D1828,Products!$A:$E,4,FALSE()))/VLOOKUP(D1828,Products!$A:$E,5,FALSE()),"")</f>
        <v>0.52317073170731709</v>
      </c>
    </row>
    <row r="1829" spans="1:18" x14ac:dyDescent="0.3">
      <c r="A1829" s="22" t="s">
        <v>4140</v>
      </c>
      <c r="B1829" s="23">
        <v>45500</v>
      </c>
      <c r="C1829" s="22" t="s">
        <v>2222</v>
      </c>
      <c r="D1829" s="22" t="s">
        <v>279</v>
      </c>
      <c r="E1829" s="22" t="s">
        <v>4141</v>
      </c>
      <c r="F1829" s="24">
        <v>6</v>
      </c>
      <c r="G1829" s="24">
        <v>3640</v>
      </c>
      <c r="H1829" s="24">
        <v>14</v>
      </c>
      <c r="I1829" s="24">
        <v>18782.400000000001</v>
      </c>
      <c r="J1829" s="22" t="s">
        <v>104</v>
      </c>
      <c r="K1829" s="22" t="s">
        <v>129</v>
      </c>
      <c r="L1829" t="str">
        <f>VLOOKUP(D1829,Products!A:F,3,FALSE())</f>
        <v>Apparel</v>
      </c>
      <c r="M1829" t="str">
        <f>VLOOKUP(C1829,Customers!A:F,5,FALSE())</f>
        <v>Corporate</v>
      </c>
      <c r="O1829" t="str">
        <f>IFERROR(VLOOKUP(E1829,Sales_Reps!$A:$C,3,FALSE()),"")</f>
        <v/>
      </c>
      <c r="P1829">
        <f>IFERROR(VLOOKUP(C1829,Customers!$A:$C,3,FALSE()),"")</f>
        <v>42</v>
      </c>
      <c r="Q1829" t="str">
        <f t="shared" si="28"/>
        <v>Jul-24</v>
      </c>
      <c r="R1829">
        <f>IFERROR((VLOOKUP(D1829,Products!$A:$E,5,FALSE())-VLOOKUP(D1829,Products!$A:$E,4,FALSE()))/VLOOKUP(D1829,Products!$A:$E,5,FALSE()),"")</f>
        <v>0.28269230769230769</v>
      </c>
    </row>
    <row r="1830" spans="1:18" x14ac:dyDescent="0.3">
      <c r="A1830" s="22" t="s">
        <v>4142</v>
      </c>
      <c r="B1830" s="23">
        <v>45370</v>
      </c>
      <c r="C1830" s="22" t="s">
        <v>181</v>
      </c>
      <c r="D1830" s="22" t="s">
        <v>119</v>
      </c>
      <c r="E1830" s="22" t="s">
        <v>4143</v>
      </c>
      <c r="F1830" s="24">
        <v>5</v>
      </c>
      <c r="G1830" s="24">
        <v>3660</v>
      </c>
      <c r="H1830" s="24">
        <v>28.7</v>
      </c>
      <c r="I1830" s="24">
        <v>13047.9</v>
      </c>
      <c r="J1830" s="22" t="s">
        <v>104</v>
      </c>
      <c r="K1830" s="22" t="s">
        <v>129</v>
      </c>
      <c r="L1830" t="str">
        <f>VLOOKUP(D1830,Products!A:F,3,FALSE())</f>
        <v>Grocery</v>
      </c>
      <c r="M1830" t="str">
        <f>VLOOKUP(C1830,Customers!A:F,5,FALSE())</f>
        <v>Retail</v>
      </c>
      <c r="O1830" t="str">
        <f>IFERROR(VLOOKUP(E1830,Sales_Reps!$A:$C,3,FALSE()),"")</f>
        <v/>
      </c>
      <c r="P1830">
        <f>IFERROR(VLOOKUP(C1830,Customers!$A:$C,3,FALSE()),"")</f>
        <v>54</v>
      </c>
      <c r="Q1830" t="str">
        <f t="shared" si="28"/>
        <v>Mar-24</v>
      </c>
      <c r="R1830">
        <f>IFERROR((VLOOKUP(D1830,Products!$A:$E,5,FALSE())-VLOOKUP(D1830,Products!$A:$E,4,FALSE()))/VLOOKUP(D1830,Products!$A:$E,5,FALSE()),"")</f>
        <v>0.39508196721311473</v>
      </c>
    </row>
    <row r="1831" spans="1:18" x14ac:dyDescent="0.3">
      <c r="A1831" s="22" t="s">
        <v>4144</v>
      </c>
      <c r="B1831" s="23">
        <v>45521</v>
      </c>
      <c r="C1831" s="22" t="s">
        <v>274</v>
      </c>
      <c r="D1831" s="22" t="s">
        <v>224</v>
      </c>
      <c r="E1831" s="22" t="s">
        <v>4145</v>
      </c>
      <c r="F1831" s="24">
        <v>2</v>
      </c>
      <c r="G1831" s="24">
        <v>2860</v>
      </c>
      <c r="H1831" s="24">
        <v>21.1</v>
      </c>
      <c r="I1831" s="24">
        <v>4513.08</v>
      </c>
      <c r="J1831" s="22" t="s">
        <v>104</v>
      </c>
      <c r="K1831" s="22" t="s">
        <v>105</v>
      </c>
      <c r="L1831" t="str">
        <f>VLOOKUP(D1831,Products!A:F,3,FALSE())</f>
        <v>Sports</v>
      </c>
      <c r="M1831" t="str">
        <f>VLOOKUP(C1831,Customers!A:F,5,FALSE())</f>
        <v>SMB</v>
      </c>
      <c r="O1831" t="str">
        <f>IFERROR(VLOOKUP(E1831,Sales_Reps!$A:$C,3,FALSE()),"")</f>
        <v/>
      </c>
      <c r="P1831">
        <f>IFERROR(VLOOKUP(C1831,Customers!$A:$C,3,FALSE()),"")</f>
        <v>29</v>
      </c>
      <c r="Q1831" t="str">
        <f t="shared" si="28"/>
        <v>Aug-24</v>
      </c>
      <c r="R1831">
        <f>IFERROR((VLOOKUP(D1831,Products!$A:$E,5,FALSE())-VLOOKUP(D1831,Products!$A:$E,4,FALSE()))/VLOOKUP(D1831,Products!$A:$E,5,FALSE()),"")</f>
        <v>0.29090909090909089</v>
      </c>
    </row>
    <row r="1832" spans="1:18" x14ac:dyDescent="0.3">
      <c r="A1832" s="22" t="s">
        <v>4146</v>
      </c>
      <c r="B1832" s="23">
        <v>45481</v>
      </c>
      <c r="C1832" s="22" t="s">
        <v>897</v>
      </c>
      <c r="D1832" s="22" t="s">
        <v>197</v>
      </c>
      <c r="E1832" s="22" t="s">
        <v>4147</v>
      </c>
      <c r="F1832" s="24">
        <v>1</v>
      </c>
      <c r="G1832" s="24">
        <v>2720</v>
      </c>
      <c r="H1832" s="24">
        <v>22.1</v>
      </c>
      <c r="I1832" s="24">
        <v>2118.88</v>
      </c>
      <c r="J1832" s="22" t="s">
        <v>104</v>
      </c>
      <c r="K1832" s="22" t="s">
        <v>116</v>
      </c>
      <c r="L1832" t="str">
        <f>VLOOKUP(D1832,Products!A:F,3,FALSE())</f>
        <v>Apparel</v>
      </c>
      <c r="M1832" t="str">
        <f>VLOOKUP(C1832,Customers!A:F,5,FALSE())</f>
        <v>Retail</v>
      </c>
      <c r="O1832" t="str">
        <f>IFERROR(VLOOKUP(E1832,Sales_Reps!$A:$C,3,FALSE()),"")</f>
        <v/>
      </c>
      <c r="P1832">
        <f>IFERROR(VLOOKUP(C1832,Customers!$A:$C,3,FALSE()),"")</f>
        <v>43</v>
      </c>
      <c r="Q1832" t="str">
        <f t="shared" si="28"/>
        <v>Jul-24</v>
      </c>
      <c r="R1832">
        <f>IFERROR((VLOOKUP(D1832,Products!$A:$E,5,FALSE())-VLOOKUP(D1832,Products!$A:$E,4,FALSE()))/VLOOKUP(D1832,Products!$A:$E,5,FALSE()),"")</f>
        <v>0.2786764705882353</v>
      </c>
    </row>
    <row r="1833" spans="1:18" x14ac:dyDescent="0.3">
      <c r="A1833" s="22" t="s">
        <v>4148</v>
      </c>
      <c r="B1833" s="23">
        <v>45633</v>
      </c>
      <c r="C1833" s="22" t="s">
        <v>1350</v>
      </c>
      <c r="D1833" s="22" t="s">
        <v>224</v>
      </c>
      <c r="E1833" s="22" t="s">
        <v>4149</v>
      </c>
      <c r="F1833" s="24">
        <v>6</v>
      </c>
      <c r="G1833" s="24">
        <v>2860</v>
      </c>
      <c r="H1833" s="24">
        <v>10.5</v>
      </c>
      <c r="I1833" s="24">
        <v>15358.2</v>
      </c>
      <c r="J1833" s="22" t="s">
        <v>159</v>
      </c>
      <c r="K1833" s="22" t="s">
        <v>134</v>
      </c>
      <c r="L1833" t="str">
        <f>VLOOKUP(D1833,Products!A:F,3,FALSE())</f>
        <v>Sports</v>
      </c>
      <c r="M1833" t="str">
        <f>VLOOKUP(C1833,Customers!A:F,5,FALSE())</f>
        <v>Retail</v>
      </c>
      <c r="O1833" t="str">
        <f>IFERROR(VLOOKUP(E1833,Sales_Reps!$A:$C,3,FALSE()),"")</f>
        <v/>
      </c>
      <c r="P1833">
        <f>IFERROR(VLOOKUP(C1833,Customers!$A:$C,3,FALSE()),"")</f>
        <v>46</v>
      </c>
      <c r="Q1833" t="str">
        <f t="shared" si="28"/>
        <v>Dec-24</v>
      </c>
      <c r="R1833">
        <f>IFERROR((VLOOKUP(D1833,Products!$A:$E,5,FALSE())-VLOOKUP(D1833,Products!$A:$E,4,FALSE()))/VLOOKUP(D1833,Products!$A:$E,5,FALSE()),"")</f>
        <v>0.29090909090909089</v>
      </c>
    </row>
    <row r="1834" spans="1:18" x14ac:dyDescent="0.3">
      <c r="A1834" s="22" t="s">
        <v>4150</v>
      </c>
      <c r="B1834" s="23">
        <v>45305</v>
      </c>
      <c r="C1834" s="22" t="s">
        <v>760</v>
      </c>
      <c r="D1834" s="22" t="s">
        <v>442</v>
      </c>
      <c r="E1834" s="22" t="s">
        <v>4151</v>
      </c>
      <c r="F1834" s="24">
        <v>1</v>
      </c>
      <c r="G1834" s="24">
        <v>2510</v>
      </c>
      <c r="H1834" s="24">
        <v>12</v>
      </c>
      <c r="I1834" s="24">
        <v>2208.8000000000002</v>
      </c>
      <c r="J1834" s="22" t="s">
        <v>104</v>
      </c>
      <c r="K1834" s="22" t="s">
        <v>129</v>
      </c>
      <c r="L1834" t="str">
        <f>VLOOKUP(D1834,Products!A:F,3,FALSE())</f>
        <v>Apparel</v>
      </c>
      <c r="M1834" t="str">
        <f>VLOOKUP(C1834,Customers!A:F,5,FALSE())</f>
        <v>Retail</v>
      </c>
      <c r="O1834" t="str">
        <f>IFERROR(VLOOKUP(E1834,Sales_Reps!$A:$C,3,FALSE()),"")</f>
        <v/>
      </c>
      <c r="P1834">
        <f>IFERROR(VLOOKUP(C1834,Customers!$A:$C,3,FALSE()),"")</f>
        <v>37</v>
      </c>
      <c r="Q1834" t="str">
        <f t="shared" si="28"/>
        <v>Jan-24</v>
      </c>
      <c r="R1834">
        <f>IFERROR((VLOOKUP(D1834,Products!$A:$E,5,FALSE())-VLOOKUP(D1834,Products!$A:$E,4,FALSE()))/VLOOKUP(D1834,Products!$A:$E,5,FALSE()),"")</f>
        <v>0.57171314741035861</v>
      </c>
    </row>
    <row r="1835" spans="1:18" x14ac:dyDescent="0.3">
      <c r="A1835" s="22" t="s">
        <v>4152</v>
      </c>
      <c r="B1835" s="23">
        <v>45593</v>
      </c>
      <c r="C1835" s="22" t="s">
        <v>805</v>
      </c>
      <c r="D1835" s="22" t="s">
        <v>442</v>
      </c>
      <c r="E1835" s="22" t="s">
        <v>4153</v>
      </c>
      <c r="F1835" s="24">
        <v>4</v>
      </c>
      <c r="G1835" s="24">
        <v>2510</v>
      </c>
      <c r="H1835" s="24">
        <v>23.2</v>
      </c>
      <c r="I1835" s="24">
        <v>7710.72</v>
      </c>
      <c r="J1835" s="22" t="s">
        <v>104</v>
      </c>
      <c r="K1835" s="22" t="s">
        <v>111</v>
      </c>
      <c r="L1835" t="str">
        <f>VLOOKUP(D1835,Products!A:F,3,FALSE())</f>
        <v>Apparel</v>
      </c>
      <c r="M1835" t="str">
        <f>VLOOKUP(C1835,Customers!A:F,5,FALSE())</f>
        <v>SMB</v>
      </c>
      <c r="O1835" t="str">
        <f>IFERROR(VLOOKUP(E1835,Sales_Reps!$A:$C,3,FALSE()),"")</f>
        <v/>
      </c>
      <c r="P1835">
        <f>IFERROR(VLOOKUP(C1835,Customers!$A:$C,3,FALSE()),"")</f>
        <v>59</v>
      </c>
      <c r="Q1835" t="str">
        <f t="shared" si="28"/>
        <v>Oct-24</v>
      </c>
      <c r="R1835">
        <f>IFERROR((VLOOKUP(D1835,Products!$A:$E,5,FALSE())-VLOOKUP(D1835,Products!$A:$E,4,FALSE()))/VLOOKUP(D1835,Products!$A:$E,5,FALSE()),"")</f>
        <v>0.57171314741035861</v>
      </c>
    </row>
    <row r="1836" spans="1:18" x14ac:dyDescent="0.3">
      <c r="A1836" s="22" t="s">
        <v>4154</v>
      </c>
      <c r="B1836" s="23">
        <v>45555</v>
      </c>
      <c r="C1836" s="22" t="s">
        <v>1659</v>
      </c>
      <c r="D1836" s="22" t="s">
        <v>479</v>
      </c>
      <c r="E1836" s="22" t="s">
        <v>4155</v>
      </c>
      <c r="F1836" s="24">
        <v>8</v>
      </c>
      <c r="G1836" s="24">
        <v>960</v>
      </c>
      <c r="H1836" s="24">
        <v>20.3</v>
      </c>
      <c r="I1836" s="24">
        <v>6120.96</v>
      </c>
      <c r="J1836" s="22" t="s">
        <v>110</v>
      </c>
      <c r="K1836" s="22" t="s">
        <v>111</v>
      </c>
      <c r="L1836" t="str">
        <f>VLOOKUP(D1836,Products!A:F,3,FALSE())</f>
        <v>Beauty</v>
      </c>
      <c r="M1836" t="str">
        <f>VLOOKUP(C1836,Customers!A:F,5,FALSE())</f>
        <v>Retail</v>
      </c>
      <c r="O1836" t="str">
        <f>IFERROR(VLOOKUP(E1836,Sales_Reps!$A:$C,3,FALSE()),"")</f>
        <v/>
      </c>
      <c r="P1836">
        <f>IFERROR(VLOOKUP(C1836,Customers!$A:$C,3,FALSE()),"")</f>
        <v>49</v>
      </c>
      <c r="Q1836" t="str">
        <f t="shared" si="28"/>
        <v>Sep-24</v>
      </c>
      <c r="R1836">
        <f>IFERROR((VLOOKUP(D1836,Products!$A:$E,5,FALSE())-VLOOKUP(D1836,Products!$A:$E,4,FALSE()))/VLOOKUP(D1836,Products!$A:$E,5,FALSE()),"")</f>
        <v>0.296875</v>
      </c>
    </row>
    <row r="1837" spans="1:18" x14ac:dyDescent="0.3">
      <c r="A1837" s="22" t="s">
        <v>4156</v>
      </c>
      <c r="B1837" s="23">
        <v>45406</v>
      </c>
      <c r="C1837" s="22" t="s">
        <v>3596</v>
      </c>
      <c r="D1837" s="22" t="s">
        <v>141</v>
      </c>
      <c r="E1837" s="22" t="s">
        <v>4157</v>
      </c>
      <c r="F1837" s="24">
        <v>3</v>
      </c>
      <c r="G1837" s="24">
        <v>5490</v>
      </c>
      <c r="H1837" s="24">
        <v>25.2</v>
      </c>
      <c r="I1837" s="24">
        <v>12319.56</v>
      </c>
      <c r="J1837" s="22" t="s">
        <v>104</v>
      </c>
      <c r="K1837" s="22" t="s">
        <v>151</v>
      </c>
      <c r="L1837" t="str">
        <f>VLOOKUP(D1837,Products!A:F,3,FALSE())</f>
        <v>Home</v>
      </c>
      <c r="M1837" t="str">
        <f>VLOOKUP(C1837,Customers!A:F,5,FALSE())</f>
        <v>SMB</v>
      </c>
      <c r="O1837" t="str">
        <f>IFERROR(VLOOKUP(E1837,Sales_Reps!$A:$C,3,FALSE()),"")</f>
        <v/>
      </c>
      <c r="P1837">
        <f>IFERROR(VLOOKUP(C1837,Customers!$A:$C,3,FALSE()),"")</f>
        <v>39</v>
      </c>
      <c r="Q1837" t="str">
        <f t="shared" si="28"/>
        <v>Apr-24</v>
      </c>
      <c r="R1837">
        <f>IFERROR((VLOOKUP(D1837,Products!$A:$E,5,FALSE())-VLOOKUP(D1837,Products!$A:$E,4,FALSE()))/VLOOKUP(D1837,Products!$A:$E,5,FALSE()),"")</f>
        <v>0.53570127504553733</v>
      </c>
    </row>
    <row r="1838" spans="1:18" x14ac:dyDescent="0.3">
      <c r="A1838" s="22" t="s">
        <v>4158</v>
      </c>
      <c r="B1838" s="23">
        <v>45647</v>
      </c>
      <c r="C1838" s="22" t="s">
        <v>1442</v>
      </c>
      <c r="D1838" s="22" t="s">
        <v>442</v>
      </c>
      <c r="E1838" s="22" t="s">
        <v>4159</v>
      </c>
      <c r="F1838" s="24">
        <v>2</v>
      </c>
      <c r="G1838" s="24">
        <v>2510</v>
      </c>
      <c r="H1838" s="24">
        <v>28.2</v>
      </c>
      <c r="I1838" s="24">
        <v>3604.36</v>
      </c>
      <c r="J1838" s="22" t="s">
        <v>104</v>
      </c>
      <c r="K1838" s="22" t="s">
        <v>105</v>
      </c>
      <c r="L1838" t="str">
        <f>VLOOKUP(D1838,Products!A:F,3,FALSE())</f>
        <v>Apparel</v>
      </c>
      <c r="M1838" t="str">
        <f>VLOOKUP(C1838,Customers!A:F,5,FALSE())</f>
        <v>Retail</v>
      </c>
      <c r="O1838" t="str">
        <f>IFERROR(VLOOKUP(E1838,Sales_Reps!$A:$C,3,FALSE()),"")</f>
        <v/>
      </c>
      <c r="P1838">
        <f>IFERROR(VLOOKUP(C1838,Customers!$A:$C,3,FALSE()),"")</f>
        <v>54</v>
      </c>
      <c r="Q1838" t="str">
        <f t="shared" si="28"/>
        <v>Dec-24</v>
      </c>
      <c r="R1838">
        <f>IFERROR((VLOOKUP(D1838,Products!$A:$E,5,FALSE())-VLOOKUP(D1838,Products!$A:$E,4,FALSE()))/VLOOKUP(D1838,Products!$A:$E,5,FALSE()),"")</f>
        <v>0.57171314741035861</v>
      </c>
    </row>
    <row r="1839" spans="1:18" x14ac:dyDescent="0.3">
      <c r="A1839" s="22" t="s">
        <v>4160</v>
      </c>
      <c r="B1839" s="23">
        <v>45386</v>
      </c>
      <c r="C1839" s="22" t="s">
        <v>1175</v>
      </c>
      <c r="D1839" s="22" t="s">
        <v>108</v>
      </c>
      <c r="E1839" s="22" t="s">
        <v>4161</v>
      </c>
      <c r="F1839" s="24">
        <v>1</v>
      </c>
      <c r="G1839" s="24">
        <v>820</v>
      </c>
      <c r="H1839" s="24">
        <v>4.7</v>
      </c>
      <c r="I1839" s="24">
        <v>781.46</v>
      </c>
      <c r="J1839" s="22" t="s">
        <v>104</v>
      </c>
      <c r="K1839" s="22" t="s">
        <v>116</v>
      </c>
      <c r="L1839" t="str">
        <f>VLOOKUP(D1839,Products!A:F,3,FALSE())</f>
        <v>Apparel</v>
      </c>
      <c r="M1839" t="str">
        <f>VLOOKUP(C1839,Customers!A:F,5,FALSE())</f>
        <v>Retail</v>
      </c>
      <c r="O1839" t="str">
        <f>IFERROR(VLOOKUP(E1839,Sales_Reps!$A:$C,3,FALSE()),"")</f>
        <v/>
      </c>
      <c r="P1839">
        <f>IFERROR(VLOOKUP(C1839,Customers!$A:$C,3,FALSE()),"")</f>
        <v>63</v>
      </c>
      <c r="Q1839" t="str">
        <f t="shared" si="28"/>
        <v>Apr-24</v>
      </c>
      <c r="R1839">
        <f>IFERROR((VLOOKUP(D1839,Products!$A:$E,5,FALSE())-VLOOKUP(D1839,Products!$A:$E,4,FALSE()))/VLOOKUP(D1839,Products!$A:$E,5,FALSE()),"")</f>
        <v>0.52317073170731709</v>
      </c>
    </row>
    <row r="1840" spans="1:18" x14ac:dyDescent="0.3">
      <c r="A1840" s="22" t="s">
        <v>4162</v>
      </c>
      <c r="B1840" s="23">
        <v>45453</v>
      </c>
      <c r="C1840" s="22" t="s">
        <v>435</v>
      </c>
      <c r="D1840" s="22" t="s">
        <v>338</v>
      </c>
      <c r="E1840" s="22" t="s">
        <v>4163</v>
      </c>
      <c r="F1840" s="24">
        <v>6</v>
      </c>
      <c r="G1840" s="24">
        <v>300</v>
      </c>
      <c r="H1840" s="24">
        <v>13.3</v>
      </c>
      <c r="I1840" s="24">
        <v>1560.6</v>
      </c>
      <c r="J1840" s="22" t="s">
        <v>104</v>
      </c>
      <c r="K1840" s="22" t="s">
        <v>129</v>
      </c>
      <c r="L1840" t="str">
        <f>VLOOKUP(D1840,Products!A:F,3,FALSE())</f>
        <v>Electronics</v>
      </c>
      <c r="M1840" t="str">
        <f>VLOOKUP(C1840,Customers!A:F,5,FALSE())</f>
        <v>SMB</v>
      </c>
      <c r="O1840" t="str">
        <f>IFERROR(VLOOKUP(E1840,Sales_Reps!$A:$C,3,FALSE()),"")</f>
        <v/>
      </c>
      <c r="P1840">
        <f>IFERROR(VLOOKUP(C1840,Customers!$A:$C,3,FALSE()),"")</f>
        <v>22</v>
      </c>
      <c r="Q1840" t="str">
        <f t="shared" si="28"/>
        <v>Jun-24</v>
      </c>
      <c r="R1840">
        <f>IFERROR((VLOOKUP(D1840,Products!$A:$E,5,FALSE())-VLOOKUP(D1840,Products!$A:$E,4,FALSE()))/VLOOKUP(D1840,Products!$A:$E,5,FALSE()),"")</f>
        <v>0.57333333333333336</v>
      </c>
    </row>
    <row r="1841" spans="1:18" x14ac:dyDescent="0.3">
      <c r="A1841" s="22" t="s">
        <v>4164</v>
      </c>
      <c r="B1841" s="23">
        <v>45492</v>
      </c>
      <c r="C1841" s="22" t="s">
        <v>122</v>
      </c>
      <c r="D1841" s="22" t="s">
        <v>205</v>
      </c>
      <c r="E1841" s="22" t="s">
        <v>4165</v>
      </c>
      <c r="F1841" s="24">
        <v>4</v>
      </c>
      <c r="G1841" s="24">
        <v>3350</v>
      </c>
      <c r="H1841" s="24">
        <v>5.8</v>
      </c>
      <c r="I1841" s="24">
        <v>12622.8</v>
      </c>
      <c r="J1841" s="22" t="s">
        <v>110</v>
      </c>
      <c r="K1841" s="22" t="s">
        <v>111</v>
      </c>
      <c r="L1841" t="str">
        <f>VLOOKUP(D1841,Products!A:F,3,FALSE())</f>
        <v>Beauty</v>
      </c>
      <c r="M1841" t="str">
        <f>VLOOKUP(C1841,Customers!A:F,5,FALSE())</f>
        <v>Retail</v>
      </c>
      <c r="O1841" t="str">
        <f>IFERROR(VLOOKUP(E1841,Sales_Reps!$A:$C,3,FALSE()),"")</f>
        <v/>
      </c>
      <c r="P1841">
        <f>IFERROR(VLOOKUP(C1841,Customers!$A:$C,3,FALSE()),"")</f>
        <v>36</v>
      </c>
      <c r="Q1841" t="str">
        <f t="shared" si="28"/>
        <v>Jul-24</v>
      </c>
      <c r="R1841">
        <f>IFERROR((VLOOKUP(D1841,Products!$A:$E,5,FALSE())-VLOOKUP(D1841,Products!$A:$E,4,FALSE()))/VLOOKUP(D1841,Products!$A:$E,5,FALSE()),"")</f>
        <v>0.48417910447761192</v>
      </c>
    </row>
    <row r="1842" spans="1:18" x14ac:dyDescent="0.3">
      <c r="A1842" s="22" t="s">
        <v>4166</v>
      </c>
      <c r="B1842" s="23">
        <v>45605</v>
      </c>
      <c r="C1842" s="22" t="s">
        <v>3130</v>
      </c>
      <c r="D1842" s="22" t="s">
        <v>162</v>
      </c>
      <c r="E1842" s="22" t="s">
        <v>4167</v>
      </c>
      <c r="F1842" s="24">
        <v>3</v>
      </c>
      <c r="G1842" s="24">
        <v>3250</v>
      </c>
      <c r="H1842" s="24">
        <v>19.600000000000001</v>
      </c>
      <c r="I1842" s="24">
        <v>7839</v>
      </c>
      <c r="J1842" s="22" t="s">
        <v>110</v>
      </c>
      <c r="K1842" s="22" t="s">
        <v>116</v>
      </c>
      <c r="L1842" t="str">
        <f>VLOOKUP(D1842,Products!A:F,3,FALSE())</f>
        <v>Home</v>
      </c>
      <c r="M1842" t="str">
        <f>VLOOKUP(C1842,Customers!A:F,5,FALSE())</f>
        <v>Retail</v>
      </c>
      <c r="O1842" t="str">
        <f>IFERROR(VLOOKUP(E1842,Sales_Reps!$A:$C,3,FALSE()),"")</f>
        <v/>
      </c>
      <c r="P1842">
        <f>IFERROR(VLOOKUP(C1842,Customers!$A:$C,3,FALSE()),"")</f>
        <v>62</v>
      </c>
      <c r="Q1842" t="str">
        <f t="shared" si="28"/>
        <v>Nov-24</v>
      </c>
      <c r="R1842">
        <f>IFERROR((VLOOKUP(D1842,Products!$A:$E,5,FALSE())-VLOOKUP(D1842,Products!$A:$E,4,FALSE()))/VLOOKUP(D1842,Products!$A:$E,5,FALSE()),"")</f>
        <v>0.52123076923076928</v>
      </c>
    </row>
    <row r="1843" spans="1:18" x14ac:dyDescent="0.3">
      <c r="A1843" s="22" t="s">
        <v>4168</v>
      </c>
      <c r="B1843" s="23">
        <v>45344</v>
      </c>
      <c r="C1843" s="22" t="s">
        <v>174</v>
      </c>
      <c r="D1843" s="22" t="s">
        <v>201</v>
      </c>
      <c r="E1843" s="22" t="s">
        <v>4169</v>
      </c>
      <c r="F1843" s="24">
        <v>10</v>
      </c>
      <c r="G1843" s="24">
        <v>1650</v>
      </c>
      <c r="H1843" s="24">
        <v>22.5</v>
      </c>
      <c r="I1843" s="24">
        <v>12787.5</v>
      </c>
      <c r="J1843" s="22" t="s">
        <v>159</v>
      </c>
      <c r="K1843" s="22" t="s">
        <v>134</v>
      </c>
      <c r="L1843" t="str">
        <f>VLOOKUP(D1843,Products!A:F,3,FALSE())</f>
        <v>Beauty</v>
      </c>
      <c r="M1843" t="str">
        <f>VLOOKUP(C1843,Customers!A:F,5,FALSE())</f>
        <v>SMB</v>
      </c>
      <c r="O1843" t="str">
        <f>IFERROR(VLOOKUP(E1843,Sales_Reps!$A:$C,3,FALSE()),"")</f>
        <v/>
      </c>
      <c r="P1843">
        <f>IFERROR(VLOOKUP(C1843,Customers!$A:$C,3,FALSE()),"")</f>
        <v>46</v>
      </c>
      <c r="Q1843" t="str">
        <f t="shared" si="28"/>
        <v>Feb-24</v>
      </c>
      <c r="R1843">
        <f>IFERROR((VLOOKUP(D1843,Products!$A:$E,5,FALSE())-VLOOKUP(D1843,Products!$A:$E,4,FALSE()))/VLOOKUP(D1843,Products!$A:$E,5,FALSE()),"")</f>
        <v>0.2593939393939394</v>
      </c>
    </row>
    <row r="1844" spans="1:18" x14ac:dyDescent="0.3">
      <c r="A1844" s="22" t="s">
        <v>4170</v>
      </c>
      <c r="B1844" s="23">
        <v>45506</v>
      </c>
      <c r="C1844" s="22" t="s">
        <v>1097</v>
      </c>
      <c r="D1844" s="22" t="s">
        <v>319</v>
      </c>
      <c r="E1844" s="22" t="s">
        <v>4171</v>
      </c>
      <c r="F1844" s="24">
        <v>2</v>
      </c>
      <c r="G1844" s="24">
        <v>1220</v>
      </c>
      <c r="H1844" s="24">
        <v>10.5</v>
      </c>
      <c r="I1844" s="24">
        <v>2183.8000000000002</v>
      </c>
      <c r="J1844" s="22" t="s">
        <v>104</v>
      </c>
      <c r="K1844" s="22" t="s">
        <v>134</v>
      </c>
      <c r="L1844" t="str">
        <f>VLOOKUP(D1844,Products!A:F,3,FALSE())</f>
        <v>Electronics</v>
      </c>
      <c r="M1844" t="str">
        <f>VLOOKUP(C1844,Customers!A:F,5,FALSE())</f>
        <v>Retail</v>
      </c>
      <c r="O1844" t="str">
        <f>IFERROR(VLOOKUP(E1844,Sales_Reps!$A:$C,3,FALSE()),"")</f>
        <v/>
      </c>
      <c r="P1844">
        <f>IFERROR(VLOOKUP(C1844,Customers!$A:$C,3,FALSE()),"")</f>
        <v>32</v>
      </c>
      <c r="Q1844" t="str">
        <f t="shared" si="28"/>
        <v>Aug-24</v>
      </c>
      <c r="R1844">
        <f>IFERROR((VLOOKUP(D1844,Products!$A:$E,5,FALSE())-VLOOKUP(D1844,Products!$A:$E,4,FALSE()))/VLOOKUP(D1844,Products!$A:$E,5,FALSE()),"")</f>
        <v>0.57622950819672136</v>
      </c>
    </row>
    <row r="1845" spans="1:18" x14ac:dyDescent="0.3">
      <c r="A1845" s="22" t="s">
        <v>4172</v>
      </c>
      <c r="B1845" s="23">
        <v>45521</v>
      </c>
      <c r="C1845" s="22" t="s">
        <v>380</v>
      </c>
      <c r="D1845" s="22" t="s">
        <v>479</v>
      </c>
      <c r="E1845" s="22" t="s">
        <v>4173</v>
      </c>
      <c r="F1845" s="24">
        <v>7</v>
      </c>
      <c r="G1845" s="24">
        <v>960</v>
      </c>
      <c r="H1845" s="24">
        <v>5.4</v>
      </c>
      <c r="I1845" s="24">
        <v>6357.12</v>
      </c>
      <c r="J1845" s="22" t="s">
        <v>164</v>
      </c>
      <c r="K1845" s="22" t="s">
        <v>151</v>
      </c>
      <c r="L1845" t="str">
        <f>VLOOKUP(D1845,Products!A:F,3,FALSE())</f>
        <v>Beauty</v>
      </c>
      <c r="M1845" t="str">
        <f>VLOOKUP(C1845,Customers!A:F,5,FALSE())</f>
        <v>Retail</v>
      </c>
      <c r="O1845" t="str">
        <f>IFERROR(VLOOKUP(E1845,Sales_Reps!$A:$C,3,FALSE()),"")</f>
        <v/>
      </c>
      <c r="P1845">
        <f>IFERROR(VLOOKUP(C1845,Customers!$A:$C,3,FALSE()),"")</f>
        <v>46</v>
      </c>
      <c r="Q1845" t="str">
        <f t="shared" si="28"/>
        <v>Aug-24</v>
      </c>
      <c r="R1845">
        <f>IFERROR((VLOOKUP(D1845,Products!$A:$E,5,FALSE())-VLOOKUP(D1845,Products!$A:$E,4,FALSE()))/VLOOKUP(D1845,Products!$A:$E,5,FALSE()),"")</f>
        <v>0.296875</v>
      </c>
    </row>
    <row r="1846" spans="1:18" x14ac:dyDescent="0.3">
      <c r="A1846" s="22" t="s">
        <v>4174</v>
      </c>
      <c r="B1846" s="23">
        <v>45389</v>
      </c>
      <c r="C1846" s="22" t="s">
        <v>1367</v>
      </c>
      <c r="D1846" s="22" t="s">
        <v>212</v>
      </c>
      <c r="E1846" s="22" t="s">
        <v>4175</v>
      </c>
      <c r="F1846" s="24">
        <v>3</v>
      </c>
      <c r="G1846" s="24">
        <v>4880</v>
      </c>
      <c r="H1846" s="24">
        <v>17.100000000000001</v>
      </c>
      <c r="I1846" s="24">
        <v>12136.56</v>
      </c>
      <c r="J1846" s="22" t="s">
        <v>104</v>
      </c>
      <c r="K1846" s="22" t="s">
        <v>129</v>
      </c>
      <c r="L1846" t="str">
        <f>VLOOKUP(D1846,Products!A:F,3,FALSE())</f>
        <v>Beauty</v>
      </c>
      <c r="M1846" t="str">
        <f>VLOOKUP(C1846,Customers!A:F,5,FALSE())</f>
        <v>SMB</v>
      </c>
      <c r="O1846" t="str">
        <f>IFERROR(VLOOKUP(E1846,Sales_Reps!$A:$C,3,FALSE()),"")</f>
        <v/>
      </c>
      <c r="P1846">
        <f>IFERROR(VLOOKUP(C1846,Customers!$A:$C,3,FALSE()),"")</f>
        <v>43</v>
      </c>
      <c r="Q1846" t="str">
        <f t="shared" si="28"/>
        <v>Apr-24</v>
      </c>
      <c r="R1846">
        <f>IFERROR((VLOOKUP(D1846,Products!$A:$E,5,FALSE())-VLOOKUP(D1846,Products!$A:$E,4,FALSE()))/VLOOKUP(D1846,Products!$A:$E,5,FALSE()),"")</f>
        <v>0.43278688524590164</v>
      </c>
    </row>
    <row r="1847" spans="1:18" x14ac:dyDescent="0.3">
      <c r="A1847" s="22" t="s">
        <v>4176</v>
      </c>
      <c r="B1847" s="23">
        <v>45390</v>
      </c>
      <c r="C1847" s="22" t="s">
        <v>805</v>
      </c>
      <c r="D1847" s="22" t="s">
        <v>149</v>
      </c>
      <c r="E1847" s="22" t="s">
        <v>4177</v>
      </c>
      <c r="F1847" s="24">
        <v>5</v>
      </c>
      <c r="G1847" s="24">
        <v>2270</v>
      </c>
      <c r="H1847" s="24">
        <v>12.4</v>
      </c>
      <c r="I1847" s="24">
        <v>9942.6</v>
      </c>
      <c r="J1847" s="22" t="s">
        <v>104</v>
      </c>
      <c r="K1847" s="22" t="s">
        <v>111</v>
      </c>
      <c r="L1847" t="str">
        <f>VLOOKUP(D1847,Products!A:F,3,FALSE())</f>
        <v>Grocery</v>
      </c>
      <c r="M1847" t="str">
        <f>VLOOKUP(C1847,Customers!A:F,5,FALSE())</f>
        <v>SMB</v>
      </c>
      <c r="O1847" t="str">
        <f>IFERROR(VLOOKUP(E1847,Sales_Reps!$A:$C,3,FALSE()),"")</f>
        <v/>
      </c>
      <c r="P1847">
        <f>IFERROR(VLOOKUP(C1847,Customers!$A:$C,3,FALSE()),"")</f>
        <v>59</v>
      </c>
      <c r="Q1847" t="str">
        <f t="shared" si="28"/>
        <v>Apr-24</v>
      </c>
      <c r="R1847">
        <f>IFERROR((VLOOKUP(D1847,Products!$A:$E,5,FALSE())-VLOOKUP(D1847,Products!$A:$E,4,FALSE()))/VLOOKUP(D1847,Products!$A:$E,5,FALSE()),"")</f>
        <v>0.47004405286343615</v>
      </c>
    </row>
    <row r="1848" spans="1:18" x14ac:dyDescent="0.3">
      <c r="A1848" s="22" t="s">
        <v>4178</v>
      </c>
      <c r="B1848" s="23">
        <v>45413</v>
      </c>
      <c r="C1848" s="22" t="s">
        <v>855</v>
      </c>
      <c r="D1848" s="22" t="s">
        <v>674</v>
      </c>
      <c r="E1848" s="22" t="s">
        <v>4179</v>
      </c>
      <c r="F1848" s="24">
        <v>1</v>
      </c>
      <c r="G1848" s="24">
        <v>1090</v>
      </c>
      <c r="H1848" s="24">
        <v>17.3</v>
      </c>
      <c r="I1848" s="24">
        <v>901.43</v>
      </c>
      <c r="J1848" s="22" t="s">
        <v>104</v>
      </c>
      <c r="K1848" s="22" t="s">
        <v>129</v>
      </c>
      <c r="L1848" t="str">
        <f>VLOOKUP(D1848,Products!A:F,3,FALSE())</f>
        <v>Home</v>
      </c>
      <c r="M1848" t="str">
        <f>VLOOKUP(C1848,Customers!A:F,5,FALSE())</f>
        <v>Retail</v>
      </c>
      <c r="O1848" t="str">
        <f>IFERROR(VLOOKUP(E1848,Sales_Reps!$A:$C,3,FALSE()),"")</f>
        <v/>
      </c>
      <c r="P1848">
        <f>IFERROR(VLOOKUP(C1848,Customers!$A:$C,3,FALSE()),"")</f>
        <v>44</v>
      </c>
      <c r="Q1848" t="str">
        <f t="shared" si="28"/>
        <v>May-24</v>
      </c>
      <c r="R1848">
        <f>IFERROR((VLOOKUP(D1848,Products!$A:$E,5,FALSE())-VLOOKUP(D1848,Products!$A:$E,4,FALSE()))/VLOOKUP(D1848,Products!$A:$E,5,FALSE()),"")</f>
        <v>0.57431192660550456</v>
      </c>
    </row>
    <row r="1849" spans="1:18" x14ac:dyDescent="0.3">
      <c r="A1849" s="22" t="s">
        <v>4180</v>
      </c>
      <c r="B1849" s="23">
        <v>45535</v>
      </c>
      <c r="C1849" s="22" t="s">
        <v>398</v>
      </c>
      <c r="D1849" s="22" t="s">
        <v>577</v>
      </c>
      <c r="E1849" s="22" t="s">
        <v>4181</v>
      </c>
      <c r="F1849" s="24">
        <v>8</v>
      </c>
      <c r="G1849" s="24">
        <v>5080</v>
      </c>
      <c r="H1849" s="24">
        <v>0.9</v>
      </c>
      <c r="I1849" s="24">
        <v>40274.239999999998</v>
      </c>
      <c r="J1849" s="22" t="s">
        <v>104</v>
      </c>
      <c r="K1849" s="22" t="s">
        <v>151</v>
      </c>
      <c r="L1849" t="str">
        <f>VLOOKUP(D1849,Products!A:F,3,FALSE())</f>
        <v>Home</v>
      </c>
      <c r="M1849" t="str">
        <f>VLOOKUP(C1849,Customers!A:F,5,FALSE())</f>
        <v>Retail</v>
      </c>
      <c r="O1849" t="str">
        <f>IFERROR(VLOOKUP(E1849,Sales_Reps!$A:$C,3,FALSE()),"")</f>
        <v/>
      </c>
      <c r="P1849">
        <f>IFERROR(VLOOKUP(C1849,Customers!$A:$C,3,FALSE()),"")</f>
        <v>28</v>
      </c>
      <c r="Q1849" t="str">
        <f t="shared" si="28"/>
        <v>Aug-24</v>
      </c>
      <c r="R1849">
        <f>IFERROR((VLOOKUP(D1849,Products!$A:$E,5,FALSE())-VLOOKUP(D1849,Products!$A:$E,4,FALSE()))/VLOOKUP(D1849,Products!$A:$E,5,FALSE()),"")</f>
        <v>0.51594488188976373</v>
      </c>
    </row>
    <row r="1850" spans="1:18" x14ac:dyDescent="0.3">
      <c r="A1850" s="22" t="s">
        <v>4182</v>
      </c>
      <c r="B1850" s="23">
        <v>45569</v>
      </c>
      <c r="C1850" s="22" t="s">
        <v>1281</v>
      </c>
      <c r="D1850" s="22" t="s">
        <v>323</v>
      </c>
      <c r="E1850" s="22" t="s">
        <v>4183</v>
      </c>
      <c r="F1850" s="24">
        <v>7</v>
      </c>
      <c r="G1850" s="24">
        <v>4610</v>
      </c>
      <c r="H1850" s="24">
        <v>0.9</v>
      </c>
      <c r="I1850" s="24">
        <v>31979.57</v>
      </c>
      <c r="J1850" s="22" t="s">
        <v>104</v>
      </c>
      <c r="K1850" s="22" t="s">
        <v>105</v>
      </c>
      <c r="L1850" t="str">
        <f>VLOOKUP(D1850,Products!A:F,3,FALSE())</f>
        <v>Home</v>
      </c>
      <c r="M1850" t="str">
        <f>VLOOKUP(C1850,Customers!A:F,5,FALSE())</f>
        <v>SMB</v>
      </c>
      <c r="O1850" t="str">
        <f>IFERROR(VLOOKUP(E1850,Sales_Reps!$A:$C,3,FALSE()),"")</f>
        <v/>
      </c>
      <c r="P1850">
        <f>IFERROR(VLOOKUP(C1850,Customers!$A:$C,3,FALSE()),"")</f>
        <v>59</v>
      </c>
      <c r="Q1850" t="str">
        <f t="shared" si="28"/>
        <v>Oct-24</v>
      </c>
      <c r="R1850">
        <f>IFERROR((VLOOKUP(D1850,Products!$A:$E,5,FALSE())-VLOOKUP(D1850,Products!$A:$E,4,FALSE()))/VLOOKUP(D1850,Products!$A:$E,5,FALSE()),"")</f>
        <v>0.59869848156182215</v>
      </c>
    </row>
    <row r="1851" spans="1:18" x14ac:dyDescent="0.3">
      <c r="A1851" s="22" t="s">
        <v>4184</v>
      </c>
      <c r="B1851" s="23">
        <v>45527</v>
      </c>
      <c r="C1851" s="22" t="s">
        <v>673</v>
      </c>
      <c r="D1851" s="22" t="s">
        <v>330</v>
      </c>
      <c r="E1851" s="22" t="s">
        <v>4185</v>
      </c>
      <c r="F1851" s="24">
        <v>1</v>
      </c>
      <c r="G1851" s="24">
        <v>3020</v>
      </c>
      <c r="H1851" s="24">
        <v>10.3</v>
      </c>
      <c r="I1851" s="24">
        <v>2708.94</v>
      </c>
      <c r="J1851" s="22" t="s">
        <v>104</v>
      </c>
      <c r="K1851" s="22" t="s">
        <v>151</v>
      </c>
      <c r="L1851" t="str">
        <f>VLOOKUP(D1851,Products!A:F,3,FALSE())</f>
        <v>Beauty</v>
      </c>
      <c r="M1851" t="str">
        <f>VLOOKUP(C1851,Customers!A:F,5,FALSE())</f>
        <v>SMB</v>
      </c>
      <c r="O1851" t="str">
        <f>IFERROR(VLOOKUP(E1851,Sales_Reps!$A:$C,3,FALSE()),"")</f>
        <v/>
      </c>
      <c r="P1851">
        <f>IFERROR(VLOOKUP(C1851,Customers!$A:$C,3,FALSE()),"")</f>
        <v>65</v>
      </c>
      <c r="Q1851" t="str">
        <f t="shared" si="28"/>
        <v>Aug-24</v>
      </c>
      <c r="R1851">
        <f>IFERROR((VLOOKUP(D1851,Products!$A:$E,5,FALSE())-VLOOKUP(D1851,Products!$A:$E,4,FALSE()))/VLOOKUP(D1851,Products!$A:$E,5,FALSE()),"")</f>
        <v>0.46158940397350995</v>
      </c>
    </row>
    <row r="1852" spans="1:18" x14ac:dyDescent="0.3">
      <c r="A1852" s="22" t="s">
        <v>4186</v>
      </c>
      <c r="B1852" s="23">
        <v>45453</v>
      </c>
      <c r="C1852" s="22" t="s">
        <v>897</v>
      </c>
      <c r="D1852" s="22" t="s">
        <v>289</v>
      </c>
      <c r="E1852" s="22" t="s">
        <v>4187</v>
      </c>
      <c r="F1852" s="24">
        <v>6</v>
      </c>
      <c r="G1852" s="24">
        <v>2270</v>
      </c>
      <c r="H1852" s="24">
        <v>23.1</v>
      </c>
      <c r="I1852" s="24">
        <v>10473.780000000001</v>
      </c>
      <c r="J1852" s="22" t="s">
        <v>104</v>
      </c>
      <c r="K1852" s="22" t="s">
        <v>116</v>
      </c>
      <c r="L1852" t="str">
        <f>VLOOKUP(D1852,Products!A:F,3,FALSE())</f>
        <v>Grocery</v>
      </c>
      <c r="M1852" t="str">
        <f>VLOOKUP(C1852,Customers!A:F,5,FALSE())</f>
        <v>Retail</v>
      </c>
      <c r="O1852" t="str">
        <f>IFERROR(VLOOKUP(E1852,Sales_Reps!$A:$C,3,FALSE()),"")</f>
        <v/>
      </c>
      <c r="P1852">
        <f>IFERROR(VLOOKUP(C1852,Customers!$A:$C,3,FALSE()),"")</f>
        <v>43</v>
      </c>
      <c r="Q1852" t="str">
        <f t="shared" si="28"/>
        <v>Jun-24</v>
      </c>
      <c r="R1852">
        <f>IFERROR((VLOOKUP(D1852,Products!$A:$E,5,FALSE())-VLOOKUP(D1852,Products!$A:$E,4,FALSE()))/VLOOKUP(D1852,Products!$A:$E,5,FALSE()),"")</f>
        <v>0.37797356828193834</v>
      </c>
    </row>
    <row r="1853" spans="1:18" x14ac:dyDescent="0.3">
      <c r="A1853" s="22" t="s">
        <v>4188</v>
      </c>
      <c r="B1853" s="23">
        <v>45605</v>
      </c>
      <c r="C1853" s="22" t="s">
        <v>161</v>
      </c>
      <c r="D1853" s="22" t="s">
        <v>315</v>
      </c>
      <c r="E1853" s="22" t="s">
        <v>4189</v>
      </c>
      <c r="F1853" s="24">
        <v>6</v>
      </c>
      <c r="G1853" s="24">
        <v>4070</v>
      </c>
      <c r="H1853" s="24">
        <v>28.9</v>
      </c>
      <c r="I1853" s="24">
        <v>17362.62</v>
      </c>
      <c r="J1853" s="22" t="s">
        <v>104</v>
      </c>
      <c r="K1853" s="22" t="s">
        <v>105</v>
      </c>
      <c r="L1853" t="str">
        <f>VLOOKUP(D1853,Products!A:F,3,FALSE())</f>
        <v>Grocery</v>
      </c>
      <c r="M1853" t="str">
        <f>VLOOKUP(C1853,Customers!A:F,5,FALSE())</f>
        <v>SMB</v>
      </c>
      <c r="O1853" t="str">
        <f>IFERROR(VLOOKUP(E1853,Sales_Reps!$A:$C,3,FALSE()),"")</f>
        <v/>
      </c>
      <c r="P1853">
        <f>IFERROR(VLOOKUP(C1853,Customers!$A:$C,3,FALSE()),"")</f>
        <v>39</v>
      </c>
      <c r="Q1853" t="str">
        <f t="shared" si="28"/>
        <v>Nov-24</v>
      </c>
      <c r="R1853">
        <f>IFERROR((VLOOKUP(D1853,Products!$A:$E,5,FALSE())-VLOOKUP(D1853,Products!$A:$E,4,FALSE()))/VLOOKUP(D1853,Products!$A:$E,5,FALSE()),"")</f>
        <v>0.50196560196560192</v>
      </c>
    </row>
    <row r="1854" spans="1:18" x14ac:dyDescent="0.3">
      <c r="A1854" s="22" t="s">
        <v>4190</v>
      </c>
      <c r="B1854" s="23">
        <v>45650</v>
      </c>
      <c r="C1854" s="22" t="s">
        <v>737</v>
      </c>
      <c r="D1854" s="22" t="s">
        <v>319</v>
      </c>
      <c r="E1854" s="22" t="s">
        <v>4191</v>
      </c>
      <c r="F1854" s="24">
        <v>5</v>
      </c>
      <c r="G1854" s="24">
        <v>1220</v>
      </c>
      <c r="H1854" s="24">
        <v>18.7</v>
      </c>
      <c r="I1854" s="24">
        <v>4959.3</v>
      </c>
      <c r="J1854" s="22" t="s">
        <v>104</v>
      </c>
      <c r="K1854" s="22" t="s">
        <v>111</v>
      </c>
      <c r="L1854" t="str">
        <f>VLOOKUP(D1854,Products!A:F,3,FALSE())</f>
        <v>Electronics</v>
      </c>
      <c r="M1854" t="str">
        <f>VLOOKUP(C1854,Customers!A:F,5,FALSE())</f>
        <v>Corporate</v>
      </c>
      <c r="O1854" t="str">
        <f>IFERROR(VLOOKUP(E1854,Sales_Reps!$A:$C,3,FALSE()),"")</f>
        <v/>
      </c>
      <c r="P1854">
        <f>IFERROR(VLOOKUP(C1854,Customers!$A:$C,3,FALSE()),"")</f>
        <v>34</v>
      </c>
      <c r="Q1854" t="str">
        <f t="shared" si="28"/>
        <v>Dec-24</v>
      </c>
      <c r="R1854">
        <f>IFERROR((VLOOKUP(D1854,Products!$A:$E,5,FALSE())-VLOOKUP(D1854,Products!$A:$E,4,FALSE()))/VLOOKUP(D1854,Products!$A:$E,5,FALSE()),"")</f>
        <v>0.57622950819672136</v>
      </c>
    </row>
    <row r="1855" spans="1:18" x14ac:dyDescent="0.3">
      <c r="A1855" s="22" t="s">
        <v>4192</v>
      </c>
      <c r="B1855" s="23">
        <v>45412</v>
      </c>
      <c r="C1855" s="22" t="s">
        <v>487</v>
      </c>
      <c r="D1855" s="22" t="s">
        <v>190</v>
      </c>
      <c r="E1855" s="22" t="s">
        <v>4193</v>
      </c>
      <c r="F1855" s="24">
        <v>8</v>
      </c>
      <c r="G1855" s="24">
        <v>2480</v>
      </c>
      <c r="H1855" s="24">
        <v>3.2</v>
      </c>
      <c r="I1855" s="24">
        <v>19205.12</v>
      </c>
      <c r="J1855" s="22" t="s">
        <v>159</v>
      </c>
      <c r="K1855" s="22" t="s">
        <v>134</v>
      </c>
      <c r="L1855" t="str">
        <f>VLOOKUP(D1855,Products!A:F,3,FALSE())</f>
        <v>Apparel</v>
      </c>
      <c r="M1855" t="str">
        <f>VLOOKUP(C1855,Customers!A:F,5,FALSE())</f>
        <v>Retail</v>
      </c>
      <c r="O1855" t="str">
        <f>IFERROR(VLOOKUP(E1855,Sales_Reps!$A:$C,3,FALSE()),"")</f>
        <v/>
      </c>
      <c r="P1855">
        <f>IFERROR(VLOOKUP(C1855,Customers!$A:$C,3,FALSE()),"")</f>
        <v>23</v>
      </c>
      <c r="Q1855" t="str">
        <f t="shared" si="28"/>
        <v>Apr-24</v>
      </c>
      <c r="R1855">
        <f>IFERROR((VLOOKUP(D1855,Products!$A:$E,5,FALSE())-VLOOKUP(D1855,Products!$A:$E,4,FALSE()))/VLOOKUP(D1855,Products!$A:$E,5,FALSE()),"")</f>
        <v>0.52701612903225803</v>
      </c>
    </row>
    <row r="1856" spans="1:18" x14ac:dyDescent="0.3">
      <c r="A1856" s="22" t="s">
        <v>4194</v>
      </c>
      <c r="B1856" s="23">
        <v>45554</v>
      </c>
      <c r="C1856" s="22" t="s">
        <v>604</v>
      </c>
      <c r="D1856" s="22" t="s">
        <v>224</v>
      </c>
      <c r="E1856" s="22" t="s">
        <v>4195</v>
      </c>
      <c r="F1856" s="24">
        <v>7</v>
      </c>
      <c r="G1856" s="24">
        <v>2860</v>
      </c>
      <c r="H1856" s="24">
        <v>8.4</v>
      </c>
      <c r="I1856" s="24">
        <v>18338.32</v>
      </c>
      <c r="J1856" s="22" t="s">
        <v>104</v>
      </c>
      <c r="K1856" s="22" t="s">
        <v>105</v>
      </c>
      <c r="L1856" t="str">
        <f>VLOOKUP(D1856,Products!A:F,3,FALSE())</f>
        <v>Sports</v>
      </c>
      <c r="M1856" t="str">
        <f>VLOOKUP(C1856,Customers!A:F,5,FALSE())</f>
        <v>Corporate</v>
      </c>
      <c r="O1856" t="str">
        <f>IFERROR(VLOOKUP(E1856,Sales_Reps!$A:$C,3,FALSE()),"")</f>
        <v/>
      </c>
      <c r="P1856">
        <f>IFERROR(VLOOKUP(C1856,Customers!$A:$C,3,FALSE()),"")</f>
        <v>37</v>
      </c>
      <c r="Q1856" t="str">
        <f t="shared" si="28"/>
        <v>Sep-24</v>
      </c>
      <c r="R1856">
        <f>IFERROR((VLOOKUP(D1856,Products!$A:$E,5,FALSE())-VLOOKUP(D1856,Products!$A:$E,4,FALSE()))/VLOOKUP(D1856,Products!$A:$E,5,FALSE()),"")</f>
        <v>0.29090909090909089</v>
      </c>
    </row>
    <row r="1857" spans="1:18" x14ac:dyDescent="0.3">
      <c r="A1857" s="22" t="s">
        <v>4196</v>
      </c>
      <c r="B1857" s="23">
        <v>45365</v>
      </c>
      <c r="C1857" s="22" t="s">
        <v>395</v>
      </c>
      <c r="D1857" s="22" t="s">
        <v>275</v>
      </c>
      <c r="E1857" s="22" t="s">
        <v>4197</v>
      </c>
      <c r="F1857" s="24">
        <v>1</v>
      </c>
      <c r="G1857" s="24">
        <v>3780</v>
      </c>
      <c r="H1857" s="24">
        <v>16.3</v>
      </c>
      <c r="I1857" s="24">
        <v>3163.86</v>
      </c>
      <c r="J1857" s="22" t="s">
        <v>159</v>
      </c>
      <c r="K1857" s="22" t="s">
        <v>116</v>
      </c>
      <c r="L1857" t="str">
        <f>VLOOKUP(D1857,Products!A:F,3,FALSE())</f>
        <v>Grocery</v>
      </c>
      <c r="M1857" t="str">
        <f>VLOOKUP(C1857,Customers!A:F,5,FALSE())</f>
        <v>Retail</v>
      </c>
      <c r="O1857" t="str">
        <f>IFERROR(VLOOKUP(E1857,Sales_Reps!$A:$C,3,FALSE()),"")</f>
        <v/>
      </c>
      <c r="P1857">
        <f>IFERROR(VLOOKUP(C1857,Customers!$A:$C,3,FALSE()),"")</f>
        <v>31</v>
      </c>
      <c r="Q1857" t="str">
        <f t="shared" si="28"/>
        <v>Mar-24</v>
      </c>
      <c r="R1857">
        <f>IFERROR((VLOOKUP(D1857,Products!$A:$E,5,FALSE())-VLOOKUP(D1857,Products!$A:$E,4,FALSE()))/VLOOKUP(D1857,Products!$A:$E,5,FALSE()),"")</f>
        <v>0.35555555555555557</v>
      </c>
    </row>
    <row r="1858" spans="1:18" x14ac:dyDescent="0.3">
      <c r="A1858" s="22" t="s">
        <v>4198</v>
      </c>
      <c r="B1858" s="23">
        <v>45504</v>
      </c>
      <c r="C1858" s="22" t="s">
        <v>1497</v>
      </c>
      <c r="D1858" s="22" t="s">
        <v>224</v>
      </c>
      <c r="E1858" s="22" t="s">
        <v>4199</v>
      </c>
      <c r="F1858" s="24">
        <v>6</v>
      </c>
      <c r="G1858" s="24">
        <v>2860</v>
      </c>
      <c r="H1858" s="24">
        <v>10.7</v>
      </c>
      <c r="I1858" s="24">
        <v>15323.88</v>
      </c>
      <c r="J1858" s="22" t="s">
        <v>104</v>
      </c>
      <c r="K1858" s="22" t="s">
        <v>105</v>
      </c>
      <c r="L1858" t="str">
        <f>VLOOKUP(D1858,Products!A:F,3,FALSE())</f>
        <v>Sports</v>
      </c>
      <c r="M1858" t="str">
        <f>VLOOKUP(C1858,Customers!A:F,5,FALSE())</f>
        <v>Corporate</v>
      </c>
      <c r="O1858" t="str">
        <f>IFERROR(VLOOKUP(E1858,Sales_Reps!$A:$C,3,FALSE()),"")</f>
        <v/>
      </c>
      <c r="P1858">
        <f>IFERROR(VLOOKUP(C1858,Customers!$A:$C,3,FALSE()),"")</f>
        <v>29</v>
      </c>
      <c r="Q1858" t="str">
        <f t="shared" ref="Q1858:Q1921" si="29">TEXT(B1858,"mmm-yy")</f>
        <v>Jul-24</v>
      </c>
      <c r="R1858">
        <f>IFERROR((VLOOKUP(D1858,Products!$A:$E,5,FALSE())-VLOOKUP(D1858,Products!$A:$E,4,FALSE()))/VLOOKUP(D1858,Products!$A:$E,5,FALSE()),"")</f>
        <v>0.29090909090909089</v>
      </c>
    </row>
    <row r="1859" spans="1:18" x14ac:dyDescent="0.3">
      <c r="A1859" s="22" t="s">
        <v>4200</v>
      </c>
      <c r="B1859" s="23">
        <v>45652</v>
      </c>
      <c r="C1859" s="22" t="s">
        <v>1077</v>
      </c>
      <c r="D1859" s="22" t="s">
        <v>171</v>
      </c>
      <c r="E1859" s="22" t="s">
        <v>4201</v>
      </c>
      <c r="F1859" s="24">
        <v>3</v>
      </c>
      <c r="G1859" s="24">
        <v>2400</v>
      </c>
      <c r="H1859" s="24">
        <v>20.7</v>
      </c>
      <c r="I1859" s="24">
        <v>5709.6</v>
      </c>
      <c r="J1859" s="22" t="s">
        <v>104</v>
      </c>
      <c r="K1859" s="22" t="s">
        <v>151</v>
      </c>
      <c r="L1859" t="str">
        <f>VLOOKUP(D1859,Products!A:F,3,FALSE())</f>
        <v>Sports</v>
      </c>
      <c r="M1859" t="str">
        <f>VLOOKUP(C1859,Customers!A:F,5,FALSE())</f>
        <v>SMB</v>
      </c>
      <c r="O1859" t="str">
        <f>IFERROR(VLOOKUP(E1859,Sales_Reps!$A:$C,3,FALSE()),"")</f>
        <v/>
      </c>
      <c r="P1859">
        <f>IFERROR(VLOOKUP(C1859,Customers!$A:$C,3,FALSE()),"")</f>
        <v>29</v>
      </c>
      <c r="Q1859" t="str">
        <f t="shared" si="29"/>
        <v>Dec-24</v>
      </c>
      <c r="R1859">
        <f>IFERROR((VLOOKUP(D1859,Products!$A:$E,5,FALSE())-VLOOKUP(D1859,Products!$A:$E,4,FALSE()))/VLOOKUP(D1859,Products!$A:$E,5,FALSE()),"")</f>
        <v>0.59416666666666662</v>
      </c>
    </row>
    <row r="1860" spans="1:18" x14ac:dyDescent="0.3">
      <c r="A1860" s="22" t="s">
        <v>4202</v>
      </c>
      <c r="B1860" s="23">
        <v>45330</v>
      </c>
      <c r="C1860" s="22" t="s">
        <v>2036</v>
      </c>
      <c r="D1860" s="22" t="s">
        <v>459</v>
      </c>
      <c r="E1860" s="22" t="s">
        <v>4203</v>
      </c>
      <c r="F1860" s="24">
        <v>8</v>
      </c>
      <c r="G1860" s="24">
        <v>2380</v>
      </c>
      <c r="H1860" s="24">
        <v>22.3</v>
      </c>
      <c r="I1860" s="24">
        <v>14794.08</v>
      </c>
      <c r="J1860" s="22" t="s">
        <v>164</v>
      </c>
      <c r="K1860" s="22" t="s">
        <v>134</v>
      </c>
      <c r="L1860" t="str">
        <f>VLOOKUP(D1860,Products!A:F,3,FALSE())</f>
        <v>Grocery</v>
      </c>
      <c r="M1860" t="str">
        <f>VLOOKUP(C1860,Customers!A:F,5,FALSE())</f>
        <v>Retail</v>
      </c>
      <c r="O1860" t="str">
        <f>IFERROR(VLOOKUP(E1860,Sales_Reps!$A:$C,3,FALSE()),"")</f>
        <v/>
      </c>
      <c r="P1860">
        <f>IFERROR(VLOOKUP(C1860,Customers!$A:$C,3,FALSE()),"")</f>
        <v>54</v>
      </c>
      <c r="Q1860" t="str">
        <f t="shared" si="29"/>
        <v>Feb-24</v>
      </c>
      <c r="R1860">
        <f>IFERROR((VLOOKUP(D1860,Products!$A:$E,5,FALSE())-VLOOKUP(D1860,Products!$A:$E,4,FALSE()))/VLOOKUP(D1860,Products!$A:$E,5,FALSE()),"")</f>
        <v>0.50336134453781511</v>
      </c>
    </row>
    <row r="1861" spans="1:18" x14ac:dyDescent="0.3">
      <c r="A1861" s="22" t="s">
        <v>4204</v>
      </c>
      <c r="B1861" s="23">
        <v>45533</v>
      </c>
      <c r="C1861" s="22" t="s">
        <v>599</v>
      </c>
      <c r="D1861" s="22" t="s">
        <v>220</v>
      </c>
      <c r="E1861" s="22" t="s">
        <v>4205</v>
      </c>
      <c r="F1861" s="24">
        <v>7</v>
      </c>
      <c r="G1861" s="24">
        <v>5100</v>
      </c>
      <c r="H1861" s="24">
        <v>22.9</v>
      </c>
      <c r="I1861" s="24">
        <v>27524.7</v>
      </c>
      <c r="J1861" s="22" t="s">
        <v>159</v>
      </c>
      <c r="K1861" s="22" t="s">
        <v>105</v>
      </c>
      <c r="L1861" t="str">
        <f>VLOOKUP(D1861,Products!A:F,3,FALSE())</f>
        <v>Beauty</v>
      </c>
      <c r="M1861" t="str">
        <f>VLOOKUP(C1861,Customers!A:F,5,FALSE())</f>
        <v>Retail</v>
      </c>
      <c r="O1861" t="str">
        <f>IFERROR(VLOOKUP(E1861,Sales_Reps!$A:$C,3,FALSE()),"")</f>
        <v/>
      </c>
      <c r="P1861">
        <f>IFERROR(VLOOKUP(C1861,Customers!$A:$C,3,FALSE()),"")</f>
        <v>29</v>
      </c>
      <c r="Q1861" t="str">
        <f t="shared" si="29"/>
        <v>Aug-24</v>
      </c>
      <c r="R1861">
        <f>IFERROR((VLOOKUP(D1861,Products!$A:$E,5,FALSE())-VLOOKUP(D1861,Products!$A:$E,4,FALSE()))/VLOOKUP(D1861,Products!$A:$E,5,FALSE()),"")</f>
        <v>0.56137254901960787</v>
      </c>
    </row>
    <row r="1862" spans="1:18" x14ac:dyDescent="0.3">
      <c r="A1862" s="22" t="s">
        <v>4206</v>
      </c>
      <c r="B1862" s="23">
        <v>45463</v>
      </c>
      <c r="C1862" s="22" t="s">
        <v>648</v>
      </c>
      <c r="D1862" s="22" t="s">
        <v>338</v>
      </c>
      <c r="E1862" s="22" t="s">
        <v>4207</v>
      </c>
      <c r="F1862" s="24">
        <v>7</v>
      </c>
      <c r="G1862" s="24">
        <v>300</v>
      </c>
      <c r="H1862" s="24">
        <v>15.3</v>
      </c>
      <c r="I1862" s="24">
        <v>1778.7</v>
      </c>
      <c r="J1862" s="22" t="s">
        <v>104</v>
      </c>
      <c r="K1862" s="22" t="s">
        <v>105</v>
      </c>
      <c r="L1862" t="str">
        <f>VLOOKUP(D1862,Products!A:F,3,FALSE())</f>
        <v>Electronics</v>
      </c>
      <c r="M1862" t="str">
        <f>VLOOKUP(C1862,Customers!A:F,5,FALSE())</f>
        <v>Corporate</v>
      </c>
      <c r="O1862" t="str">
        <f>IFERROR(VLOOKUP(E1862,Sales_Reps!$A:$C,3,FALSE()),"")</f>
        <v/>
      </c>
      <c r="P1862">
        <f>IFERROR(VLOOKUP(C1862,Customers!$A:$C,3,FALSE()),"")</f>
        <v>29</v>
      </c>
      <c r="Q1862" t="str">
        <f t="shared" si="29"/>
        <v>Jun-24</v>
      </c>
      <c r="R1862">
        <f>IFERROR((VLOOKUP(D1862,Products!$A:$E,5,FALSE())-VLOOKUP(D1862,Products!$A:$E,4,FALSE()))/VLOOKUP(D1862,Products!$A:$E,5,FALSE()),"")</f>
        <v>0.57333333333333336</v>
      </c>
    </row>
    <row r="1863" spans="1:18" x14ac:dyDescent="0.3">
      <c r="A1863" s="22" t="s">
        <v>4208</v>
      </c>
      <c r="B1863" s="23">
        <v>45428</v>
      </c>
      <c r="C1863" s="22" t="s">
        <v>156</v>
      </c>
      <c r="D1863" s="22" t="s">
        <v>182</v>
      </c>
      <c r="E1863" s="22" t="s">
        <v>4209</v>
      </c>
      <c r="F1863" s="24">
        <v>5</v>
      </c>
      <c r="G1863" s="24">
        <v>3450</v>
      </c>
      <c r="H1863" s="24">
        <v>16.8</v>
      </c>
      <c r="I1863" s="24">
        <v>14352</v>
      </c>
      <c r="J1863" s="22" t="s">
        <v>104</v>
      </c>
      <c r="K1863" s="22" t="s">
        <v>116</v>
      </c>
      <c r="L1863" t="str">
        <f>VLOOKUP(D1863,Products!A:F,3,FALSE())</f>
        <v>Sports</v>
      </c>
      <c r="M1863" t="str">
        <f>VLOOKUP(C1863,Customers!A:F,5,FALSE())</f>
        <v>SMB</v>
      </c>
      <c r="O1863" t="str">
        <f>IFERROR(VLOOKUP(E1863,Sales_Reps!$A:$C,3,FALSE()),"")</f>
        <v/>
      </c>
      <c r="P1863">
        <f>IFERROR(VLOOKUP(C1863,Customers!$A:$C,3,FALSE()),"")</f>
        <v>27</v>
      </c>
      <c r="Q1863" t="str">
        <f t="shared" si="29"/>
        <v>May-24</v>
      </c>
      <c r="R1863">
        <f>IFERROR((VLOOKUP(D1863,Products!$A:$E,5,FALSE())-VLOOKUP(D1863,Products!$A:$E,4,FALSE()))/VLOOKUP(D1863,Products!$A:$E,5,FALSE()),"")</f>
        <v>0.28492753623188405</v>
      </c>
    </row>
    <row r="1864" spans="1:18" x14ac:dyDescent="0.3">
      <c r="A1864" s="22" t="s">
        <v>4210</v>
      </c>
      <c r="B1864" s="23">
        <v>45634</v>
      </c>
      <c r="C1864" s="22" t="s">
        <v>982</v>
      </c>
      <c r="D1864" s="22" t="s">
        <v>224</v>
      </c>
      <c r="E1864" s="22" t="s">
        <v>4211</v>
      </c>
      <c r="F1864" s="24">
        <v>4</v>
      </c>
      <c r="G1864" s="24">
        <v>2860</v>
      </c>
      <c r="H1864" s="24">
        <v>14.3</v>
      </c>
      <c r="I1864" s="24">
        <v>9804.08</v>
      </c>
      <c r="J1864" s="22" t="s">
        <v>104</v>
      </c>
      <c r="K1864" s="22" t="s">
        <v>129</v>
      </c>
      <c r="L1864" t="str">
        <f>VLOOKUP(D1864,Products!A:F,3,FALSE())</f>
        <v>Sports</v>
      </c>
      <c r="M1864" t="str">
        <f>VLOOKUP(C1864,Customers!A:F,5,FALSE())</f>
        <v>Retail</v>
      </c>
      <c r="O1864" t="str">
        <f>IFERROR(VLOOKUP(E1864,Sales_Reps!$A:$C,3,FALSE()),"")</f>
        <v/>
      </c>
      <c r="P1864">
        <f>IFERROR(VLOOKUP(C1864,Customers!$A:$C,3,FALSE()),"")</f>
        <v>35</v>
      </c>
      <c r="Q1864" t="str">
        <f t="shared" si="29"/>
        <v>Dec-24</v>
      </c>
      <c r="R1864">
        <f>IFERROR((VLOOKUP(D1864,Products!$A:$E,5,FALSE())-VLOOKUP(D1864,Products!$A:$E,4,FALSE()))/VLOOKUP(D1864,Products!$A:$E,5,FALSE()),"")</f>
        <v>0.29090909090909089</v>
      </c>
    </row>
    <row r="1865" spans="1:18" x14ac:dyDescent="0.3">
      <c r="A1865" s="22" t="s">
        <v>4212</v>
      </c>
      <c r="B1865" s="23">
        <v>45627</v>
      </c>
      <c r="C1865" s="22" t="s">
        <v>716</v>
      </c>
      <c r="D1865" s="22" t="s">
        <v>197</v>
      </c>
      <c r="E1865" s="22" t="s">
        <v>4213</v>
      </c>
      <c r="F1865" s="24">
        <v>6</v>
      </c>
      <c r="G1865" s="24">
        <v>2720</v>
      </c>
      <c r="H1865" s="24">
        <v>25.1</v>
      </c>
      <c r="I1865" s="24">
        <v>12223.68</v>
      </c>
      <c r="J1865" s="22" t="s">
        <v>159</v>
      </c>
      <c r="K1865" s="22" t="s">
        <v>129</v>
      </c>
      <c r="L1865" t="str">
        <f>VLOOKUP(D1865,Products!A:F,3,FALSE())</f>
        <v>Apparel</v>
      </c>
      <c r="M1865" t="str">
        <f>VLOOKUP(C1865,Customers!A:F,5,FALSE())</f>
        <v>Retail</v>
      </c>
      <c r="O1865" t="str">
        <f>IFERROR(VLOOKUP(E1865,Sales_Reps!$A:$C,3,FALSE()),"")</f>
        <v/>
      </c>
      <c r="P1865">
        <f>IFERROR(VLOOKUP(C1865,Customers!$A:$C,3,FALSE()),"")</f>
        <v>44</v>
      </c>
      <c r="Q1865" t="str">
        <f t="shared" si="29"/>
        <v>Dec-24</v>
      </c>
      <c r="R1865">
        <f>IFERROR((VLOOKUP(D1865,Products!$A:$E,5,FALSE())-VLOOKUP(D1865,Products!$A:$E,4,FALSE()))/VLOOKUP(D1865,Products!$A:$E,5,FALSE()),"")</f>
        <v>0.2786764705882353</v>
      </c>
    </row>
    <row r="1866" spans="1:18" x14ac:dyDescent="0.3">
      <c r="A1866" s="22" t="s">
        <v>4214</v>
      </c>
      <c r="B1866" s="23">
        <v>45429</v>
      </c>
      <c r="C1866" s="22" t="s">
        <v>452</v>
      </c>
      <c r="D1866" s="22" t="s">
        <v>265</v>
      </c>
      <c r="E1866" s="22" t="s">
        <v>4215</v>
      </c>
      <c r="F1866" s="24">
        <v>3</v>
      </c>
      <c r="G1866" s="24">
        <v>3730</v>
      </c>
      <c r="H1866" s="24">
        <v>24.8</v>
      </c>
      <c r="I1866" s="24">
        <v>8414.8799999999992</v>
      </c>
      <c r="J1866" s="22" t="s">
        <v>104</v>
      </c>
      <c r="K1866" s="22" t="s">
        <v>111</v>
      </c>
      <c r="L1866" t="str">
        <f>VLOOKUP(D1866,Products!A:F,3,FALSE())</f>
        <v>Home</v>
      </c>
      <c r="M1866" t="str">
        <f>VLOOKUP(C1866,Customers!A:F,5,FALSE())</f>
        <v>Corporate</v>
      </c>
      <c r="O1866" t="str">
        <f>IFERROR(VLOOKUP(E1866,Sales_Reps!$A:$C,3,FALSE()),"")</f>
        <v/>
      </c>
      <c r="P1866">
        <f>IFERROR(VLOOKUP(C1866,Customers!$A:$C,3,FALSE()),"")</f>
        <v>51</v>
      </c>
      <c r="Q1866" t="str">
        <f t="shared" si="29"/>
        <v>May-24</v>
      </c>
      <c r="R1866">
        <f>IFERROR((VLOOKUP(D1866,Products!$A:$E,5,FALSE())-VLOOKUP(D1866,Products!$A:$E,4,FALSE()))/VLOOKUP(D1866,Products!$A:$E,5,FALSE()),"")</f>
        <v>0.42761394101876676</v>
      </c>
    </row>
    <row r="1867" spans="1:18" x14ac:dyDescent="0.3">
      <c r="A1867" s="22" t="s">
        <v>4216</v>
      </c>
      <c r="B1867" s="23">
        <v>45648</v>
      </c>
      <c r="C1867" s="22" t="s">
        <v>2207</v>
      </c>
      <c r="D1867" s="22" t="s">
        <v>436</v>
      </c>
      <c r="E1867" s="22" t="s">
        <v>4217</v>
      </c>
      <c r="F1867" s="24">
        <v>2</v>
      </c>
      <c r="G1867" s="24">
        <v>4060</v>
      </c>
      <c r="H1867" s="24">
        <v>11.3</v>
      </c>
      <c r="I1867" s="24">
        <v>7202.44</v>
      </c>
      <c r="J1867" s="22" t="s">
        <v>104</v>
      </c>
      <c r="K1867" s="22" t="s">
        <v>129</v>
      </c>
      <c r="L1867" t="str">
        <f>VLOOKUP(D1867,Products!A:F,3,FALSE())</f>
        <v>Grocery</v>
      </c>
      <c r="M1867" t="str">
        <f>VLOOKUP(C1867,Customers!A:F,5,FALSE())</f>
        <v>Retail</v>
      </c>
      <c r="O1867" t="str">
        <f>IFERROR(VLOOKUP(E1867,Sales_Reps!$A:$C,3,FALSE()),"")</f>
        <v/>
      </c>
      <c r="P1867">
        <f>IFERROR(VLOOKUP(C1867,Customers!$A:$C,3,FALSE()),"")</f>
        <v>38</v>
      </c>
      <c r="Q1867" t="str">
        <f t="shared" si="29"/>
        <v>Dec-24</v>
      </c>
      <c r="R1867">
        <f>IFERROR((VLOOKUP(D1867,Products!$A:$E,5,FALSE())-VLOOKUP(D1867,Products!$A:$E,4,FALSE()))/VLOOKUP(D1867,Products!$A:$E,5,FALSE()),"")</f>
        <v>0.28300492610837441</v>
      </c>
    </row>
    <row r="1868" spans="1:18" x14ac:dyDescent="0.3">
      <c r="A1868" s="22" t="s">
        <v>4218</v>
      </c>
      <c r="B1868" s="23">
        <v>45295</v>
      </c>
      <c r="C1868" s="22" t="s">
        <v>1396</v>
      </c>
      <c r="D1868" s="22" t="s">
        <v>488</v>
      </c>
      <c r="E1868" s="22" t="s">
        <v>4219</v>
      </c>
      <c r="F1868" s="24">
        <v>6</v>
      </c>
      <c r="G1868" s="24">
        <v>2290</v>
      </c>
      <c r="H1868" s="24">
        <v>26.8</v>
      </c>
      <c r="I1868" s="24">
        <v>10057.68</v>
      </c>
      <c r="J1868" s="22" t="s">
        <v>164</v>
      </c>
      <c r="K1868" s="22" t="s">
        <v>134</v>
      </c>
      <c r="L1868" t="str">
        <f>VLOOKUP(D1868,Products!A:F,3,FALSE())</f>
        <v>Beauty</v>
      </c>
      <c r="M1868" t="str">
        <f>VLOOKUP(C1868,Customers!A:F,5,FALSE())</f>
        <v>Retail</v>
      </c>
      <c r="O1868" t="str">
        <f>IFERROR(VLOOKUP(E1868,Sales_Reps!$A:$C,3,FALSE()),"")</f>
        <v/>
      </c>
      <c r="P1868">
        <f>IFERROR(VLOOKUP(C1868,Customers!$A:$C,3,FALSE()),"")</f>
        <v>28</v>
      </c>
      <c r="Q1868" t="str">
        <f t="shared" si="29"/>
        <v>Jan-24</v>
      </c>
      <c r="R1868">
        <f>IFERROR((VLOOKUP(D1868,Products!$A:$E,5,FALSE())-VLOOKUP(D1868,Products!$A:$E,4,FALSE()))/VLOOKUP(D1868,Products!$A:$E,5,FALSE()),"")</f>
        <v>0.46768558951965067</v>
      </c>
    </row>
    <row r="1869" spans="1:18" x14ac:dyDescent="0.3">
      <c r="A1869" s="22" t="s">
        <v>4220</v>
      </c>
      <c r="B1869" s="23">
        <v>45418</v>
      </c>
      <c r="C1869" s="22" t="s">
        <v>439</v>
      </c>
      <c r="D1869" s="22" t="s">
        <v>695</v>
      </c>
      <c r="E1869" s="22" t="s">
        <v>4221</v>
      </c>
      <c r="F1869" s="24">
        <v>1</v>
      </c>
      <c r="G1869" s="24">
        <v>6940</v>
      </c>
      <c r="H1869" s="24">
        <v>15.7</v>
      </c>
      <c r="I1869" s="24">
        <v>5850.42</v>
      </c>
      <c r="J1869" s="22" t="s">
        <v>104</v>
      </c>
      <c r="K1869" s="22" t="s">
        <v>111</v>
      </c>
      <c r="L1869" t="str">
        <f>VLOOKUP(D1869,Products!A:F,3,FALSE())</f>
        <v>Sports</v>
      </c>
      <c r="M1869" t="str">
        <f>VLOOKUP(C1869,Customers!A:F,5,FALSE())</f>
        <v>Retail</v>
      </c>
      <c r="O1869" t="str">
        <f>IFERROR(VLOOKUP(E1869,Sales_Reps!$A:$C,3,FALSE()),"")</f>
        <v/>
      </c>
      <c r="P1869">
        <f>IFERROR(VLOOKUP(C1869,Customers!$A:$C,3,FALSE()),"")</f>
        <v>60</v>
      </c>
      <c r="Q1869" t="str">
        <f t="shared" si="29"/>
        <v>May-24</v>
      </c>
      <c r="R1869">
        <f>IFERROR((VLOOKUP(D1869,Products!$A:$E,5,FALSE())-VLOOKUP(D1869,Products!$A:$E,4,FALSE()))/VLOOKUP(D1869,Products!$A:$E,5,FALSE()),"")</f>
        <v>0.5926512968299712</v>
      </c>
    </row>
    <row r="1870" spans="1:18" x14ac:dyDescent="0.3">
      <c r="A1870" s="22" t="s">
        <v>4222</v>
      </c>
      <c r="B1870" s="23">
        <v>45623</v>
      </c>
      <c r="C1870" s="22" t="s">
        <v>526</v>
      </c>
      <c r="D1870" s="22" t="s">
        <v>265</v>
      </c>
      <c r="E1870" s="22" t="s">
        <v>4223</v>
      </c>
      <c r="F1870" s="24">
        <v>3</v>
      </c>
      <c r="G1870" s="24">
        <v>3730</v>
      </c>
      <c r="H1870" s="24">
        <v>18.100000000000001</v>
      </c>
      <c r="I1870" s="24">
        <v>9164.61</v>
      </c>
      <c r="J1870" s="22" t="s">
        <v>104</v>
      </c>
      <c r="K1870" s="22" t="s">
        <v>129</v>
      </c>
      <c r="L1870" t="str">
        <f>VLOOKUP(D1870,Products!A:F,3,FALSE())</f>
        <v>Home</v>
      </c>
      <c r="M1870" t="str">
        <f>VLOOKUP(C1870,Customers!A:F,5,FALSE())</f>
        <v>Retail</v>
      </c>
      <c r="O1870" t="str">
        <f>IFERROR(VLOOKUP(E1870,Sales_Reps!$A:$C,3,FALSE()),"")</f>
        <v/>
      </c>
      <c r="P1870">
        <f>IFERROR(VLOOKUP(C1870,Customers!$A:$C,3,FALSE()),"")</f>
        <v>61</v>
      </c>
      <c r="Q1870" t="str">
        <f t="shared" si="29"/>
        <v>Nov-24</v>
      </c>
      <c r="R1870">
        <f>IFERROR((VLOOKUP(D1870,Products!$A:$E,5,FALSE())-VLOOKUP(D1870,Products!$A:$E,4,FALSE()))/VLOOKUP(D1870,Products!$A:$E,5,FALSE()),"")</f>
        <v>0.42761394101876676</v>
      </c>
    </row>
    <row r="1871" spans="1:18" x14ac:dyDescent="0.3">
      <c r="A1871" s="22" t="s">
        <v>4224</v>
      </c>
      <c r="B1871" s="23">
        <v>45528</v>
      </c>
      <c r="C1871" s="22" t="s">
        <v>425</v>
      </c>
      <c r="D1871" s="22" t="s">
        <v>265</v>
      </c>
      <c r="E1871" s="22" t="s">
        <v>4225</v>
      </c>
      <c r="F1871" s="24">
        <v>8</v>
      </c>
      <c r="G1871" s="24">
        <v>3730</v>
      </c>
      <c r="H1871" s="24">
        <v>12.5</v>
      </c>
      <c r="I1871" s="24">
        <v>26110</v>
      </c>
      <c r="J1871" s="22" t="s">
        <v>104</v>
      </c>
      <c r="K1871" s="22" t="s">
        <v>111</v>
      </c>
      <c r="L1871" t="str">
        <f>VLOOKUP(D1871,Products!A:F,3,FALSE())</f>
        <v>Home</v>
      </c>
      <c r="M1871" t="str">
        <f>VLOOKUP(C1871,Customers!A:F,5,FALSE())</f>
        <v>Retail</v>
      </c>
      <c r="O1871" t="str">
        <f>IFERROR(VLOOKUP(E1871,Sales_Reps!$A:$C,3,FALSE()),"")</f>
        <v/>
      </c>
      <c r="P1871">
        <f>IFERROR(VLOOKUP(C1871,Customers!$A:$C,3,FALSE()),"")</f>
        <v>26</v>
      </c>
      <c r="Q1871" t="str">
        <f t="shared" si="29"/>
        <v>Aug-24</v>
      </c>
      <c r="R1871">
        <f>IFERROR((VLOOKUP(D1871,Products!$A:$E,5,FALSE())-VLOOKUP(D1871,Products!$A:$E,4,FALSE()))/VLOOKUP(D1871,Products!$A:$E,5,FALSE()),"")</f>
        <v>0.42761394101876676</v>
      </c>
    </row>
    <row r="1872" spans="1:18" x14ac:dyDescent="0.3">
      <c r="A1872" s="22" t="s">
        <v>4226</v>
      </c>
      <c r="B1872" s="23">
        <v>45644</v>
      </c>
      <c r="C1872" s="22" t="s">
        <v>3130</v>
      </c>
      <c r="D1872" s="22" t="s">
        <v>459</v>
      </c>
      <c r="E1872" s="22" t="s">
        <v>4227</v>
      </c>
      <c r="F1872" s="24">
        <v>9</v>
      </c>
      <c r="G1872" s="24">
        <v>2380</v>
      </c>
      <c r="H1872" s="24">
        <v>8.1</v>
      </c>
      <c r="I1872" s="24">
        <v>19684.98</v>
      </c>
      <c r="J1872" s="22" t="s">
        <v>159</v>
      </c>
      <c r="K1872" s="22" t="s">
        <v>116</v>
      </c>
      <c r="L1872" t="str">
        <f>VLOOKUP(D1872,Products!A:F,3,FALSE())</f>
        <v>Grocery</v>
      </c>
      <c r="M1872" t="str">
        <f>VLOOKUP(C1872,Customers!A:F,5,FALSE())</f>
        <v>Retail</v>
      </c>
      <c r="O1872" t="str">
        <f>IFERROR(VLOOKUP(E1872,Sales_Reps!$A:$C,3,FALSE()),"")</f>
        <v/>
      </c>
      <c r="P1872">
        <f>IFERROR(VLOOKUP(C1872,Customers!$A:$C,3,FALSE()),"")</f>
        <v>62</v>
      </c>
      <c r="Q1872" t="str">
        <f t="shared" si="29"/>
        <v>Dec-24</v>
      </c>
      <c r="R1872">
        <f>IFERROR((VLOOKUP(D1872,Products!$A:$E,5,FALSE())-VLOOKUP(D1872,Products!$A:$E,4,FALSE()))/VLOOKUP(D1872,Products!$A:$E,5,FALSE()),"")</f>
        <v>0.50336134453781511</v>
      </c>
    </row>
    <row r="1873" spans="1:18" x14ac:dyDescent="0.3">
      <c r="A1873" s="22" t="s">
        <v>4228</v>
      </c>
      <c r="B1873" s="23">
        <v>45475</v>
      </c>
      <c r="C1873" s="22" t="s">
        <v>1952</v>
      </c>
      <c r="D1873" s="22" t="s">
        <v>186</v>
      </c>
      <c r="E1873" s="22" t="s">
        <v>4229</v>
      </c>
      <c r="F1873" s="24">
        <v>6</v>
      </c>
      <c r="G1873" s="24">
        <v>1080</v>
      </c>
      <c r="H1873" s="24">
        <v>8.8000000000000007</v>
      </c>
      <c r="I1873" s="24">
        <v>5909.76</v>
      </c>
      <c r="J1873" s="22" t="s">
        <v>104</v>
      </c>
      <c r="K1873" s="22" t="s">
        <v>129</v>
      </c>
      <c r="L1873" t="str">
        <f>VLOOKUP(D1873,Products!A:F,3,FALSE())</f>
        <v>Home</v>
      </c>
      <c r="M1873" t="str">
        <f>VLOOKUP(C1873,Customers!A:F,5,FALSE())</f>
        <v>Retail</v>
      </c>
      <c r="O1873" t="str">
        <f>IFERROR(VLOOKUP(E1873,Sales_Reps!$A:$C,3,FALSE()),"")</f>
        <v/>
      </c>
      <c r="P1873">
        <f>IFERROR(VLOOKUP(C1873,Customers!$A:$C,3,FALSE()),"")</f>
        <v>44</v>
      </c>
      <c r="Q1873" t="str">
        <f t="shared" si="29"/>
        <v>Jul-24</v>
      </c>
      <c r="R1873">
        <f>IFERROR((VLOOKUP(D1873,Products!$A:$E,5,FALSE())-VLOOKUP(D1873,Products!$A:$E,4,FALSE()))/VLOOKUP(D1873,Products!$A:$E,5,FALSE()),"")</f>
        <v>0.51944444444444449</v>
      </c>
    </row>
    <row r="1874" spans="1:18" x14ac:dyDescent="0.3">
      <c r="A1874" s="22" t="s">
        <v>3909</v>
      </c>
      <c r="B1874" s="23">
        <v>45401</v>
      </c>
      <c r="C1874" s="22" t="s">
        <v>822</v>
      </c>
      <c r="D1874" s="22" t="s">
        <v>114</v>
      </c>
      <c r="E1874" s="22" t="s">
        <v>4230</v>
      </c>
      <c r="F1874" s="24">
        <v>5</v>
      </c>
      <c r="G1874" s="24">
        <v>470</v>
      </c>
      <c r="H1874" s="24">
        <v>1.3</v>
      </c>
      <c r="I1874" s="24">
        <v>2319.4499999999998</v>
      </c>
      <c r="J1874" s="22" t="s">
        <v>104</v>
      </c>
      <c r="K1874" s="22" t="s">
        <v>151</v>
      </c>
      <c r="L1874" t="str">
        <f>VLOOKUP(D1874,Products!A:F,3,FALSE())</f>
        <v>Sports</v>
      </c>
      <c r="M1874" t="str">
        <f>VLOOKUP(C1874,Customers!A:F,5,FALSE())</f>
        <v>Retail</v>
      </c>
      <c r="O1874" t="str">
        <f>IFERROR(VLOOKUP(E1874,Sales_Reps!$A:$C,3,FALSE()),"")</f>
        <v/>
      </c>
      <c r="P1874">
        <f>IFERROR(VLOOKUP(C1874,Customers!$A:$C,3,FALSE()),"")</f>
        <v>22</v>
      </c>
      <c r="Q1874" t="str">
        <f t="shared" si="29"/>
        <v>Apr-24</v>
      </c>
      <c r="R1874">
        <f>IFERROR((VLOOKUP(D1874,Products!$A:$E,5,FALSE())-VLOOKUP(D1874,Products!$A:$E,4,FALSE()))/VLOOKUP(D1874,Products!$A:$E,5,FALSE()),"")</f>
        <v>0.35744680851063831</v>
      </c>
    </row>
    <row r="1875" spans="1:18" x14ac:dyDescent="0.3">
      <c r="A1875" s="22" t="s">
        <v>4231</v>
      </c>
      <c r="B1875" s="23">
        <v>45516</v>
      </c>
      <c r="C1875" s="22" t="s">
        <v>1442</v>
      </c>
      <c r="D1875" s="22" t="s">
        <v>127</v>
      </c>
      <c r="E1875" s="22" t="s">
        <v>4232</v>
      </c>
      <c r="F1875" s="24">
        <v>4</v>
      </c>
      <c r="G1875" s="24">
        <v>370</v>
      </c>
      <c r="H1875" s="24">
        <v>13.1</v>
      </c>
      <c r="I1875" s="24">
        <v>1286.1199999999999</v>
      </c>
      <c r="J1875" s="22" t="s">
        <v>104</v>
      </c>
      <c r="K1875" s="22" t="s">
        <v>105</v>
      </c>
      <c r="L1875" t="str">
        <f>VLOOKUP(D1875,Products!A:F,3,FALSE())</f>
        <v>Home</v>
      </c>
      <c r="M1875" t="str">
        <f>VLOOKUP(C1875,Customers!A:F,5,FALSE())</f>
        <v>Retail</v>
      </c>
      <c r="O1875" t="str">
        <f>IFERROR(VLOOKUP(E1875,Sales_Reps!$A:$C,3,FALSE()),"")</f>
        <v/>
      </c>
      <c r="P1875">
        <f>IFERROR(VLOOKUP(C1875,Customers!$A:$C,3,FALSE()),"")</f>
        <v>54</v>
      </c>
      <c r="Q1875" t="str">
        <f t="shared" si="29"/>
        <v>Aug-24</v>
      </c>
      <c r="R1875">
        <f>IFERROR((VLOOKUP(D1875,Products!$A:$E,5,FALSE())-VLOOKUP(D1875,Products!$A:$E,4,FALSE()))/VLOOKUP(D1875,Products!$A:$E,5,FALSE()),"")</f>
        <v>0.22162162162162163</v>
      </c>
    </row>
    <row r="1876" spans="1:18" x14ac:dyDescent="0.3">
      <c r="A1876" s="22" t="s">
        <v>4233</v>
      </c>
      <c r="B1876" s="23">
        <v>45517</v>
      </c>
      <c r="C1876" s="22" t="s">
        <v>861</v>
      </c>
      <c r="D1876" s="22" t="s">
        <v>123</v>
      </c>
      <c r="E1876" s="22" t="s">
        <v>4234</v>
      </c>
      <c r="F1876" s="24">
        <v>7</v>
      </c>
      <c r="G1876" s="24">
        <v>3160</v>
      </c>
      <c r="H1876" s="24">
        <v>12.3</v>
      </c>
      <c r="I1876" s="24">
        <v>19399.240000000002</v>
      </c>
      <c r="J1876" s="22" t="s">
        <v>104</v>
      </c>
      <c r="K1876" s="22" t="s">
        <v>129</v>
      </c>
      <c r="L1876" t="str">
        <f>VLOOKUP(D1876,Products!A:F,3,FALSE())</f>
        <v>Apparel</v>
      </c>
      <c r="M1876" t="str">
        <f>VLOOKUP(C1876,Customers!A:F,5,FALSE())</f>
        <v>SMB</v>
      </c>
      <c r="O1876" t="str">
        <f>IFERROR(VLOOKUP(E1876,Sales_Reps!$A:$C,3,FALSE()),"")</f>
        <v/>
      </c>
      <c r="P1876">
        <f>IFERROR(VLOOKUP(C1876,Customers!$A:$C,3,FALSE()),"")</f>
        <v>65</v>
      </c>
      <c r="Q1876" t="str">
        <f t="shared" si="29"/>
        <v>Aug-24</v>
      </c>
      <c r="R1876">
        <f>IFERROR((VLOOKUP(D1876,Products!$A:$E,5,FALSE())-VLOOKUP(D1876,Products!$A:$E,4,FALSE()))/VLOOKUP(D1876,Products!$A:$E,5,FALSE()),"")</f>
        <v>0.4031645569620253</v>
      </c>
    </row>
    <row r="1877" spans="1:18" x14ac:dyDescent="0.3">
      <c r="A1877" s="22" t="s">
        <v>4235</v>
      </c>
      <c r="B1877" s="23">
        <v>45645</v>
      </c>
      <c r="C1877" s="22" t="s">
        <v>514</v>
      </c>
      <c r="D1877" s="22" t="s">
        <v>935</v>
      </c>
      <c r="E1877" s="22" t="s">
        <v>4236</v>
      </c>
      <c r="F1877" s="24">
        <v>5</v>
      </c>
      <c r="G1877" s="24">
        <v>3560</v>
      </c>
      <c r="H1877" s="24">
        <v>24</v>
      </c>
      <c r="I1877" s="24">
        <v>13528</v>
      </c>
      <c r="J1877" s="22" t="s">
        <v>104</v>
      </c>
      <c r="K1877" s="22" t="s">
        <v>134</v>
      </c>
      <c r="L1877" t="str">
        <f>VLOOKUP(D1877,Products!A:F,3,FALSE())</f>
        <v>Apparel</v>
      </c>
      <c r="M1877" t="str">
        <f>VLOOKUP(C1877,Customers!A:F,5,FALSE())</f>
        <v>Retail</v>
      </c>
      <c r="O1877" t="str">
        <f>IFERROR(VLOOKUP(E1877,Sales_Reps!$A:$C,3,FALSE()),"")</f>
        <v/>
      </c>
      <c r="P1877">
        <f>IFERROR(VLOOKUP(C1877,Customers!$A:$C,3,FALSE()),"")</f>
        <v>59</v>
      </c>
      <c r="Q1877" t="str">
        <f t="shared" si="29"/>
        <v>Dec-24</v>
      </c>
      <c r="R1877">
        <f>IFERROR((VLOOKUP(D1877,Products!$A:$E,5,FALSE())-VLOOKUP(D1877,Products!$A:$E,4,FALSE()))/VLOOKUP(D1877,Products!$A:$E,5,FALSE()),"")</f>
        <v>0.26151685393258428</v>
      </c>
    </row>
    <row r="1878" spans="1:18" x14ac:dyDescent="0.3">
      <c r="A1878" s="22" t="s">
        <v>4237</v>
      </c>
      <c r="B1878" s="23">
        <v>45417</v>
      </c>
      <c r="C1878" s="22" t="s">
        <v>543</v>
      </c>
      <c r="D1878" s="22" t="s">
        <v>356</v>
      </c>
      <c r="E1878" s="22" t="s">
        <v>4238</v>
      </c>
      <c r="F1878" s="24">
        <v>6</v>
      </c>
      <c r="G1878" s="24">
        <v>2030</v>
      </c>
      <c r="H1878" s="24">
        <v>20.5</v>
      </c>
      <c r="I1878" s="24">
        <v>9683.1</v>
      </c>
      <c r="J1878" s="22" t="s">
        <v>104</v>
      </c>
      <c r="K1878" s="22" t="s">
        <v>111</v>
      </c>
      <c r="L1878" t="str">
        <f>VLOOKUP(D1878,Products!A:F,3,FALSE())</f>
        <v>Home</v>
      </c>
      <c r="M1878" t="str">
        <f>VLOOKUP(C1878,Customers!A:F,5,FALSE())</f>
        <v>SMB</v>
      </c>
      <c r="O1878" t="str">
        <f>IFERROR(VLOOKUP(E1878,Sales_Reps!$A:$C,3,FALSE()),"")</f>
        <v/>
      </c>
      <c r="P1878">
        <f>IFERROR(VLOOKUP(C1878,Customers!$A:$C,3,FALSE()),"")</f>
        <v>64</v>
      </c>
      <c r="Q1878" t="str">
        <f t="shared" si="29"/>
        <v>May-24</v>
      </c>
      <c r="R1878">
        <f>IFERROR((VLOOKUP(D1878,Products!$A:$E,5,FALSE())-VLOOKUP(D1878,Products!$A:$E,4,FALSE()))/VLOOKUP(D1878,Products!$A:$E,5,FALSE()),"")</f>
        <v>0.43694581280788175</v>
      </c>
    </row>
    <row r="1879" spans="1:18" x14ac:dyDescent="0.3">
      <c r="A1879" s="22" t="s">
        <v>4239</v>
      </c>
      <c r="B1879" s="23">
        <v>45351</v>
      </c>
      <c r="C1879" s="22" t="s">
        <v>623</v>
      </c>
      <c r="D1879" s="22" t="s">
        <v>153</v>
      </c>
      <c r="E1879" s="22" t="s">
        <v>4240</v>
      </c>
      <c r="F1879" s="24">
        <v>5</v>
      </c>
      <c r="G1879" s="24">
        <v>2640</v>
      </c>
      <c r="H1879" s="24">
        <v>21.3</v>
      </c>
      <c r="I1879" s="24">
        <v>10388.4</v>
      </c>
      <c r="J1879" s="22" t="s">
        <v>110</v>
      </c>
      <c r="K1879" s="22" t="s">
        <v>111</v>
      </c>
      <c r="L1879" t="str">
        <f>VLOOKUP(D1879,Products!A:F,3,FALSE())</f>
        <v>Electronics</v>
      </c>
      <c r="M1879" t="str">
        <f>VLOOKUP(C1879,Customers!A:F,5,FALSE())</f>
        <v>Corporate</v>
      </c>
      <c r="O1879" t="str">
        <f>IFERROR(VLOOKUP(E1879,Sales_Reps!$A:$C,3,FALSE()),"")</f>
        <v/>
      </c>
      <c r="P1879">
        <f>IFERROR(VLOOKUP(C1879,Customers!$A:$C,3,FALSE()),"")</f>
        <v>35</v>
      </c>
      <c r="Q1879" t="str">
        <f t="shared" si="29"/>
        <v>Feb-24</v>
      </c>
      <c r="R1879">
        <f>IFERROR((VLOOKUP(D1879,Products!$A:$E,5,FALSE())-VLOOKUP(D1879,Products!$A:$E,4,FALSE()))/VLOOKUP(D1879,Products!$A:$E,5,FALSE()),"")</f>
        <v>0.56477272727272732</v>
      </c>
    </row>
    <row r="1880" spans="1:18" x14ac:dyDescent="0.3">
      <c r="A1880" s="22" t="s">
        <v>4241</v>
      </c>
      <c r="B1880" s="23">
        <v>45629</v>
      </c>
      <c r="C1880" s="22" t="s">
        <v>264</v>
      </c>
      <c r="D1880" s="22" t="s">
        <v>289</v>
      </c>
      <c r="E1880" s="22" t="s">
        <v>4242</v>
      </c>
      <c r="F1880" s="24">
        <v>4</v>
      </c>
      <c r="G1880" s="24">
        <v>2270</v>
      </c>
      <c r="H1880" s="24">
        <v>15.8</v>
      </c>
      <c r="I1880" s="24">
        <v>7645.36</v>
      </c>
      <c r="J1880" s="22" t="s">
        <v>104</v>
      </c>
      <c r="K1880" s="22" t="s">
        <v>111</v>
      </c>
      <c r="L1880" t="str">
        <f>VLOOKUP(D1880,Products!A:F,3,FALSE())</f>
        <v>Grocery</v>
      </c>
      <c r="M1880" t="str">
        <f>VLOOKUP(C1880,Customers!A:F,5,FALSE())</f>
        <v>Retail</v>
      </c>
      <c r="O1880" t="str">
        <f>IFERROR(VLOOKUP(E1880,Sales_Reps!$A:$C,3,FALSE()),"")</f>
        <v/>
      </c>
      <c r="P1880">
        <f>IFERROR(VLOOKUP(C1880,Customers!$A:$C,3,FALSE()),"")</f>
        <v>37</v>
      </c>
      <c r="Q1880" t="str">
        <f t="shared" si="29"/>
        <v>Dec-24</v>
      </c>
      <c r="R1880">
        <f>IFERROR((VLOOKUP(D1880,Products!$A:$E,5,FALSE())-VLOOKUP(D1880,Products!$A:$E,4,FALSE()))/VLOOKUP(D1880,Products!$A:$E,5,FALSE()),"")</f>
        <v>0.37797356828193834</v>
      </c>
    </row>
    <row r="1881" spans="1:18" x14ac:dyDescent="0.3">
      <c r="A1881" s="22" t="s">
        <v>4243</v>
      </c>
      <c r="B1881" s="23">
        <v>45588</v>
      </c>
      <c r="C1881" s="22" t="s">
        <v>716</v>
      </c>
      <c r="D1881" s="22" t="s">
        <v>127</v>
      </c>
      <c r="E1881" s="22" t="s">
        <v>4244</v>
      </c>
      <c r="F1881" s="24">
        <v>1</v>
      </c>
      <c r="G1881" s="24">
        <v>370</v>
      </c>
      <c r="H1881" s="24">
        <v>27</v>
      </c>
      <c r="I1881" s="24">
        <v>270.10000000000002</v>
      </c>
      <c r="J1881" s="22" t="s">
        <v>110</v>
      </c>
      <c r="K1881" s="22" t="s">
        <v>129</v>
      </c>
      <c r="L1881" t="str">
        <f>VLOOKUP(D1881,Products!A:F,3,FALSE())</f>
        <v>Home</v>
      </c>
      <c r="M1881" t="str">
        <f>VLOOKUP(C1881,Customers!A:F,5,FALSE())</f>
        <v>Retail</v>
      </c>
      <c r="O1881" t="str">
        <f>IFERROR(VLOOKUP(E1881,Sales_Reps!$A:$C,3,FALSE()),"")</f>
        <v/>
      </c>
      <c r="P1881">
        <f>IFERROR(VLOOKUP(C1881,Customers!$A:$C,3,FALSE()),"")</f>
        <v>44</v>
      </c>
      <c r="Q1881" t="str">
        <f t="shared" si="29"/>
        <v>Oct-24</v>
      </c>
      <c r="R1881">
        <f>IFERROR((VLOOKUP(D1881,Products!$A:$E,5,FALSE())-VLOOKUP(D1881,Products!$A:$E,4,FALSE()))/VLOOKUP(D1881,Products!$A:$E,5,FALSE()),"")</f>
        <v>0.22162162162162163</v>
      </c>
    </row>
    <row r="1882" spans="1:18" x14ac:dyDescent="0.3">
      <c r="A1882" s="22" t="s">
        <v>4245</v>
      </c>
      <c r="B1882" s="23">
        <v>45366</v>
      </c>
      <c r="C1882" s="22" t="s">
        <v>326</v>
      </c>
      <c r="D1882" s="22" t="s">
        <v>220</v>
      </c>
      <c r="E1882" s="22" t="s">
        <v>4246</v>
      </c>
      <c r="F1882" s="24">
        <v>9</v>
      </c>
      <c r="G1882" s="24">
        <v>5100</v>
      </c>
      <c r="H1882" s="24">
        <v>2.4</v>
      </c>
      <c r="I1882" s="24">
        <v>44798.400000000001</v>
      </c>
      <c r="J1882" s="22" t="s">
        <v>104</v>
      </c>
      <c r="K1882" s="22" t="s">
        <v>111</v>
      </c>
      <c r="L1882" t="str">
        <f>VLOOKUP(D1882,Products!A:F,3,FALSE())</f>
        <v>Beauty</v>
      </c>
      <c r="M1882" t="str">
        <f>VLOOKUP(C1882,Customers!A:F,5,FALSE())</f>
        <v>SMB</v>
      </c>
      <c r="O1882" t="str">
        <f>IFERROR(VLOOKUP(E1882,Sales_Reps!$A:$C,3,FALSE()),"")</f>
        <v/>
      </c>
      <c r="P1882">
        <f>IFERROR(VLOOKUP(C1882,Customers!$A:$C,3,FALSE()),"")</f>
        <v>55</v>
      </c>
      <c r="Q1882" t="str">
        <f t="shared" si="29"/>
        <v>Mar-24</v>
      </c>
      <c r="R1882">
        <f>IFERROR((VLOOKUP(D1882,Products!$A:$E,5,FALSE())-VLOOKUP(D1882,Products!$A:$E,4,FALSE()))/VLOOKUP(D1882,Products!$A:$E,5,FALSE()),"")</f>
        <v>0.56137254901960787</v>
      </c>
    </row>
    <row r="1883" spans="1:18" x14ac:dyDescent="0.3">
      <c r="A1883" s="22" t="s">
        <v>4247</v>
      </c>
      <c r="B1883" s="23">
        <v>45322</v>
      </c>
      <c r="C1883" s="22" t="s">
        <v>822</v>
      </c>
      <c r="D1883" s="22" t="s">
        <v>127</v>
      </c>
      <c r="E1883" s="22" t="s">
        <v>4248</v>
      </c>
      <c r="F1883" s="24">
        <v>6</v>
      </c>
      <c r="G1883" s="24">
        <v>370</v>
      </c>
      <c r="H1883" s="24">
        <v>18.7</v>
      </c>
      <c r="I1883" s="24">
        <v>1804.86</v>
      </c>
      <c r="J1883" s="22" t="s">
        <v>159</v>
      </c>
      <c r="K1883" s="22" t="s">
        <v>151</v>
      </c>
      <c r="L1883" t="str">
        <f>VLOOKUP(D1883,Products!A:F,3,FALSE())</f>
        <v>Home</v>
      </c>
      <c r="M1883" t="str">
        <f>VLOOKUP(C1883,Customers!A:F,5,FALSE())</f>
        <v>Retail</v>
      </c>
      <c r="O1883" t="str">
        <f>IFERROR(VLOOKUP(E1883,Sales_Reps!$A:$C,3,FALSE()),"")</f>
        <v/>
      </c>
      <c r="P1883">
        <f>IFERROR(VLOOKUP(C1883,Customers!$A:$C,3,FALSE()),"")</f>
        <v>22</v>
      </c>
      <c r="Q1883" t="str">
        <f t="shared" si="29"/>
        <v>Jan-24</v>
      </c>
      <c r="R1883">
        <f>IFERROR((VLOOKUP(D1883,Products!$A:$E,5,FALSE())-VLOOKUP(D1883,Products!$A:$E,4,FALSE()))/VLOOKUP(D1883,Products!$A:$E,5,FALSE()),"")</f>
        <v>0.22162162162162163</v>
      </c>
    </row>
    <row r="1884" spans="1:18" x14ac:dyDescent="0.3">
      <c r="A1884" s="22" t="s">
        <v>4249</v>
      </c>
      <c r="B1884" s="23">
        <v>45465</v>
      </c>
      <c r="C1884" s="22" t="s">
        <v>772</v>
      </c>
      <c r="D1884" s="22" t="s">
        <v>145</v>
      </c>
      <c r="E1884" s="22" t="s">
        <v>4250</v>
      </c>
      <c r="F1884" s="24">
        <v>6</v>
      </c>
      <c r="G1884" s="24">
        <v>970</v>
      </c>
      <c r="H1884" s="24">
        <v>21.6</v>
      </c>
      <c r="I1884" s="24">
        <v>4562.88</v>
      </c>
      <c r="J1884" s="22" t="s">
        <v>104</v>
      </c>
      <c r="K1884" s="22" t="s">
        <v>105</v>
      </c>
      <c r="L1884" t="str">
        <f>VLOOKUP(D1884,Products!A:F,3,FALSE())</f>
        <v>Grocery</v>
      </c>
      <c r="M1884" t="str">
        <f>VLOOKUP(C1884,Customers!A:F,5,FALSE())</f>
        <v>SMB</v>
      </c>
      <c r="O1884" t="str">
        <f>IFERROR(VLOOKUP(E1884,Sales_Reps!$A:$C,3,FALSE()),"")</f>
        <v/>
      </c>
      <c r="P1884">
        <f>IFERROR(VLOOKUP(C1884,Customers!$A:$C,3,FALSE()),"")</f>
        <v>24</v>
      </c>
      <c r="Q1884" t="str">
        <f t="shared" si="29"/>
        <v>Jun-24</v>
      </c>
      <c r="R1884">
        <f>IFERROR((VLOOKUP(D1884,Products!$A:$E,5,FALSE())-VLOOKUP(D1884,Products!$A:$E,4,FALSE()))/VLOOKUP(D1884,Products!$A:$E,5,FALSE()),"")</f>
        <v>0.5525773195876289</v>
      </c>
    </row>
    <row r="1885" spans="1:18" x14ac:dyDescent="0.3">
      <c r="A1885" s="22" t="s">
        <v>4251</v>
      </c>
      <c r="B1885" s="23">
        <v>45622</v>
      </c>
      <c r="C1885" s="22" t="s">
        <v>4252</v>
      </c>
      <c r="D1885" s="22" t="s">
        <v>419</v>
      </c>
      <c r="E1885" s="22" t="s">
        <v>4253</v>
      </c>
      <c r="F1885" s="24">
        <v>3</v>
      </c>
      <c r="G1885" s="24">
        <v>2210</v>
      </c>
      <c r="H1885" s="24">
        <v>8.5</v>
      </c>
      <c r="I1885" s="24">
        <v>6066.45</v>
      </c>
      <c r="J1885" s="22" t="s">
        <v>104</v>
      </c>
      <c r="K1885" s="22" t="s">
        <v>116</v>
      </c>
      <c r="L1885" t="str">
        <f>VLOOKUP(D1885,Products!A:F,3,FALSE())</f>
        <v>Grocery</v>
      </c>
      <c r="M1885" t="e">
        <f>VLOOKUP(C1885,Customers!A:F,5,FALSE())</f>
        <v>#N/A</v>
      </c>
      <c r="O1885" t="str">
        <f>IFERROR(VLOOKUP(E1885,Sales_Reps!$A:$C,3,FALSE()),"")</f>
        <v/>
      </c>
      <c r="P1885" t="str">
        <f>IFERROR(VLOOKUP(C1885,Customers!$A:$C,3,FALSE()),"")</f>
        <v/>
      </c>
      <c r="Q1885" t="str">
        <f t="shared" si="29"/>
        <v>Nov-24</v>
      </c>
      <c r="R1885">
        <f>IFERROR((VLOOKUP(D1885,Products!$A:$E,5,FALSE())-VLOOKUP(D1885,Products!$A:$E,4,FALSE()))/VLOOKUP(D1885,Products!$A:$E,5,FALSE()),"")</f>
        <v>0.54298642533936647</v>
      </c>
    </row>
    <row r="1886" spans="1:18" x14ac:dyDescent="0.3">
      <c r="A1886" s="22" t="s">
        <v>4254</v>
      </c>
      <c r="B1886" s="23">
        <v>45457</v>
      </c>
      <c r="C1886" s="22" t="s">
        <v>482</v>
      </c>
      <c r="D1886" s="22" t="s">
        <v>201</v>
      </c>
      <c r="E1886" s="22" t="s">
        <v>4255</v>
      </c>
      <c r="F1886" s="24">
        <v>1</v>
      </c>
      <c r="G1886" s="24">
        <v>1650</v>
      </c>
      <c r="H1886" s="24">
        <v>19.7</v>
      </c>
      <c r="I1886" s="24">
        <v>1324.95</v>
      </c>
      <c r="J1886" s="22" t="s">
        <v>104</v>
      </c>
      <c r="K1886" s="22" t="s">
        <v>116</v>
      </c>
      <c r="L1886" t="str">
        <f>VLOOKUP(D1886,Products!A:F,3,FALSE())</f>
        <v>Beauty</v>
      </c>
      <c r="M1886" t="str">
        <f>VLOOKUP(C1886,Customers!A:F,5,FALSE())</f>
        <v>Corporate</v>
      </c>
      <c r="O1886" t="str">
        <f>IFERROR(VLOOKUP(E1886,Sales_Reps!$A:$C,3,FALSE()),"")</f>
        <v/>
      </c>
      <c r="P1886">
        <f>IFERROR(VLOOKUP(C1886,Customers!$A:$C,3,FALSE()),"")</f>
        <v>27</v>
      </c>
      <c r="Q1886" t="str">
        <f t="shared" si="29"/>
        <v>Jun-24</v>
      </c>
      <c r="R1886">
        <f>IFERROR((VLOOKUP(D1886,Products!$A:$E,5,FALSE())-VLOOKUP(D1886,Products!$A:$E,4,FALSE()))/VLOOKUP(D1886,Products!$A:$E,5,FALSE()),"")</f>
        <v>0.2593939393939394</v>
      </c>
    </row>
    <row r="1887" spans="1:18" x14ac:dyDescent="0.3">
      <c r="A1887" s="22" t="s">
        <v>4256</v>
      </c>
      <c r="B1887" s="23">
        <v>45480</v>
      </c>
      <c r="C1887" s="22" t="s">
        <v>1447</v>
      </c>
      <c r="D1887" s="22" t="s">
        <v>695</v>
      </c>
      <c r="E1887" s="22" t="s">
        <v>4257</v>
      </c>
      <c r="F1887" s="24">
        <v>5</v>
      </c>
      <c r="G1887" s="24">
        <v>6940</v>
      </c>
      <c r="H1887" s="24">
        <v>7.7</v>
      </c>
      <c r="I1887" s="24">
        <v>32028.1</v>
      </c>
      <c r="J1887" s="22" t="s">
        <v>104</v>
      </c>
      <c r="K1887" s="22" t="s">
        <v>105</v>
      </c>
      <c r="L1887" t="str">
        <f>VLOOKUP(D1887,Products!A:F,3,FALSE())</f>
        <v>Sports</v>
      </c>
      <c r="M1887" t="str">
        <f>VLOOKUP(C1887,Customers!A:F,5,FALSE())</f>
        <v>Retail</v>
      </c>
      <c r="O1887" t="str">
        <f>IFERROR(VLOOKUP(E1887,Sales_Reps!$A:$C,3,FALSE()),"")</f>
        <v/>
      </c>
      <c r="P1887">
        <f>IFERROR(VLOOKUP(C1887,Customers!$A:$C,3,FALSE()),"")</f>
        <v>65</v>
      </c>
      <c r="Q1887" t="str">
        <f t="shared" si="29"/>
        <v>Jul-24</v>
      </c>
      <c r="R1887">
        <f>IFERROR((VLOOKUP(D1887,Products!$A:$E,5,FALSE())-VLOOKUP(D1887,Products!$A:$E,4,FALSE()))/VLOOKUP(D1887,Products!$A:$E,5,FALSE()),"")</f>
        <v>0.5926512968299712</v>
      </c>
    </row>
    <row r="1888" spans="1:18" x14ac:dyDescent="0.3">
      <c r="A1888" s="22" t="s">
        <v>4258</v>
      </c>
      <c r="B1888" s="23">
        <v>45392</v>
      </c>
      <c r="C1888" s="22" t="s">
        <v>648</v>
      </c>
      <c r="D1888" s="22" t="s">
        <v>419</v>
      </c>
      <c r="E1888" s="22" t="s">
        <v>4259</v>
      </c>
      <c r="F1888" s="24">
        <v>2</v>
      </c>
      <c r="G1888" s="24">
        <v>2210</v>
      </c>
      <c r="H1888" s="24">
        <v>5.6</v>
      </c>
      <c r="I1888" s="24">
        <v>4172.4799999999996</v>
      </c>
      <c r="J1888" s="22" t="s">
        <v>159</v>
      </c>
      <c r="K1888" s="22" t="s">
        <v>105</v>
      </c>
      <c r="L1888" t="str">
        <f>VLOOKUP(D1888,Products!A:F,3,FALSE())</f>
        <v>Grocery</v>
      </c>
      <c r="M1888" t="str">
        <f>VLOOKUP(C1888,Customers!A:F,5,FALSE())</f>
        <v>Corporate</v>
      </c>
      <c r="O1888" t="str">
        <f>IFERROR(VLOOKUP(E1888,Sales_Reps!$A:$C,3,FALSE()),"")</f>
        <v/>
      </c>
      <c r="P1888">
        <f>IFERROR(VLOOKUP(C1888,Customers!$A:$C,3,FALSE()),"")</f>
        <v>29</v>
      </c>
      <c r="Q1888" t="str">
        <f t="shared" si="29"/>
        <v>Apr-24</v>
      </c>
      <c r="R1888">
        <f>IFERROR((VLOOKUP(D1888,Products!$A:$E,5,FALSE())-VLOOKUP(D1888,Products!$A:$E,4,FALSE()))/VLOOKUP(D1888,Products!$A:$E,5,FALSE()),"")</f>
        <v>0.54298642533936647</v>
      </c>
    </row>
    <row r="1889" spans="1:18" x14ac:dyDescent="0.3">
      <c r="A1889" s="22" t="s">
        <v>4260</v>
      </c>
      <c r="B1889" s="23">
        <v>45380</v>
      </c>
      <c r="C1889" s="22" t="s">
        <v>386</v>
      </c>
      <c r="D1889" s="22" t="s">
        <v>157</v>
      </c>
      <c r="E1889" s="22" t="s">
        <v>4261</v>
      </c>
      <c r="F1889" s="24">
        <v>9</v>
      </c>
      <c r="G1889" s="24">
        <v>2600</v>
      </c>
      <c r="H1889" s="24">
        <v>3.1</v>
      </c>
      <c r="I1889" s="24">
        <v>22674.6</v>
      </c>
      <c r="J1889" s="22" t="s">
        <v>104</v>
      </c>
      <c r="K1889" s="22" t="s">
        <v>105</v>
      </c>
      <c r="L1889" t="str">
        <f>VLOOKUP(D1889,Products!A:F,3,FALSE())</f>
        <v>Electronics</v>
      </c>
      <c r="M1889" t="str">
        <f>VLOOKUP(C1889,Customers!A:F,5,FALSE())</f>
        <v>SMB</v>
      </c>
      <c r="O1889" t="str">
        <f>IFERROR(VLOOKUP(E1889,Sales_Reps!$A:$C,3,FALSE()),"")</f>
        <v/>
      </c>
      <c r="P1889">
        <f>IFERROR(VLOOKUP(C1889,Customers!$A:$C,3,FALSE()),"")</f>
        <v>60</v>
      </c>
      <c r="Q1889" t="str">
        <f t="shared" si="29"/>
        <v>Mar-24</v>
      </c>
      <c r="R1889">
        <f>IFERROR((VLOOKUP(D1889,Products!$A:$E,5,FALSE())-VLOOKUP(D1889,Products!$A:$E,4,FALSE()))/VLOOKUP(D1889,Products!$A:$E,5,FALSE()),"")</f>
        <v>0.5953846153846154</v>
      </c>
    </row>
    <row r="1890" spans="1:18" x14ac:dyDescent="0.3">
      <c r="A1890" s="22" t="s">
        <v>4262</v>
      </c>
      <c r="B1890" s="23">
        <v>45494</v>
      </c>
      <c r="C1890" s="22" t="s">
        <v>1359</v>
      </c>
      <c r="D1890" s="22" t="s">
        <v>605</v>
      </c>
      <c r="E1890" s="22" t="s">
        <v>4263</v>
      </c>
      <c r="F1890" s="24">
        <v>7</v>
      </c>
      <c r="G1890" s="24">
        <v>3780</v>
      </c>
      <c r="H1890" s="24">
        <v>13.3</v>
      </c>
      <c r="I1890" s="24">
        <v>22940.82</v>
      </c>
      <c r="J1890" s="22" t="s">
        <v>104</v>
      </c>
      <c r="K1890" s="22" t="s">
        <v>134</v>
      </c>
      <c r="L1890" t="str">
        <f>VLOOKUP(D1890,Products!A:F,3,FALSE())</f>
        <v>Sports</v>
      </c>
      <c r="M1890" t="str">
        <f>VLOOKUP(C1890,Customers!A:F,5,FALSE())</f>
        <v>Retail</v>
      </c>
      <c r="O1890" t="str">
        <f>IFERROR(VLOOKUP(E1890,Sales_Reps!$A:$C,3,FALSE()),"")</f>
        <v/>
      </c>
      <c r="P1890">
        <f>IFERROR(VLOOKUP(C1890,Customers!$A:$C,3,FALSE()),"")</f>
        <v>35</v>
      </c>
      <c r="Q1890" t="str">
        <f t="shared" si="29"/>
        <v>Jul-24</v>
      </c>
      <c r="R1890">
        <f>IFERROR((VLOOKUP(D1890,Products!$A:$E,5,FALSE())-VLOOKUP(D1890,Products!$A:$E,4,FALSE()))/VLOOKUP(D1890,Products!$A:$E,5,FALSE()),"")</f>
        <v>0.50793650793650791</v>
      </c>
    </row>
    <row r="1891" spans="1:18" x14ac:dyDescent="0.3">
      <c r="A1891" s="22" t="s">
        <v>4264</v>
      </c>
      <c r="B1891" s="23">
        <v>45621</v>
      </c>
      <c r="C1891" s="22" t="s">
        <v>1609</v>
      </c>
      <c r="D1891" s="22" t="s">
        <v>171</v>
      </c>
      <c r="E1891" s="22" t="s">
        <v>4265</v>
      </c>
      <c r="F1891" s="24">
        <v>4</v>
      </c>
      <c r="G1891" s="24">
        <v>2400</v>
      </c>
      <c r="H1891" s="24">
        <v>16.600000000000001</v>
      </c>
      <c r="I1891" s="24">
        <v>8006.4</v>
      </c>
      <c r="J1891" s="22" t="s">
        <v>110</v>
      </c>
      <c r="K1891" s="22" t="s">
        <v>134</v>
      </c>
      <c r="L1891" t="str">
        <f>VLOOKUP(D1891,Products!A:F,3,FALSE())</f>
        <v>Sports</v>
      </c>
      <c r="M1891" t="str">
        <f>VLOOKUP(C1891,Customers!A:F,5,FALSE())</f>
        <v>Corporate</v>
      </c>
      <c r="O1891" t="str">
        <f>IFERROR(VLOOKUP(E1891,Sales_Reps!$A:$C,3,FALSE()),"")</f>
        <v/>
      </c>
      <c r="P1891">
        <f>IFERROR(VLOOKUP(C1891,Customers!$A:$C,3,FALSE()),"")</f>
        <v>55</v>
      </c>
      <c r="Q1891" t="str">
        <f t="shared" si="29"/>
        <v>Nov-24</v>
      </c>
      <c r="R1891">
        <f>IFERROR((VLOOKUP(D1891,Products!$A:$E,5,FALSE())-VLOOKUP(D1891,Products!$A:$E,4,FALSE()))/VLOOKUP(D1891,Products!$A:$E,5,FALSE()),"")</f>
        <v>0.59416666666666662</v>
      </c>
    </row>
    <row r="1892" spans="1:18" x14ac:dyDescent="0.3">
      <c r="A1892" s="22" t="s">
        <v>4266</v>
      </c>
      <c r="B1892" s="23">
        <v>45603</v>
      </c>
      <c r="C1892" s="22" t="s">
        <v>337</v>
      </c>
      <c r="D1892" s="22" t="s">
        <v>338</v>
      </c>
      <c r="E1892" s="22" t="s">
        <v>4267</v>
      </c>
      <c r="F1892" s="24">
        <v>10</v>
      </c>
      <c r="G1892" s="24">
        <v>300</v>
      </c>
      <c r="H1892" s="24">
        <v>23.9</v>
      </c>
      <c r="I1892" s="24">
        <v>2283</v>
      </c>
      <c r="J1892" s="22" t="s">
        <v>104</v>
      </c>
      <c r="K1892" s="22" t="s">
        <v>105</v>
      </c>
      <c r="L1892" t="str">
        <f>VLOOKUP(D1892,Products!A:F,3,FALSE())</f>
        <v>Electronics</v>
      </c>
      <c r="M1892" t="str">
        <f>VLOOKUP(C1892,Customers!A:F,5,FALSE())</f>
        <v>Retail</v>
      </c>
      <c r="O1892" t="str">
        <f>IFERROR(VLOOKUP(E1892,Sales_Reps!$A:$C,3,FALSE()),"")</f>
        <v/>
      </c>
      <c r="P1892">
        <f>IFERROR(VLOOKUP(C1892,Customers!$A:$C,3,FALSE()),"")</f>
        <v>25</v>
      </c>
      <c r="Q1892" t="str">
        <f t="shared" si="29"/>
        <v>Nov-24</v>
      </c>
      <c r="R1892">
        <f>IFERROR((VLOOKUP(D1892,Products!$A:$E,5,FALSE())-VLOOKUP(D1892,Products!$A:$E,4,FALSE()))/VLOOKUP(D1892,Products!$A:$E,5,FALSE()),"")</f>
        <v>0.57333333333333336</v>
      </c>
    </row>
    <row r="1893" spans="1:18" x14ac:dyDescent="0.3">
      <c r="A1893" s="22" t="s">
        <v>4268</v>
      </c>
      <c r="B1893" s="23">
        <v>45640</v>
      </c>
      <c r="C1893" s="22" t="s">
        <v>318</v>
      </c>
      <c r="D1893" s="22" t="s">
        <v>119</v>
      </c>
      <c r="E1893" s="22" t="s">
        <v>4269</v>
      </c>
      <c r="F1893" s="24">
        <v>1</v>
      </c>
      <c r="G1893" s="24">
        <v>3660</v>
      </c>
      <c r="H1893" s="24">
        <v>1.5</v>
      </c>
      <c r="I1893" s="24">
        <v>3605.1</v>
      </c>
      <c r="J1893" s="22" t="s">
        <v>110</v>
      </c>
      <c r="K1893" s="22" t="s">
        <v>116</v>
      </c>
      <c r="L1893" t="str">
        <f>VLOOKUP(D1893,Products!A:F,3,FALSE())</f>
        <v>Grocery</v>
      </c>
      <c r="M1893" t="str">
        <f>VLOOKUP(C1893,Customers!A:F,5,FALSE())</f>
        <v>Corporate</v>
      </c>
      <c r="O1893" t="str">
        <f>IFERROR(VLOOKUP(E1893,Sales_Reps!$A:$C,3,FALSE()),"")</f>
        <v/>
      </c>
      <c r="P1893">
        <f>IFERROR(VLOOKUP(C1893,Customers!$A:$C,3,FALSE()),"")</f>
        <v>55</v>
      </c>
      <c r="Q1893" t="str">
        <f t="shared" si="29"/>
        <v>Dec-24</v>
      </c>
      <c r="R1893">
        <f>IFERROR((VLOOKUP(D1893,Products!$A:$E,5,FALSE())-VLOOKUP(D1893,Products!$A:$E,4,FALSE()))/VLOOKUP(D1893,Products!$A:$E,5,FALSE()),"")</f>
        <v>0.39508196721311473</v>
      </c>
    </row>
    <row r="1894" spans="1:18" x14ac:dyDescent="0.3">
      <c r="A1894" s="22" t="s">
        <v>4270</v>
      </c>
      <c r="B1894" s="23">
        <v>45534</v>
      </c>
      <c r="C1894" s="22" t="s">
        <v>377</v>
      </c>
      <c r="D1894" s="22" t="s">
        <v>182</v>
      </c>
      <c r="E1894" s="22" t="s">
        <v>4271</v>
      </c>
      <c r="F1894" s="24">
        <v>9</v>
      </c>
      <c r="G1894" s="24">
        <v>3450</v>
      </c>
      <c r="H1894" s="24">
        <v>21.8</v>
      </c>
      <c r="I1894" s="24">
        <v>24281.1</v>
      </c>
      <c r="J1894" s="22" t="s">
        <v>104</v>
      </c>
      <c r="K1894" s="22" t="s">
        <v>134</v>
      </c>
      <c r="L1894" t="str">
        <f>VLOOKUP(D1894,Products!A:F,3,FALSE())</f>
        <v>Sports</v>
      </c>
      <c r="M1894" t="str">
        <f>VLOOKUP(C1894,Customers!A:F,5,FALSE())</f>
        <v>Retail</v>
      </c>
      <c r="O1894" t="str">
        <f>IFERROR(VLOOKUP(E1894,Sales_Reps!$A:$C,3,FALSE()),"")</f>
        <v/>
      </c>
      <c r="P1894">
        <f>IFERROR(VLOOKUP(C1894,Customers!$A:$C,3,FALSE()),"")</f>
        <v>42</v>
      </c>
      <c r="Q1894" t="str">
        <f t="shared" si="29"/>
        <v>Aug-24</v>
      </c>
      <c r="R1894">
        <f>IFERROR((VLOOKUP(D1894,Products!$A:$E,5,FALSE())-VLOOKUP(D1894,Products!$A:$E,4,FALSE()))/VLOOKUP(D1894,Products!$A:$E,5,FALSE()),"")</f>
        <v>0.28492753623188405</v>
      </c>
    </row>
    <row r="1895" spans="1:18" x14ac:dyDescent="0.3">
      <c r="A1895" s="22" t="s">
        <v>4272</v>
      </c>
      <c r="B1895" s="23">
        <v>45410</v>
      </c>
      <c r="C1895" s="22" t="s">
        <v>673</v>
      </c>
      <c r="D1895" s="22" t="s">
        <v>591</v>
      </c>
      <c r="E1895" s="22" t="s">
        <v>4273</v>
      </c>
      <c r="F1895" s="24">
        <v>10</v>
      </c>
      <c r="G1895" s="24">
        <v>3450</v>
      </c>
      <c r="H1895" s="24">
        <v>15.7</v>
      </c>
      <c r="I1895" s="24">
        <v>29083.5</v>
      </c>
      <c r="J1895" s="22" t="s">
        <v>159</v>
      </c>
      <c r="K1895" s="22" t="s">
        <v>151</v>
      </c>
      <c r="L1895" t="str">
        <f>VLOOKUP(D1895,Products!A:F,3,FALSE())</f>
        <v>Apparel</v>
      </c>
      <c r="M1895" t="str">
        <f>VLOOKUP(C1895,Customers!A:F,5,FALSE())</f>
        <v>SMB</v>
      </c>
      <c r="O1895" t="str">
        <f>IFERROR(VLOOKUP(E1895,Sales_Reps!$A:$C,3,FALSE()),"")</f>
        <v/>
      </c>
      <c r="P1895">
        <f>IFERROR(VLOOKUP(C1895,Customers!$A:$C,3,FALSE()),"")</f>
        <v>65</v>
      </c>
      <c r="Q1895" t="str">
        <f t="shared" si="29"/>
        <v>Apr-24</v>
      </c>
      <c r="R1895">
        <f>IFERROR((VLOOKUP(D1895,Products!$A:$E,5,FALSE())-VLOOKUP(D1895,Products!$A:$E,4,FALSE()))/VLOOKUP(D1895,Products!$A:$E,5,FALSE()),"")</f>
        <v>0.49333333333333335</v>
      </c>
    </row>
    <row r="1896" spans="1:18" x14ac:dyDescent="0.3">
      <c r="A1896" s="22" t="s">
        <v>4274</v>
      </c>
      <c r="B1896" s="23">
        <v>45412</v>
      </c>
      <c r="C1896" s="22" t="s">
        <v>118</v>
      </c>
      <c r="D1896" s="22" t="s">
        <v>315</v>
      </c>
      <c r="E1896" s="22" t="s">
        <v>4275</v>
      </c>
      <c r="F1896" s="24">
        <v>2</v>
      </c>
      <c r="G1896" s="24">
        <v>4070</v>
      </c>
      <c r="H1896" s="24">
        <v>10.8</v>
      </c>
      <c r="I1896" s="24">
        <v>7260.88</v>
      </c>
      <c r="J1896" s="22" t="s">
        <v>104</v>
      </c>
      <c r="K1896" s="22" t="s">
        <v>116</v>
      </c>
      <c r="L1896" t="str">
        <f>VLOOKUP(D1896,Products!A:F,3,FALSE())</f>
        <v>Grocery</v>
      </c>
      <c r="M1896" t="str">
        <f>VLOOKUP(C1896,Customers!A:F,5,FALSE())</f>
        <v>Corporate</v>
      </c>
      <c r="O1896" t="str">
        <f>IFERROR(VLOOKUP(E1896,Sales_Reps!$A:$C,3,FALSE()),"")</f>
        <v/>
      </c>
      <c r="P1896">
        <f>IFERROR(VLOOKUP(C1896,Customers!$A:$C,3,FALSE()),"")</f>
        <v>46</v>
      </c>
      <c r="Q1896" t="str">
        <f t="shared" si="29"/>
        <v>Apr-24</v>
      </c>
      <c r="R1896">
        <f>IFERROR((VLOOKUP(D1896,Products!$A:$E,5,FALSE())-VLOOKUP(D1896,Products!$A:$E,4,FALSE()))/VLOOKUP(D1896,Products!$A:$E,5,FALSE()),"")</f>
        <v>0.50196560196560192</v>
      </c>
    </row>
    <row r="1897" spans="1:18" x14ac:dyDescent="0.3">
      <c r="A1897" s="22" t="s">
        <v>4276</v>
      </c>
      <c r="B1897" s="23">
        <v>45372</v>
      </c>
      <c r="C1897" s="22" t="s">
        <v>462</v>
      </c>
      <c r="D1897" s="22" t="s">
        <v>605</v>
      </c>
      <c r="E1897" s="22" t="s">
        <v>4277</v>
      </c>
      <c r="F1897" s="24">
        <v>4</v>
      </c>
      <c r="G1897" s="24">
        <v>3780</v>
      </c>
      <c r="H1897" s="24">
        <v>17.100000000000001</v>
      </c>
      <c r="I1897" s="24">
        <v>12534.48</v>
      </c>
      <c r="J1897" s="22" t="s">
        <v>104</v>
      </c>
      <c r="K1897" s="22" t="s">
        <v>111</v>
      </c>
      <c r="L1897" t="str">
        <f>VLOOKUP(D1897,Products!A:F,3,FALSE())</f>
        <v>Sports</v>
      </c>
      <c r="M1897" t="str">
        <f>VLOOKUP(C1897,Customers!A:F,5,FALSE())</f>
        <v>SMB</v>
      </c>
      <c r="O1897" t="str">
        <f>IFERROR(VLOOKUP(E1897,Sales_Reps!$A:$C,3,FALSE()),"")</f>
        <v/>
      </c>
      <c r="P1897">
        <f>IFERROR(VLOOKUP(C1897,Customers!$A:$C,3,FALSE()),"")</f>
        <v>62</v>
      </c>
      <c r="Q1897" t="str">
        <f t="shared" si="29"/>
        <v>Mar-24</v>
      </c>
      <c r="R1897">
        <f>IFERROR((VLOOKUP(D1897,Products!$A:$E,5,FALSE())-VLOOKUP(D1897,Products!$A:$E,4,FALSE()))/VLOOKUP(D1897,Products!$A:$E,5,FALSE()),"")</f>
        <v>0.50793650793650791</v>
      </c>
    </row>
    <row r="1898" spans="1:18" x14ac:dyDescent="0.3">
      <c r="A1898" s="22" t="s">
        <v>4278</v>
      </c>
      <c r="B1898" s="23">
        <v>45622</v>
      </c>
      <c r="C1898" s="22" t="s">
        <v>960</v>
      </c>
      <c r="D1898" s="22" t="s">
        <v>231</v>
      </c>
      <c r="E1898" s="22" t="s">
        <v>4279</v>
      </c>
      <c r="F1898" s="24">
        <v>1</v>
      </c>
      <c r="G1898" s="24">
        <v>2760</v>
      </c>
      <c r="H1898" s="24">
        <v>2.5</v>
      </c>
      <c r="I1898" s="24">
        <v>2691</v>
      </c>
      <c r="J1898" s="22" t="s">
        <v>159</v>
      </c>
      <c r="K1898" s="22" t="s">
        <v>129</v>
      </c>
      <c r="L1898" t="str">
        <f>VLOOKUP(D1898,Products!A:F,3,FALSE())</f>
        <v>Grocery</v>
      </c>
      <c r="M1898" t="str">
        <f>VLOOKUP(C1898,Customers!A:F,5,FALSE())</f>
        <v>Retail</v>
      </c>
      <c r="O1898" t="str">
        <f>IFERROR(VLOOKUP(E1898,Sales_Reps!$A:$C,3,FALSE()),"")</f>
        <v/>
      </c>
      <c r="P1898">
        <f>IFERROR(VLOOKUP(C1898,Customers!$A:$C,3,FALSE()),"")</f>
        <v>35</v>
      </c>
      <c r="Q1898" t="str">
        <f t="shared" si="29"/>
        <v>Nov-24</v>
      </c>
      <c r="R1898">
        <f>IFERROR((VLOOKUP(D1898,Products!$A:$E,5,FALSE())-VLOOKUP(D1898,Products!$A:$E,4,FALSE()))/VLOOKUP(D1898,Products!$A:$E,5,FALSE()),"")</f>
        <v>0.48007246376811596</v>
      </c>
    </row>
    <row r="1899" spans="1:18" x14ac:dyDescent="0.3">
      <c r="A1899" s="22" t="s">
        <v>4280</v>
      </c>
      <c r="B1899" s="23">
        <v>45493</v>
      </c>
      <c r="C1899" s="22" t="s">
        <v>177</v>
      </c>
      <c r="D1899" s="22" t="s">
        <v>212</v>
      </c>
      <c r="E1899" s="22" t="s">
        <v>4281</v>
      </c>
      <c r="F1899" s="24">
        <v>2</v>
      </c>
      <c r="G1899" s="24">
        <v>4880</v>
      </c>
      <c r="H1899" s="24">
        <v>11</v>
      </c>
      <c r="I1899" s="24">
        <v>8686.4</v>
      </c>
      <c r="J1899" s="22" t="s">
        <v>104</v>
      </c>
      <c r="K1899" s="22" t="s">
        <v>151</v>
      </c>
      <c r="L1899" t="str">
        <f>VLOOKUP(D1899,Products!A:F,3,FALSE())</f>
        <v>Beauty</v>
      </c>
      <c r="M1899" t="str">
        <f>VLOOKUP(C1899,Customers!A:F,5,FALSE())</f>
        <v>Corporate</v>
      </c>
      <c r="O1899" t="str">
        <f>IFERROR(VLOOKUP(E1899,Sales_Reps!$A:$C,3,FALSE()),"")</f>
        <v/>
      </c>
      <c r="P1899">
        <f>IFERROR(VLOOKUP(C1899,Customers!$A:$C,3,FALSE()),"")</f>
        <v>32</v>
      </c>
      <c r="Q1899" t="str">
        <f t="shared" si="29"/>
        <v>Jul-24</v>
      </c>
      <c r="R1899">
        <f>IFERROR((VLOOKUP(D1899,Products!$A:$E,5,FALSE())-VLOOKUP(D1899,Products!$A:$E,4,FALSE()))/VLOOKUP(D1899,Products!$A:$E,5,FALSE()),"")</f>
        <v>0.43278688524590164</v>
      </c>
    </row>
    <row r="1900" spans="1:18" x14ac:dyDescent="0.3">
      <c r="A1900" s="22" t="s">
        <v>4282</v>
      </c>
      <c r="B1900" s="23">
        <v>45580</v>
      </c>
      <c r="C1900" s="22" t="s">
        <v>844</v>
      </c>
      <c r="D1900" s="22" t="s">
        <v>459</v>
      </c>
      <c r="E1900" s="22" t="s">
        <v>4283</v>
      </c>
      <c r="F1900" s="24">
        <v>10</v>
      </c>
      <c r="G1900" s="24">
        <v>2380</v>
      </c>
      <c r="H1900" s="24">
        <v>28.3</v>
      </c>
      <c r="I1900" s="24">
        <v>17064.599999999999</v>
      </c>
      <c r="J1900" s="22" t="s">
        <v>104</v>
      </c>
      <c r="K1900" s="22" t="s">
        <v>129</v>
      </c>
      <c r="L1900" t="str">
        <f>VLOOKUP(D1900,Products!A:F,3,FALSE())</f>
        <v>Grocery</v>
      </c>
      <c r="M1900" t="str">
        <f>VLOOKUP(C1900,Customers!A:F,5,FALSE())</f>
        <v>Retail</v>
      </c>
      <c r="O1900" t="str">
        <f>IFERROR(VLOOKUP(E1900,Sales_Reps!$A:$C,3,FALSE()),"")</f>
        <v/>
      </c>
      <c r="P1900">
        <f>IFERROR(VLOOKUP(C1900,Customers!$A:$C,3,FALSE()),"")</f>
        <v>52</v>
      </c>
      <c r="Q1900" t="str">
        <f t="shared" si="29"/>
        <v>Oct-24</v>
      </c>
      <c r="R1900">
        <f>IFERROR((VLOOKUP(D1900,Products!$A:$E,5,FALSE())-VLOOKUP(D1900,Products!$A:$E,4,FALSE()))/VLOOKUP(D1900,Products!$A:$E,5,FALSE()),"")</f>
        <v>0.50336134453781511</v>
      </c>
    </row>
    <row r="1901" spans="1:18" x14ac:dyDescent="0.3">
      <c r="A1901" s="22" t="s">
        <v>4284</v>
      </c>
      <c r="B1901" s="23">
        <v>45449</v>
      </c>
      <c r="C1901" s="22" t="s">
        <v>1734</v>
      </c>
      <c r="D1901" s="22" t="s">
        <v>488</v>
      </c>
      <c r="E1901" s="22" t="s">
        <v>4285</v>
      </c>
      <c r="F1901" s="24">
        <v>3</v>
      </c>
      <c r="G1901" s="24">
        <v>2290</v>
      </c>
      <c r="H1901" s="24">
        <v>11.1</v>
      </c>
      <c r="I1901" s="24">
        <v>6107.43</v>
      </c>
      <c r="J1901" s="22" t="s">
        <v>159</v>
      </c>
      <c r="K1901" s="22" t="s">
        <v>134</v>
      </c>
      <c r="L1901" t="str">
        <f>VLOOKUP(D1901,Products!A:F,3,FALSE())</f>
        <v>Beauty</v>
      </c>
      <c r="M1901" t="str">
        <f>VLOOKUP(C1901,Customers!A:F,5,FALSE())</f>
        <v>Corporate</v>
      </c>
      <c r="O1901" t="str">
        <f>IFERROR(VLOOKUP(E1901,Sales_Reps!$A:$C,3,FALSE()),"")</f>
        <v/>
      </c>
      <c r="P1901">
        <f>IFERROR(VLOOKUP(C1901,Customers!$A:$C,3,FALSE()),"")</f>
        <v>31</v>
      </c>
      <c r="Q1901" t="str">
        <f t="shared" si="29"/>
        <v>Jun-24</v>
      </c>
      <c r="R1901">
        <f>IFERROR((VLOOKUP(D1901,Products!$A:$E,5,FALSE())-VLOOKUP(D1901,Products!$A:$E,4,FALSE()))/VLOOKUP(D1901,Products!$A:$E,5,FALSE()),"")</f>
        <v>0.46768558951965067</v>
      </c>
    </row>
    <row r="1902" spans="1:18" x14ac:dyDescent="0.3">
      <c r="A1902" s="22" t="s">
        <v>4286</v>
      </c>
      <c r="B1902" s="23">
        <v>45417</v>
      </c>
      <c r="C1902" s="22" t="s">
        <v>177</v>
      </c>
      <c r="D1902" s="22" t="s">
        <v>231</v>
      </c>
      <c r="E1902" s="22" t="s">
        <v>4287</v>
      </c>
      <c r="F1902" s="24">
        <v>6</v>
      </c>
      <c r="G1902" s="24">
        <v>2760</v>
      </c>
      <c r="H1902" s="24">
        <v>16.5</v>
      </c>
      <c r="I1902" s="24">
        <v>13827.6</v>
      </c>
      <c r="J1902" s="22" t="s">
        <v>104</v>
      </c>
      <c r="K1902" s="22" t="s">
        <v>151</v>
      </c>
      <c r="L1902" t="str">
        <f>VLOOKUP(D1902,Products!A:F,3,FALSE())</f>
        <v>Grocery</v>
      </c>
      <c r="M1902" t="str">
        <f>VLOOKUP(C1902,Customers!A:F,5,FALSE())</f>
        <v>Corporate</v>
      </c>
      <c r="O1902" t="str">
        <f>IFERROR(VLOOKUP(E1902,Sales_Reps!$A:$C,3,FALSE()),"")</f>
        <v/>
      </c>
      <c r="P1902">
        <f>IFERROR(VLOOKUP(C1902,Customers!$A:$C,3,FALSE()),"")</f>
        <v>32</v>
      </c>
      <c r="Q1902" t="str">
        <f t="shared" si="29"/>
        <v>May-24</v>
      </c>
      <c r="R1902">
        <f>IFERROR((VLOOKUP(D1902,Products!$A:$E,5,FALSE())-VLOOKUP(D1902,Products!$A:$E,4,FALSE()))/VLOOKUP(D1902,Products!$A:$E,5,FALSE()),"")</f>
        <v>0.48007246376811596</v>
      </c>
    </row>
    <row r="1903" spans="1:18" x14ac:dyDescent="0.3">
      <c r="A1903" s="22" t="s">
        <v>4288</v>
      </c>
      <c r="B1903" s="23">
        <v>45523</v>
      </c>
      <c r="C1903" s="22" t="s">
        <v>700</v>
      </c>
      <c r="D1903" s="22" t="s">
        <v>436</v>
      </c>
      <c r="E1903" s="22" t="s">
        <v>4289</v>
      </c>
      <c r="F1903" s="24">
        <v>5</v>
      </c>
      <c r="G1903" s="24">
        <v>4060</v>
      </c>
      <c r="H1903" s="24">
        <v>22.5</v>
      </c>
      <c r="I1903" s="24">
        <v>15732.5</v>
      </c>
      <c r="J1903" s="22" t="s">
        <v>104</v>
      </c>
      <c r="K1903" s="22" t="s">
        <v>105</v>
      </c>
      <c r="L1903" t="str">
        <f>VLOOKUP(D1903,Products!A:F,3,FALSE())</f>
        <v>Grocery</v>
      </c>
      <c r="M1903" t="str">
        <f>VLOOKUP(C1903,Customers!A:F,5,FALSE())</f>
        <v>Retail</v>
      </c>
      <c r="O1903" t="str">
        <f>IFERROR(VLOOKUP(E1903,Sales_Reps!$A:$C,3,FALSE()),"")</f>
        <v/>
      </c>
      <c r="P1903">
        <f>IFERROR(VLOOKUP(C1903,Customers!$A:$C,3,FALSE()),"")</f>
        <v>49</v>
      </c>
      <c r="Q1903" t="str">
        <f t="shared" si="29"/>
        <v>Aug-24</v>
      </c>
      <c r="R1903">
        <f>IFERROR((VLOOKUP(D1903,Products!$A:$E,5,FALSE())-VLOOKUP(D1903,Products!$A:$E,4,FALSE()))/VLOOKUP(D1903,Products!$A:$E,5,FALSE()),"")</f>
        <v>0.28300492610837441</v>
      </c>
    </row>
    <row r="1904" spans="1:18" x14ac:dyDescent="0.3">
      <c r="A1904" s="22" t="s">
        <v>4290</v>
      </c>
      <c r="B1904" s="23">
        <v>45367</v>
      </c>
      <c r="C1904" s="22" t="s">
        <v>403</v>
      </c>
      <c r="D1904" s="22" t="s">
        <v>153</v>
      </c>
      <c r="E1904" s="22" t="s">
        <v>4291</v>
      </c>
      <c r="F1904" s="24">
        <v>8</v>
      </c>
      <c r="G1904" s="24">
        <v>2640</v>
      </c>
      <c r="H1904" s="24">
        <v>11.8</v>
      </c>
      <c r="I1904" s="24">
        <v>18627.84</v>
      </c>
      <c r="J1904" s="22" t="s">
        <v>104</v>
      </c>
      <c r="K1904" s="22" t="s">
        <v>111</v>
      </c>
      <c r="L1904" t="str">
        <f>VLOOKUP(D1904,Products!A:F,3,FALSE())</f>
        <v>Electronics</v>
      </c>
      <c r="M1904" t="str">
        <f>VLOOKUP(C1904,Customers!A:F,5,FALSE())</f>
        <v>Retail</v>
      </c>
      <c r="O1904" t="str">
        <f>IFERROR(VLOOKUP(E1904,Sales_Reps!$A:$C,3,FALSE()),"")</f>
        <v/>
      </c>
      <c r="P1904">
        <f>IFERROR(VLOOKUP(C1904,Customers!$A:$C,3,FALSE()),"")</f>
        <v>28</v>
      </c>
      <c r="Q1904" t="str">
        <f t="shared" si="29"/>
        <v>Mar-24</v>
      </c>
      <c r="R1904">
        <f>IFERROR((VLOOKUP(D1904,Products!$A:$E,5,FALSE())-VLOOKUP(D1904,Products!$A:$E,4,FALSE()))/VLOOKUP(D1904,Products!$A:$E,5,FALSE()),"")</f>
        <v>0.56477272727272732</v>
      </c>
    </row>
    <row r="1905" spans="1:18" x14ac:dyDescent="0.3">
      <c r="A1905" s="22" t="s">
        <v>4292</v>
      </c>
      <c r="B1905" s="23">
        <v>45309</v>
      </c>
      <c r="C1905" s="22" t="s">
        <v>1208</v>
      </c>
      <c r="D1905" s="22" t="s">
        <v>323</v>
      </c>
      <c r="E1905" s="22" t="s">
        <v>4293</v>
      </c>
      <c r="F1905" s="24">
        <v>2</v>
      </c>
      <c r="G1905" s="24">
        <v>4610</v>
      </c>
      <c r="H1905" s="24">
        <v>10.4</v>
      </c>
      <c r="I1905" s="24">
        <v>8261.1200000000008</v>
      </c>
      <c r="J1905" s="22" t="s">
        <v>110</v>
      </c>
      <c r="K1905" s="22" t="s">
        <v>105</v>
      </c>
      <c r="L1905" t="str">
        <f>VLOOKUP(D1905,Products!A:F,3,FALSE())</f>
        <v>Home</v>
      </c>
      <c r="M1905" t="str">
        <f>VLOOKUP(C1905,Customers!A:F,5,FALSE())</f>
        <v>Retail</v>
      </c>
      <c r="O1905" t="str">
        <f>IFERROR(VLOOKUP(E1905,Sales_Reps!$A:$C,3,FALSE()),"")</f>
        <v/>
      </c>
      <c r="P1905">
        <f>IFERROR(VLOOKUP(C1905,Customers!$A:$C,3,FALSE()),"")</f>
        <v>36</v>
      </c>
      <c r="Q1905" t="str">
        <f t="shared" si="29"/>
        <v>Jan-24</v>
      </c>
      <c r="R1905">
        <f>IFERROR((VLOOKUP(D1905,Products!$A:$E,5,FALSE())-VLOOKUP(D1905,Products!$A:$E,4,FALSE()))/VLOOKUP(D1905,Products!$A:$E,5,FALSE()),"")</f>
        <v>0.59869848156182215</v>
      </c>
    </row>
    <row r="1906" spans="1:18" x14ac:dyDescent="0.3">
      <c r="A1906" s="22" t="s">
        <v>4294</v>
      </c>
      <c r="B1906" s="23">
        <v>45383</v>
      </c>
      <c r="C1906" s="22" t="s">
        <v>333</v>
      </c>
      <c r="D1906" s="22" t="s">
        <v>419</v>
      </c>
      <c r="E1906" s="22" t="s">
        <v>4295</v>
      </c>
      <c r="F1906" s="24">
        <v>6</v>
      </c>
      <c r="G1906" s="24">
        <v>2210</v>
      </c>
      <c r="H1906" s="24">
        <v>22.5</v>
      </c>
      <c r="I1906" s="24">
        <v>10276.5</v>
      </c>
      <c r="J1906" s="22" t="s">
        <v>159</v>
      </c>
      <c r="K1906" s="22" t="s">
        <v>151</v>
      </c>
      <c r="L1906" t="str">
        <f>VLOOKUP(D1906,Products!A:F,3,FALSE())</f>
        <v>Grocery</v>
      </c>
      <c r="M1906" t="str">
        <f>VLOOKUP(C1906,Customers!A:F,5,FALSE())</f>
        <v>Corporate</v>
      </c>
      <c r="O1906" t="str">
        <f>IFERROR(VLOOKUP(E1906,Sales_Reps!$A:$C,3,FALSE()),"")</f>
        <v/>
      </c>
      <c r="P1906">
        <f>IFERROR(VLOOKUP(C1906,Customers!$A:$C,3,FALSE()),"")</f>
        <v>29</v>
      </c>
      <c r="Q1906" t="str">
        <f t="shared" si="29"/>
        <v>Apr-24</v>
      </c>
      <c r="R1906">
        <f>IFERROR((VLOOKUP(D1906,Products!$A:$E,5,FALSE())-VLOOKUP(D1906,Products!$A:$E,4,FALSE()))/VLOOKUP(D1906,Products!$A:$E,5,FALSE()),"")</f>
        <v>0.54298642533936647</v>
      </c>
    </row>
    <row r="1907" spans="1:18" x14ac:dyDescent="0.3">
      <c r="A1907" s="22" t="s">
        <v>4296</v>
      </c>
      <c r="B1907" s="23">
        <v>45420</v>
      </c>
      <c r="C1907" s="22" t="s">
        <v>745</v>
      </c>
      <c r="D1907" s="22" t="s">
        <v>419</v>
      </c>
      <c r="E1907" s="22" t="s">
        <v>4297</v>
      </c>
      <c r="F1907" s="24">
        <v>4</v>
      </c>
      <c r="G1907" s="24">
        <v>2210</v>
      </c>
      <c r="H1907" s="24">
        <v>21.5</v>
      </c>
      <c r="I1907" s="24">
        <v>6939.4</v>
      </c>
      <c r="J1907" s="22" t="s">
        <v>110</v>
      </c>
      <c r="K1907" s="22" t="s">
        <v>116</v>
      </c>
      <c r="L1907" t="str">
        <f>VLOOKUP(D1907,Products!A:F,3,FALSE())</f>
        <v>Grocery</v>
      </c>
      <c r="M1907" t="str">
        <f>VLOOKUP(C1907,Customers!A:F,5,FALSE())</f>
        <v>SMB</v>
      </c>
      <c r="O1907" t="str">
        <f>IFERROR(VLOOKUP(E1907,Sales_Reps!$A:$C,3,FALSE()),"")</f>
        <v/>
      </c>
      <c r="P1907">
        <f>IFERROR(VLOOKUP(C1907,Customers!$A:$C,3,FALSE()),"")</f>
        <v>29</v>
      </c>
      <c r="Q1907" t="str">
        <f t="shared" si="29"/>
        <v>May-24</v>
      </c>
      <c r="R1907">
        <f>IFERROR((VLOOKUP(D1907,Products!$A:$E,5,FALSE())-VLOOKUP(D1907,Products!$A:$E,4,FALSE()))/VLOOKUP(D1907,Products!$A:$E,5,FALSE()),"")</f>
        <v>0.54298642533936647</v>
      </c>
    </row>
    <row r="1908" spans="1:18" x14ac:dyDescent="0.3">
      <c r="A1908" s="22" t="s">
        <v>4298</v>
      </c>
      <c r="B1908" s="23">
        <v>45400</v>
      </c>
      <c r="C1908" s="22" t="s">
        <v>101</v>
      </c>
      <c r="D1908" s="22" t="s">
        <v>674</v>
      </c>
      <c r="E1908" s="22" t="s">
        <v>4299</v>
      </c>
      <c r="F1908" s="24">
        <v>6</v>
      </c>
      <c r="G1908" s="24">
        <v>1090</v>
      </c>
      <c r="H1908" s="24">
        <v>28.3</v>
      </c>
      <c r="I1908" s="24">
        <v>4689.18</v>
      </c>
      <c r="J1908" s="22" t="s">
        <v>104</v>
      </c>
      <c r="K1908" s="22" t="s">
        <v>105</v>
      </c>
      <c r="L1908" t="str">
        <f>VLOOKUP(D1908,Products!A:F,3,FALSE())</f>
        <v>Home</v>
      </c>
      <c r="M1908" t="str">
        <f>VLOOKUP(C1908,Customers!A:F,5,FALSE())</f>
        <v>SMB</v>
      </c>
      <c r="O1908" t="str">
        <f>IFERROR(VLOOKUP(E1908,Sales_Reps!$A:$C,3,FALSE()),"")</f>
        <v/>
      </c>
      <c r="P1908">
        <f>IFERROR(VLOOKUP(C1908,Customers!$A:$C,3,FALSE()),"")</f>
        <v>44</v>
      </c>
      <c r="Q1908" t="str">
        <f t="shared" si="29"/>
        <v>Apr-24</v>
      </c>
      <c r="R1908">
        <f>IFERROR((VLOOKUP(D1908,Products!$A:$E,5,FALSE())-VLOOKUP(D1908,Products!$A:$E,4,FALSE()))/VLOOKUP(D1908,Products!$A:$E,5,FALSE()),"")</f>
        <v>0.57431192660550456</v>
      </c>
    </row>
    <row r="1909" spans="1:18" x14ac:dyDescent="0.3">
      <c r="A1909" s="22" t="s">
        <v>4300</v>
      </c>
      <c r="B1909" s="23">
        <v>45625</v>
      </c>
      <c r="C1909" s="22" t="s">
        <v>540</v>
      </c>
      <c r="D1909" s="22" t="s">
        <v>127</v>
      </c>
      <c r="E1909" s="22" t="s">
        <v>4301</v>
      </c>
      <c r="F1909" s="24">
        <v>9</v>
      </c>
      <c r="G1909" s="24">
        <v>370</v>
      </c>
      <c r="H1909" s="24">
        <v>13.8</v>
      </c>
      <c r="I1909" s="24">
        <v>2870.46</v>
      </c>
      <c r="J1909" s="22" t="s">
        <v>104</v>
      </c>
      <c r="K1909" s="22" t="s">
        <v>116</v>
      </c>
      <c r="L1909" t="str">
        <f>VLOOKUP(D1909,Products!A:F,3,FALSE())</f>
        <v>Home</v>
      </c>
      <c r="M1909" t="str">
        <f>VLOOKUP(C1909,Customers!A:F,5,FALSE())</f>
        <v>Retail</v>
      </c>
      <c r="O1909" t="str">
        <f>IFERROR(VLOOKUP(E1909,Sales_Reps!$A:$C,3,FALSE()),"")</f>
        <v/>
      </c>
      <c r="P1909">
        <f>IFERROR(VLOOKUP(C1909,Customers!$A:$C,3,FALSE()),"")</f>
        <v>44</v>
      </c>
      <c r="Q1909" t="str">
        <f t="shared" si="29"/>
        <v>Nov-24</v>
      </c>
      <c r="R1909">
        <f>IFERROR((VLOOKUP(D1909,Products!$A:$E,5,FALSE())-VLOOKUP(D1909,Products!$A:$E,4,FALSE()))/VLOOKUP(D1909,Products!$A:$E,5,FALSE()),"")</f>
        <v>0.22162162162162163</v>
      </c>
    </row>
    <row r="1910" spans="1:18" x14ac:dyDescent="0.3">
      <c r="A1910" s="22" t="s">
        <v>4302</v>
      </c>
      <c r="B1910" s="23">
        <v>45555</v>
      </c>
      <c r="C1910" s="22" t="s">
        <v>658</v>
      </c>
      <c r="D1910" s="22" t="s">
        <v>216</v>
      </c>
      <c r="E1910" s="22" t="s">
        <v>4303</v>
      </c>
      <c r="F1910" s="24">
        <v>10</v>
      </c>
      <c r="G1910" s="24">
        <v>3570</v>
      </c>
      <c r="H1910" s="24">
        <v>3</v>
      </c>
      <c r="I1910" s="24">
        <v>34629</v>
      </c>
      <c r="J1910" s="22" t="s">
        <v>159</v>
      </c>
      <c r="K1910" s="22" t="s">
        <v>105</v>
      </c>
      <c r="L1910" t="str">
        <f>VLOOKUP(D1910,Products!A:F,3,FALSE())</f>
        <v>Electronics</v>
      </c>
      <c r="M1910" t="str">
        <f>VLOOKUP(C1910,Customers!A:F,5,FALSE())</f>
        <v>Retail</v>
      </c>
      <c r="O1910" t="str">
        <f>IFERROR(VLOOKUP(E1910,Sales_Reps!$A:$C,3,FALSE()),"")</f>
        <v/>
      </c>
      <c r="P1910">
        <f>IFERROR(VLOOKUP(C1910,Customers!$A:$C,3,FALSE()),"")</f>
        <v>57</v>
      </c>
      <c r="Q1910" t="str">
        <f t="shared" si="29"/>
        <v>Sep-24</v>
      </c>
      <c r="R1910">
        <f>IFERROR((VLOOKUP(D1910,Products!$A:$E,5,FALSE())-VLOOKUP(D1910,Products!$A:$E,4,FALSE()))/VLOOKUP(D1910,Products!$A:$E,5,FALSE()),"")</f>
        <v>0.53361344537815125</v>
      </c>
    </row>
    <row r="1911" spans="1:18" x14ac:dyDescent="0.3">
      <c r="A1911" s="22" t="s">
        <v>4304</v>
      </c>
      <c r="B1911" s="23">
        <v>45509</v>
      </c>
      <c r="C1911" s="22" t="s">
        <v>465</v>
      </c>
      <c r="D1911" s="22" t="s">
        <v>162</v>
      </c>
      <c r="E1911" s="22" t="s">
        <v>4305</v>
      </c>
      <c r="F1911" s="24">
        <v>10</v>
      </c>
      <c r="G1911" s="24">
        <v>3250</v>
      </c>
      <c r="H1911" s="24">
        <v>20.3</v>
      </c>
      <c r="I1911" s="24">
        <v>25902.5</v>
      </c>
      <c r="J1911" s="22" t="s">
        <v>104</v>
      </c>
      <c r="K1911" s="22" t="s">
        <v>129</v>
      </c>
      <c r="L1911" t="str">
        <f>VLOOKUP(D1911,Products!A:F,3,FALSE())</f>
        <v>Home</v>
      </c>
      <c r="M1911" t="str">
        <f>VLOOKUP(C1911,Customers!A:F,5,FALSE())</f>
        <v>Retail</v>
      </c>
      <c r="O1911" t="str">
        <f>IFERROR(VLOOKUP(E1911,Sales_Reps!$A:$C,3,FALSE()),"")</f>
        <v/>
      </c>
      <c r="P1911">
        <f>IFERROR(VLOOKUP(C1911,Customers!$A:$C,3,FALSE()),"")</f>
        <v>42</v>
      </c>
      <c r="Q1911" t="str">
        <f t="shared" si="29"/>
        <v>Aug-24</v>
      </c>
      <c r="R1911">
        <f>IFERROR((VLOOKUP(D1911,Products!$A:$E,5,FALSE())-VLOOKUP(D1911,Products!$A:$E,4,FALSE()))/VLOOKUP(D1911,Products!$A:$E,5,FALSE()),"")</f>
        <v>0.52123076923076928</v>
      </c>
    </row>
    <row r="1912" spans="1:18" x14ac:dyDescent="0.3">
      <c r="A1912" s="22" t="s">
        <v>4306</v>
      </c>
      <c r="B1912" s="23">
        <v>45436</v>
      </c>
      <c r="C1912" s="22" t="s">
        <v>1309</v>
      </c>
      <c r="D1912" s="22" t="s">
        <v>162</v>
      </c>
      <c r="E1912" s="22" t="s">
        <v>4307</v>
      </c>
      <c r="F1912" s="24">
        <v>6</v>
      </c>
      <c r="G1912" s="24">
        <v>3250</v>
      </c>
      <c r="H1912" s="24">
        <v>25.8</v>
      </c>
      <c r="I1912" s="24">
        <v>14469</v>
      </c>
      <c r="J1912" s="22" t="s">
        <v>110</v>
      </c>
      <c r="K1912" s="22" t="s">
        <v>129</v>
      </c>
      <c r="L1912" t="str">
        <f>VLOOKUP(D1912,Products!A:F,3,FALSE())</f>
        <v>Home</v>
      </c>
      <c r="M1912" t="str">
        <f>VLOOKUP(C1912,Customers!A:F,5,FALSE())</f>
        <v>Corporate</v>
      </c>
      <c r="O1912" t="str">
        <f>IFERROR(VLOOKUP(E1912,Sales_Reps!$A:$C,3,FALSE()),"")</f>
        <v/>
      </c>
      <c r="P1912">
        <f>IFERROR(VLOOKUP(C1912,Customers!$A:$C,3,FALSE()),"")</f>
        <v>62</v>
      </c>
      <c r="Q1912" t="str">
        <f t="shared" si="29"/>
        <v>May-24</v>
      </c>
      <c r="R1912">
        <f>IFERROR((VLOOKUP(D1912,Products!$A:$E,5,FALSE())-VLOOKUP(D1912,Products!$A:$E,4,FALSE()))/VLOOKUP(D1912,Products!$A:$E,5,FALSE()),"")</f>
        <v>0.52123076923076928</v>
      </c>
    </row>
    <row r="1913" spans="1:18" x14ac:dyDescent="0.3">
      <c r="A1913" s="22" t="s">
        <v>4308</v>
      </c>
      <c r="B1913" s="23">
        <v>45610</v>
      </c>
      <c r="C1913" s="22" t="s">
        <v>416</v>
      </c>
      <c r="D1913" s="22" t="s">
        <v>132</v>
      </c>
      <c r="E1913" s="22" t="s">
        <v>4309</v>
      </c>
      <c r="F1913" s="24">
        <v>9</v>
      </c>
      <c r="G1913" s="24">
        <v>960</v>
      </c>
      <c r="H1913" s="24">
        <v>29</v>
      </c>
      <c r="I1913" s="24">
        <v>6134.4</v>
      </c>
      <c r="J1913" s="22" t="s">
        <v>104</v>
      </c>
      <c r="K1913" s="22" t="s">
        <v>129</v>
      </c>
      <c r="L1913" t="str">
        <f>VLOOKUP(D1913,Products!A:F,3,FALSE())</f>
        <v>Sports</v>
      </c>
      <c r="M1913" t="str">
        <f>VLOOKUP(C1913,Customers!A:F,5,FALSE())</f>
        <v>Retail</v>
      </c>
      <c r="O1913" t="str">
        <f>IFERROR(VLOOKUP(E1913,Sales_Reps!$A:$C,3,FALSE()),"")</f>
        <v/>
      </c>
      <c r="P1913">
        <f>IFERROR(VLOOKUP(C1913,Customers!$A:$C,3,FALSE()),"")</f>
        <v>49</v>
      </c>
      <c r="Q1913" t="str">
        <f t="shared" si="29"/>
        <v>Nov-24</v>
      </c>
      <c r="R1913">
        <f>IFERROR((VLOOKUP(D1913,Products!$A:$E,5,FALSE())-VLOOKUP(D1913,Products!$A:$E,4,FALSE()))/VLOOKUP(D1913,Products!$A:$E,5,FALSE()),"")</f>
        <v>0.265625</v>
      </c>
    </row>
    <row r="1914" spans="1:18" x14ac:dyDescent="0.3">
      <c r="A1914" s="22" t="s">
        <v>4310</v>
      </c>
      <c r="B1914" s="23">
        <v>45535</v>
      </c>
      <c r="C1914" s="22" t="s">
        <v>445</v>
      </c>
      <c r="D1914" s="22" t="s">
        <v>283</v>
      </c>
      <c r="E1914" s="22" t="s">
        <v>4311</v>
      </c>
      <c r="F1914" s="24">
        <v>9</v>
      </c>
      <c r="G1914" s="24">
        <v>6080</v>
      </c>
      <c r="H1914" s="24">
        <v>21</v>
      </c>
      <c r="I1914" s="24">
        <v>43228.800000000003</v>
      </c>
      <c r="J1914" s="22" t="s">
        <v>104</v>
      </c>
      <c r="K1914" s="22" t="s">
        <v>116</v>
      </c>
      <c r="L1914" t="str">
        <f>VLOOKUP(D1914,Products!A:F,3,FALSE())</f>
        <v>Beauty</v>
      </c>
      <c r="M1914" t="str">
        <f>VLOOKUP(C1914,Customers!A:F,5,FALSE())</f>
        <v>SMB</v>
      </c>
      <c r="O1914" t="str">
        <f>IFERROR(VLOOKUP(E1914,Sales_Reps!$A:$C,3,FALSE()),"")</f>
        <v/>
      </c>
      <c r="P1914">
        <f>IFERROR(VLOOKUP(C1914,Customers!$A:$C,3,FALSE()),"")</f>
        <v>38</v>
      </c>
      <c r="Q1914" t="str">
        <f t="shared" si="29"/>
        <v>Aug-24</v>
      </c>
      <c r="R1914">
        <f>IFERROR((VLOOKUP(D1914,Products!$A:$E,5,FALSE())-VLOOKUP(D1914,Products!$A:$E,4,FALSE()))/VLOOKUP(D1914,Products!$A:$E,5,FALSE()),"")</f>
        <v>0.56957236842105263</v>
      </c>
    </row>
    <row r="1915" spans="1:18" x14ac:dyDescent="0.3">
      <c r="A1915" s="22" t="s">
        <v>4312</v>
      </c>
      <c r="B1915" s="23">
        <v>45366</v>
      </c>
      <c r="C1915" s="22" t="s">
        <v>193</v>
      </c>
      <c r="D1915" s="22" t="s">
        <v>323</v>
      </c>
      <c r="E1915" s="22" t="s">
        <v>4313</v>
      </c>
      <c r="F1915" s="24">
        <v>6</v>
      </c>
      <c r="G1915" s="24">
        <v>4610</v>
      </c>
      <c r="H1915" s="24">
        <v>13.5</v>
      </c>
      <c r="I1915" s="24">
        <v>23925.9</v>
      </c>
      <c r="J1915" s="22" t="s">
        <v>104</v>
      </c>
      <c r="K1915" s="22" t="s">
        <v>129</v>
      </c>
      <c r="L1915" t="str">
        <f>VLOOKUP(D1915,Products!A:F,3,FALSE())</f>
        <v>Home</v>
      </c>
      <c r="M1915" t="str">
        <f>VLOOKUP(C1915,Customers!A:F,5,FALSE())</f>
        <v>Retail</v>
      </c>
      <c r="O1915" t="str">
        <f>IFERROR(VLOOKUP(E1915,Sales_Reps!$A:$C,3,FALSE()),"")</f>
        <v/>
      </c>
      <c r="P1915">
        <f>IFERROR(VLOOKUP(C1915,Customers!$A:$C,3,FALSE()),"")</f>
        <v>34</v>
      </c>
      <c r="Q1915" t="str">
        <f t="shared" si="29"/>
        <v>Mar-24</v>
      </c>
      <c r="R1915">
        <f>IFERROR((VLOOKUP(D1915,Products!$A:$E,5,FALSE())-VLOOKUP(D1915,Products!$A:$E,4,FALSE()))/VLOOKUP(D1915,Products!$A:$E,5,FALSE()),"")</f>
        <v>0.59869848156182215</v>
      </c>
    </row>
    <row r="1916" spans="1:18" x14ac:dyDescent="0.3">
      <c r="A1916" s="22" t="s">
        <v>4314</v>
      </c>
      <c r="B1916" s="23">
        <v>45446</v>
      </c>
      <c r="C1916" s="22" t="s">
        <v>737</v>
      </c>
      <c r="D1916" s="22" t="s">
        <v>577</v>
      </c>
      <c r="E1916" s="22" t="s">
        <v>4315</v>
      </c>
      <c r="F1916" s="24">
        <v>7</v>
      </c>
      <c r="G1916" s="24">
        <v>5080</v>
      </c>
      <c r="H1916" s="24">
        <v>25.4</v>
      </c>
      <c r="I1916" s="24">
        <v>26527.759999999998</v>
      </c>
      <c r="J1916" s="22" t="s">
        <v>104</v>
      </c>
      <c r="K1916" s="22" t="s">
        <v>111</v>
      </c>
      <c r="L1916" t="str">
        <f>VLOOKUP(D1916,Products!A:F,3,FALSE())</f>
        <v>Home</v>
      </c>
      <c r="M1916" t="str">
        <f>VLOOKUP(C1916,Customers!A:F,5,FALSE())</f>
        <v>Corporate</v>
      </c>
      <c r="O1916" t="str">
        <f>IFERROR(VLOOKUP(E1916,Sales_Reps!$A:$C,3,FALSE()),"")</f>
        <v/>
      </c>
      <c r="P1916">
        <f>IFERROR(VLOOKUP(C1916,Customers!$A:$C,3,FALSE()),"")</f>
        <v>34</v>
      </c>
      <c r="Q1916" t="str">
        <f t="shared" si="29"/>
        <v>Jun-24</v>
      </c>
      <c r="R1916">
        <f>IFERROR((VLOOKUP(D1916,Products!$A:$E,5,FALSE())-VLOOKUP(D1916,Products!$A:$E,4,FALSE()))/VLOOKUP(D1916,Products!$A:$E,5,FALSE()),"")</f>
        <v>0.51594488188976373</v>
      </c>
    </row>
    <row r="1917" spans="1:18" x14ac:dyDescent="0.3">
      <c r="A1917" s="22" t="s">
        <v>4316</v>
      </c>
      <c r="B1917" s="23">
        <v>45550</v>
      </c>
      <c r="C1917" s="22" t="s">
        <v>757</v>
      </c>
      <c r="D1917" s="22" t="s">
        <v>205</v>
      </c>
      <c r="E1917" s="22" t="s">
        <v>4317</v>
      </c>
      <c r="F1917" s="24">
        <v>5</v>
      </c>
      <c r="G1917" s="24">
        <v>3350</v>
      </c>
      <c r="H1917" s="24">
        <v>2.2000000000000002</v>
      </c>
      <c r="I1917" s="24">
        <v>16381.5</v>
      </c>
      <c r="J1917" s="22" t="s">
        <v>104</v>
      </c>
      <c r="K1917" s="22" t="s">
        <v>129</v>
      </c>
      <c r="L1917" t="str">
        <f>VLOOKUP(D1917,Products!A:F,3,FALSE())</f>
        <v>Beauty</v>
      </c>
      <c r="M1917" t="str">
        <f>VLOOKUP(C1917,Customers!A:F,5,FALSE())</f>
        <v>Retail</v>
      </c>
      <c r="O1917" t="str">
        <f>IFERROR(VLOOKUP(E1917,Sales_Reps!$A:$C,3,FALSE()),"")</f>
        <v/>
      </c>
      <c r="P1917">
        <f>IFERROR(VLOOKUP(C1917,Customers!$A:$C,3,FALSE()),"")</f>
        <v>65</v>
      </c>
      <c r="Q1917" t="str">
        <f t="shared" si="29"/>
        <v>Sep-24</v>
      </c>
      <c r="R1917">
        <f>IFERROR((VLOOKUP(D1917,Products!$A:$E,5,FALSE())-VLOOKUP(D1917,Products!$A:$E,4,FALSE()))/VLOOKUP(D1917,Products!$A:$E,5,FALSE()),"")</f>
        <v>0.48417910447761192</v>
      </c>
    </row>
    <row r="1918" spans="1:18" x14ac:dyDescent="0.3">
      <c r="A1918" s="22" t="s">
        <v>4318</v>
      </c>
      <c r="B1918" s="23">
        <v>45600</v>
      </c>
      <c r="C1918" s="22" t="s">
        <v>1375</v>
      </c>
      <c r="D1918" s="22" t="s">
        <v>275</v>
      </c>
      <c r="E1918" s="22" t="s">
        <v>4319</v>
      </c>
      <c r="F1918" s="24">
        <v>1</v>
      </c>
      <c r="G1918" s="24">
        <v>3780</v>
      </c>
      <c r="H1918" s="24">
        <v>13.7</v>
      </c>
      <c r="I1918" s="24">
        <v>3262.14</v>
      </c>
      <c r="J1918" s="22" t="s">
        <v>104</v>
      </c>
      <c r="K1918" s="22" t="s">
        <v>116</v>
      </c>
      <c r="L1918" t="str">
        <f>VLOOKUP(D1918,Products!A:F,3,FALSE())</f>
        <v>Grocery</v>
      </c>
      <c r="M1918" t="str">
        <f>VLOOKUP(C1918,Customers!A:F,5,FALSE())</f>
        <v>Retail</v>
      </c>
      <c r="O1918" t="str">
        <f>IFERROR(VLOOKUP(E1918,Sales_Reps!$A:$C,3,FALSE()),"")</f>
        <v/>
      </c>
      <c r="P1918">
        <f>IFERROR(VLOOKUP(C1918,Customers!$A:$C,3,FALSE()),"")</f>
        <v>55</v>
      </c>
      <c r="Q1918" t="str">
        <f t="shared" si="29"/>
        <v>Nov-24</v>
      </c>
      <c r="R1918">
        <f>IFERROR((VLOOKUP(D1918,Products!$A:$E,5,FALSE())-VLOOKUP(D1918,Products!$A:$E,4,FALSE()))/VLOOKUP(D1918,Products!$A:$E,5,FALSE()),"")</f>
        <v>0.35555555555555557</v>
      </c>
    </row>
    <row r="1919" spans="1:18" x14ac:dyDescent="0.3">
      <c r="A1919" s="22" t="s">
        <v>4320</v>
      </c>
      <c r="B1919" s="23">
        <v>45352</v>
      </c>
      <c r="C1919" s="22" t="s">
        <v>204</v>
      </c>
      <c r="D1919" s="22" t="s">
        <v>212</v>
      </c>
      <c r="E1919" s="22" t="s">
        <v>4321</v>
      </c>
      <c r="F1919" s="24">
        <v>4</v>
      </c>
      <c r="G1919" s="24">
        <v>4880</v>
      </c>
      <c r="H1919" s="24">
        <v>11.6</v>
      </c>
      <c r="I1919" s="24">
        <v>17255.68</v>
      </c>
      <c r="J1919" s="22" t="s">
        <v>104</v>
      </c>
      <c r="K1919" s="22" t="s">
        <v>111</v>
      </c>
      <c r="L1919" t="str">
        <f>VLOOKUP(D1919,Products!A:F,3,FALSE())</f>
        <v>Beauty</v>
      </c>
      <c r="M1919" t="str">
        <f>VLOOKUP(C1919,Customers!A:F,5,FALSE())</f>
        <v>Corporate</v>
      </c>
      <c r="O1919" t="str">
        <f>IFERROR(VLOOKUP(E1919,Sales_Reps!$A:$C,3,FALSE()),"")</f>
        <v/>
      </c>
      <c r="P1919">
        <f>IFERROR(VLOOKUP(C1919,Customers!$A:$C,3,FALSE()),"")</f>
        <v>55</v>
      </c>
      <c r="Q1919" t="str">
        <f t="shared" si="29"/>
        <v>Mar-24</v>
      </c>
      <c r="R1919">
        <f>IFERROR((VLOOKUP(D1919,Products!$A:$E,5,FALSE())-VLOOKUP(D1919,Products!$A:$E,4,FALSE()))/VLOOKUP(D1919,Products!$A:$E,5,FALSE()),"")</f>
        <v>0.43278688524590164</v>
      </c>
    </row>
    <row r="1920" spans="1:18" x14ac:dyDescent="0.3">
      <c r="A1920" s="22" t="s">
        <v>4322</v>
      </c>
      <c r="B1920" s="23">
        <v>45385</v>
      </c>
      <c r="C1920" s="22" t="s">
        <v>940</v>
      </c>
      <c r="D1920" s="22" t="s">
        <v>220</v>
      </c>
      <c r="E1920" s="22" t="s">
        <v>4323</v>
      </c>
      <c r="F1920" s="24">
        <v>3</v>
      </c>
      <c r="G1920" s="24">
        <v>5100</v>
      </c>
      <c r="H1920" s="24">
        <v>24.2</v>
      </c>
      <c r="I1920" s="24">
        <v>11597.4</v>
      </c>
      <c r="J1920" s="22" t="s">
        <v>104</v>
      </c>
      <c r="K1920" s="22" t="s">
        <v>4324</v>
      </c>
      <c r="L1920" t="str">
        <f>VLOOKUP(D1920,Products!A:F,3,FALSE())</f>
        <v>Beauty</v>
      </c>
      <c r="M1920" t="str">
        <f>VLOOKUP(C1920,Customers!A:F,5,FALSE())</f>
        <v>Corporate</v>
      </c>
      <c r="O1920" t="str">
        <f>IFERROR(VLOOKUP(E1920,Sales_Reps!$A:$C,3,FALSE()),"")</f>
        <v/>
      </c>
      <c r="P1920">
        <f>IFERROR(VLOOKUP(C1920,Customers!$A:$C,3,FALSE()),"")</f>
        <v>41</v>
      </c>
      <c r="Q1920" t="str">
        <f t="shared" si="29"/>
        <v>Apr-24</v>
      </c>
      <c r="R1920">
        <f>IFERROR((VLOOKUP(D1920,Products!$A:$E,5,FALSE())-VLOOKUP(D1920,Products!$A:$E,4,FALSE()))/VLOOKUP(D1920,Products!$A:$E,5,FALSE()),"")</f>
        <v>0.56137254901960787</v>
      </c>
    </row>
    <row r="1921" spans="1:18" x14ac:dyDescent="0.3">
      <c r="A1921" s="22" t="s">
        <v>4325</v>
      </c>
      <c r="B1921" s="23">
        <v>45634</v>
      </c>
      <c r="C1921" s="22" t="s">
        <v>1144</v>
      </c>
      <c r="D1921" s="22" t="s">
        <v>334</v>
      </c>
      <c r="E1921" s="22" t="s">
        <v>4326</v>
      </c>
      <c r="F1921" s="24">
        <v>5</v>
      </c>
      <c r="G1921" s="24">
        <v>2660</v>
      </c>
      <c r="H1921" s="24">
        <v>4.7</v>
      </c>
      <c r="I1921" s="24">
        <v>12674.9</v>
      </c>
      <c r="J1921" s="22" t="s">
        <v>104</v>
      </c>
      <c r="K1921" s="22" t="s">
        <v>134</v>
      </c>
      <c r="L1921" t="str">
        <f>VLOOKUP(D1921,Products!A:F,3,FALSE())</f>
        <v>Electronics</v>
      </c>
      <c r="M1921" t="str">
        <f>VLOOKUP(C1921,Customers!A:F,5,FALSE())</f>
        <v>Retail</v>
      </c>
      <c r="O1921" t="str">
        <f>IFERROR(VLOOKUP(E1921,Sales_Reps!$A:$C,3,FALSE()),"")</f>
        <v/>
      </c>
      <c r="P1921">
        <f>IFERROR(VLOOKUP(C1921,Customers!$A:$C,3,FALSE()),"")</f>
        <v>27</v>
      </c>
      <c r="Q1921" t="str">
        <f t="shared" si="29"/>
        <v>Dec-24</v>
      </c>
      <c r="R1921">
        <f>IFERROR((VLOOKUP(D1921,Products!$A:$E,5,FALSE())-VLOOKUP(D1921,Products!$A:$E,4,FALSE()))/VLOOKUP(D1921,Products!$A:$E,5,FALSE()),"")</f>
        <v>0.52669172932330832</v>
      </c>
    </row>
    <row r="1922" spans="1:18" x14ac:dyDescent="0.3">
      <c r="A1922" s="22" t="s">
        <v>4327</v>
      </c>
      <c r="B1922" s="23">
        <v>45444</v>
      </c>
      <c r="C1922" s="22" t="s">
        <v>448</v>
      </c>
      <c r="D1922" s="22" t="s">
        <v>459</v>
      </c>
      <c r="E1922" s="22" t="s">
        <v>4328</v>
      </c>
      <c r="F1922" s="24">
        <v>10</v>
      </c>
      <c r="G1922" s="24">
        <v>2380</v>
      </c>
      <c r="H1922" s="24">
        <v>1</v>
      </c>
      <c r="I1922" s="24">
        <v>23562</v>
      </c>
      <c r="J1922" s="22" t="s">
        <v>104</v>
      </c>
      <c r="K1922" s="22" t="s">
        <v>116</v>
      </c>
      <c r="L1922" t="str">
        <f>VLOOKUP(D1922,Products!A:F,3,FALSE())</f>
        <v>Grocery</v>
      </c>
      <c r="M1922" t="str">
        <f>VLOOKUP(C1922,Customers!A:F,5,FALSE())</f>
        <v>SMB</v>
      </c>
      <c r="O1922" t="str">
        <f>IFERROR(VLOOKUP(E1922,Sales_Reps!$A:$C,3,FALSE()),"")</f>
        <v/>
      </c>
      <c r="P1922">
        <f>IFERROR(VLOOKUP(C1922,Customers!$A:$C,3,FALSE()),"")</f>
        <v>28</v>
      </c>
      <c r="Q1922" t="str">
        <f t="shared" ref="Q1922:Q1985" si="30">TEXT(B1922,"mmm-yy")</f>
        <v>Jun-24</v>
      </c>
      <c r="R1922">
        <f>IFERROR((VLOOKUP(D1922,Products!$A:$E,5,FALSE())-VLOOKUP(D1922,Products!$A:$E,4,FALSE()))/VLOOKUP(D1922,Products!$A:$E,5,FALSE()),"")</f>
        <v>0.50336134453781511</v>
      </c>
    </row>
    <row r="1923" spans="1:18" x14ac:dyDescent="0.3">
      <c r="A1923" s="22" t="s">
        <v>4329</v>
      </c>
      <c r="B1923" s="23">
        <v>45553</v>
      </c>
      <c r="C1923" s="22" t="s">
        <v>1208</v>
      </c>
      <c r="D1923" s="22" t="s">
        <v>212</v>
      </c>
      <c r="E1923" s="22" t="s">
        <v>4330</v>
      </c>
      <c r="F1923" s="24">
        <v>9</v>
      </c>
      <c r="G1923" s="24">
        <v>4880</v>
      </c>
      <c r="H1923" s="24">
        <v>7.2</v>
      </c>
      <c r="I1923" s="24">
        <v>40757.760000000002</v>
      </c>
      <c r="J1923" s="22" t="s">
        <v>104</v>
      </c>
      <c r="K1923" s="22" t="s">
        <v>105</v>
      </c>
      <c r="L1923" t="str">
        <f>VLOOKUP(D1923,Products!A:F,3,FALSE())</f>
        <v>Beauty</v>
      </c>
      <c r="M1923" t="str">
        <f>VLOOKUP(C1923,Customers!A:F,5,FALSE())</f>
        <v>Retail</v>
      </c>
      <c r="O1923" t="str">
        <f>IFERROR(VLOOKUP(E1923,Sales_Reps!$A:$C,3,FALSE()),"")</f>
        <v/>
      </c>
      <c r="P1923">
        <f>IFERROR(VLOOKUP(C1923,Customers!$A:$C,3,FALSE()),"")</f>
        <v>36</v>
      </c>
      <c r="Q1923" t="str">
        <f t="shared" si="30"/>
        <v>Sep-24</v>
      </c>
      <c r="R1923">
        <f>IFERROR((VLOOKUP(D1923,Products!$A:$E,5,FALSE())-VLOOKUP(D1923,Products!$A:$E,4,FALSE()))/VLOOKUP(D1923,Products!$A:$E,5,FALSE()),"")</f>
        <v>0.43278688524590164</v>
      </c>
    </row>
    <row r="1924" spans="1:18" x14ac:dyDescent="0.3">
      <c r="A1924" s="22" t="s">
        <v>4331</v>
      </c>
      <c r="B1924" s="23">
        <v>45411</v>
      </c>
      <c r="C1924" s="22" t="s">
        <v>1906</v>
      </c>
      <c r="D1924" s="22" t="s">
        <v>265</v>
      </c>
      <c r="E1924" s="22" t="s">
        <v>4332</v>
      </c>
      <c r="F1924" s="24">
        <v>1</v>
      </c>
      <c r="G1924" s="24">
        <v>3730</v>
      </c>
      <c r="H1924" s="24">
        <v>15.3</v>
      </c>
      <c r="I1924" s="24">
        <v>3159.31</v>
      </c>
      <c r="J1924" s="22" t="s">
        <v>104</v>
      </c>
      <c r="K1924" s="22" t="s">
        <v>151</v>
      </c>
      <c r="L1924" t="str">
        <f>VLOOKUP(D1924,Products!A:F,3,FALSE())</f>
        <v>Home</v>
      </c>
      <c r="M1924" t="str">
        <f>VLOOKUP(C1924,Customers!A:F,5,FALSE())</f>
        <v>SMB</v>
      </c>
      <c r="O1924" t="str">
        <f>IFERROR(VLOOKUP(E1924,Sales_Reps!$A:$C,3,FALSE()),"")</f>
        <v/>
      </c>
      <c r="P1924">
        <f>IFERROR(VLOOKUP(C1924,Customers!$A:$C,3,FALSE()),"")</f>
        <v>25</v>
      </c>
      <c r="Q1924" t="str">
        <f t="shared" si="30"/>
        <v>Apr-24</v>
      </c>
      <c r="R1924">
        <f>IFERROR((VLOOKUP(D1924,Products!$A:$E,5,FALSE())-VLOOKUP(D1924,Products!$A:$E,4,FALSE()))/VLOOKUP(D1924,Products!$A:$E,5,FALSE()),"")</f>
        <v>0.42761394101876676</v>
      </c>
    </row>
    <row r="1925" spans="1:18" x14ac:dyDescent="0.3">
      <c r="A1925" s="22" t="s">
        <v>4333</v>
      </c>
      <c r="B1925" s="23">
        <v>45442</v>
      </c>
      <c r="C1925" s="22" t="s">
        <v>131</v>
      </c>
      <c r="D1925" s="22" t="s">
        <v>605</v>
      </c>
      <c r="E1925" s="22" t="s">
        <v>4334</v>
      </c>
      <c r="F1925" s="24">
        <v>10</v>
      </c>
      <c r="G1925" s="24">
        <v>3780</v>
      </c>
      <c r="H1925" s="24">
        <v>2.7</v>
      </c>
      <c r="I1925" s="24">
        <v>36779.4</v>
      </c>
      <c r="J1925" s="22" t="s">
        <v>104</v>
      </c>
      <c r="K1925" s="22" t="s">
        <v>134</v>
      </c>
      <c r="L1925" t="str">
        <f>VLOOKUP(D1925,Products!A:F,3,FALSE())</f>
        <v>Sports</v>
      </c>
      <c r="M1925" t="str">
        <f>VLOOKUP(C1925,Customers!A:F,5,FALSE())</f>
        <v>Retail</v>
      </c>
      <c r="O1925" t="str">
        <f>IFERROR(VLOOKUP(E1925,Sales_Reps!$A:$C,3,FALSE()),"")</f>
        <v/>
      </c>
      <c r="P1925">
        <f>IFERROR(VLOOKUP(C1925,Customers!$A:$C,3,FALSE()),"")</f>
        <v>27</v>
      </c>
      <c r="Q1925" t="str">
        <f t="shared" si="30"/>
        <v>May-24</v>
      </c>
      <c r="R1925">
        <f>IFERROR((VLOOKUP(D1925,Products!$A:$E,5,FALSE())-VLOOKUP(D1925,Products!$A:$E,4,FALSE()))/VLOOKUP(D1925,Products!$A:$E,5,FALSE()),"")</f>
        <v>0.50793650793650791</v>
      </c>
    </row>
    <row r="1926" spans="1:18" x14ac:dyDescent="0.3">
      <c r="A1926" s="22" t="s">
        <v>4335</v>
      </c>
      <c r="B1926" s="23">
        <v>45381</v>
      </c>
      <c r="C1926" s="22" t="s">
        <v>2125</v>
      </c>
      <c r="D1926" s="22" t="s">
        <v>102</v>
      </c>
      <c r="E1926" s="22" t="s">
        <v>4336</v>
      </c>
      <c r="F1926" s="24">
        <v>2</v>
      </c>
      <c r="G1926" s="24">
        <v>3620</v>
      </c>
      <c r="H1926" s="24">
        <v>23</v>
      </c>
      <c r="I1926" s="24">
        <v>5574.8</v>
      </c>
      <c r="J1926" s="22" t="s">
        <v>104</v>
      </c>
      <c r="K1926" s="22" t="s">
        <v>111</v>
      </c>
      <c r="L1926" t="str">
        <f>VLOOKUP(D1926,Products!A:F,3,FALSE())</f>
        <v>Apparel</v>
      </c>
      <c r="M1926" t="str">
        <f>VLOOKUP(C1926,Customers!A:F,5,FALSE())</f>
        <v>SMB</v>
      </c>
      <c r="O1926" t="str">
        <f>IFERROR(VLOOKUP(E1926,Sales_Reps!$A:$C,3,FALSE()),"")</f>
        <v/>
      </c>
      <c r="P1926">
        <f>IFERROR(VLOOKUP(C1926,Customers!$A:$C,3,FALSE()),"")</f>
        <v>51</v>
      </c>
      <c r="Q1926" t="str">
        <f t="shared" si="30"/>
        <v>Mar-24</v>
      </c>
      <c r="R1926">
        <f>IFERROR((VLOOKUP(D1926,Products!$A:$E,5,FALSE())-VLOOKUP(D1926,Products!$A:$E,4,FALSE()))/VLOOKUP(D1926,Products!$A:$E,5,FALSE()),"")</f>
        <v>0.3069060773480663</v>
      </c>
    </row>
    <row r="1927" spans="1:18" x14ac:dyDescent="0.3">
      <c r="A1927" s="22" t="s">
        <v>4337</v>
      </c>
      <c r="B1927" s="23">
        <v>45536</v>
      </c>
      <c r="C1927" s="22" t="s">
        <v>1018</v>
      </c>
      <c r="D1927" s="22" t="s">
        <v>577</v>
      </c>
      <c r="E1927" s="22" t="s">
        <v>4338</v>
      </c>
      <c r="F1927" s="24">
        <v>9</v>
      </c>
      <c r="G1927" s="24">
        <v>5080</v>
      </c>
      <c r="H1927" s="24">
        <v>19.899999999999999</v>
      </c>
      <c r="I1927" s="24">
        <v>36621.72</v>
      </c>
      <c r="J1927" s="22" t="s">
        <v>104</v>
      </c>
      <c r="K1927" s="22" t="s">
        <v>129</v>
      </c>
      <c r="L1927" t="str">
        <f>VLOOKUP(D1927,Products!A:F,3,FALSE())</f>
        <v>Home</v>
      </c>
      <c r="M1927" t="str">
        <f>VLOOKUP(C1927,Customers!A:F,5,FALSE())</f>
        <v>Retail</v>
      </c>
      <c r="O1927" t="str">
        <f>IFERROR(VLOOKUP(E1927,Sales_Reps!$A:$C,3,FALSE()),"")</f>
        <v/>
      </c>
      <c r="P1927">
        <f>IFERROR(VLOOKUP(C1927,Customers!$A:$C,3,FALSE()),"")</f>
        <v>33</v>
      </c>
      <c r="Q1927" t="str">
        <f t="shared" si="30"/>
        <v>Sep-24</v>
      </c>
      <c r="R1927">
        <f>IFERROR((VLOOKUP(D1927,Products!$A:$E,5,FALSE())-VLOOKUP(D1927,Products!$A:$E,4,FALSE()))/VLOOKUP(D1927,Products!$A:$E,5,FALSE()),"")</f>
        <v>0.51594488188976373</v>
      </c>
    </row>
    <row r="1928" spans="1:18" x14ac:dyDescent="0.3">
      <c r="A1928" s="22" t="s">
        <v>4339</v>
      </c>
      <c r="B1928" s="23">
        <v>45561</v>
      </c>
      <c r="C1928" s="22" t="s">
        <v>500</v>
      </c>
      <c r="D1928" s="22" t="s">
        <v>935</v>
      </c>
      <c r="E1928" s="22" t="s">
        <v>4340</v>
      </c>
      <c r="F1928" s="24">
        <v>2</v>
      </c>
      <c r="G1928" s="24">
        <v>3560</v>
      </c>
      <c r="H1928" s="24">
        <v>5.5</v>
      </c>
      <c r="I1928" s="24">
        <v>6728.4</v>
      </c>
      <c r="J1928" s="22" t="s">
        <v>104</v>
      </c>
      <c r="K1928" s="22" t="s">
        <v>134</v>
      </c>
      <c r="L1928" t="str">
        <f>VLOOKUP(D1928,Products!A:F,3,FALSE())</f>
        <v>Apparel</v>
      </c>
      <c r="M1928" t="str">
        <f>VLOOKUP(C1928,Customers!A:F,5,FALSE())</f>
        <v>SMB</v>
      </c>
      <c r="O1928" t="str">
        <f>IFERROR(VLOOKUP(E1928,Sales_Reps!$A:$C,3,FALSE()),"")</f>
        <v/>
      </c>
      <c r="P1928">
        <f>IFERROR(VLOOKUP(C1928,Customers!$A:$C,3,FALSE()),"")</f>
        <v>28</v>
      </c>
      <c r="Q1928" t="str">
        <f t="shared" si="30"/>
        <v>Sep-24</v>
      </c>
      <c r="R1928">
        <f>IFERROR((VLOOKUP(D1928,Products!$A:$E,5,FALSE())-VLOOKUP(D1928,Products!$A:$E,4,FALSE()))/VLOOKUP(D1928,Products!$A:$E,5,FALSE()),"")</f>
        <v>0.26151685393258428</v>
      </c>
    </row>
    <row r="1929" spans="1:18" x14ac:dyDescent="0.3">
      <c r="A1929" s="22" t="s">
        <v>4341</v>
      </c>
      <c r="B1929" s="23">
        <v>45349</v>
      </c>
      <c r="C1929" s="22" t="s">
        <v>760</v>
      </c>
      <c r="D1929" s="22" t="s">
        <v>145</v>
      </c>
      <c r="E1929" s="22" t="s">
        <v>4342</v>
      </c>
      <c r="F1929" s="24">
        <v>6</v>
      </c>
      <c r="G1929" s="24">
        <v>970</v>
      </c>
      <c r="H1929" s="24">
        <v>22.5</v>
      </c>
      <c r="I1929" s="24">
        <v>4510.5</v>
      </c>
      <c r="J1929" s="22" t="s">
        <v>164</v>
      </c>
      <c r="K1929" s="22" t="s">
        <v>129</v>
      </c>
      <c r="L1929" t="str">
        <f>VLOOKUP(D1929,Products!A:F,3,FALSE())</f>
        <v>Grocery</v>
      </c>
      <c r="M1929" t="str">
        <f>VLOOKUP(C1929,Customers!A:F,5,FALSE())</f>
        <v>Retail</v>
      </c>
      <c r="O1929" t="str">
        <f>IFERROR(VLOOKUP(E1929,Sales_Reps!$A:$C,3,FALSE()),"")</f>
        <v/>
      </c>
      <c r="P1929">
        <f>IFERROR(VLOOKUP(C1929,Customers!$A:$C,3,FALSE()),"")</f>
        <v>37</v>
      </c>
      <c r="Q1929" t="str">
        <f t="shared" si="30"/>
        <v>Feb-24</v>
      </c>
      <c r="R1929">
        <f>IFERROR((VLOOKUP(D1929,Products!$A:$E,5,FALSE())-VLOOKUP(D1929,Products!$A:$E,4,FALSE()))/VLOOKUP(D1929,Products!$A:$E,5,FALSE()),"")</f>
        <v>0.5525773195876289</v>
      </c>
    </row>
    <row r="1930" spans="1:18" x14ac:dyDescent="0.3">
      <c r="A1930" s="22" t="s">
        <v>4343</v>
      </c>
      <c r="B1930" s="23">
        <v>45650</v>
      </c>
      <c r="C1930" s="22" t="s">
        <v>1461</v>
      </c>
      <c r="D1930" s="22" t="s">
        <v>205</v>
      </c>
      <c r="E1930" s="22" t="s">
        <v>4344</v>
      </c>
      <c r="F1930" s="24">
        <v>9</v>
      </c>
      <c r="G1930" s="24">
        <v>3350</v>
      </c>
      <c r="H1930" s="24">
        <v>5.0999999999999996</v>
      </c>
      <c r="I1930" s="24">
        <v>28612.35</v>
      </c>
      <c r="J1930" s="22" t="s">
        <v>104</v>
      </c>
      <c r="K1930" s="22" t="s">
        <v>129</v>
      </c>
      <c r="L1930" t="str">
        <f>VLOOKUP(D1930,Products!A:F,3,FALSE())</f>
        <v>Beauty</v>
      </c>
      <c r="M1930" t="str">
        <f>VLOOKUP(C1930,Customers!A:F,5,FALSE())</f>
        <v>Retail</v>
      </c>
      <c r="O1930" t="str">
        <f>IFERROR(VLOOKUP(E1930,Sales_Reps!$A:$C,3,FALSE()),"")</f>
        <v/>
      </c>
      <c r="P1930">
        <f>IFERROR(VLOOKUP(C1930,Customers!$A:$C,3,FALSE()),"")</f>
        <v>49</v>
      </c>
      <c r="Q1930" t="str">
        <f t="shared" si="30"/>
        <v>Dec-24</v>
      </c>
      <c r="R1930">
        <f>IFERROR((VLOOKUP(D1930,Products!$A:$E,5,FALSE())-VLOOKUP(D1930,Products!$A:$E,4,FALSE()))/VLOOKUP(D1930,Products!$A:$E,5,FALSE()),"")</f>
        <v>0.48417910447761192</v>
      </c>
    </row>
    <row r="1931" spans="1:18" x14ac:dyDescent="0.3">
      <c r="A1931" s="22" t="s">
        <v>4345</v>
      </c>
      <c r="B1931" s="23">
        <v>45525</v>
      </c>
      <c r="C1931" s="22" t="s">
        <v>4346</v>
      </c>
      <c r="D1931" s="22" t="s">
        <v>127</v>
      </c>
      <c r="E1931" s="22" t="s">
        <v>4347</v>
      </c>
      <c r="F1931" s="24">
        <v>6</v>
      </c>
      <c r="G1931" s="24">
        <v>370</v>
      </c>
      <c r="H1931" s="24">
        <v>17.8</v>
      </c>
      <c r="I1931" s="24">
        <v>1824.84</v>
      </c>
      <c r="J1931" s="22" t="s">
        <v>104</v>
      </c>
      <c r="K1931" s="22" t="s">
        <v>129</v>
      </c>
      <c r="L1931" t="str">
        <f>VLOOKUP(D1931,Products!A:F,3,FALSE())</f>
        <v>Home</v>
      </c>
      <c r="M1931" t="e">
        <f>VLOOKUP(C1931,Customers!A:F,5,FALSE())</f>
        <v>#N/A</v>
      </c>
      <c r="O1931" t="str">
        <f>IFERROR(VLOOKUP(E1931,Sales_Reps!$A:$C,3,FALSE()),"")</f>
        <v/>
      </c>
      <c r="P1931" t="str">
        <f>IFERROR(VLOOKUP(C1931,Customers!$A:$C,3,FALSE()),"")</f>
        <v/>
      </c>
      <c r="Q1931" t="str">
        <f t="shared" si="30"/>
        <v>Aug-24</v>
      </c>
      <c r="R1931">
        <f>IFERROR((VLOOKUP(D1931,Products!$A:$E,5,FALSE())-VLOOKUP(D1931,Products!$A:$E,4,FALSE()))/VLOOKUP(D1931,Products!$A:$E,5,FALSE()),"")</f>
        <v>0.22162162162162163</v>
      </c>
    </row>
    <row r="1932" spans="1:18" x14ac:dyDescent="0.3">
      <c r="A1932" s="22" t="s">
        <v>4348</v>
      </c>
      <c r="B1932" s="23">
        <v>45365</v>
      </c>
      <c r="C1932" s="22" t="s">
        <v>318</v>
      </c>
      <c r="D1932" s="22" t="s">
        <v>149</v>
      </c>
      <c r="E1932" s="22" t="s">
        <v>4349</v>
      </c>
      <c r="F1932" s="24">
        <v>3</v>
      </c>
      <c r="G1932" s="24">
        <v>2270</v>
      </c>
      <c r="H1932" s="24">
        <v>8.4</v>
      </c>
      <c r="I1932" s="24">
        <v>6237.96</v>
      </c>
      <c r="J1932" s="22" t="s">
        <v>110</v>
      </c>
      <c r="K1932" s="22" t="s">
        <v>116</v>
      </c>
      <c r="L1932" t="str">
        <f>VLOOKUP(D1932,Products!A:F,3,FALSE())</f>
        <v>Grocery</v>
      </c>
      <c r="M1932" t="str">
        <f>VLOOKUP(C1932,Customers!A:F,5,FALSE())</f>
        <v>Corporate</v>
      </c>
      <c r="O1932" t="str">
        <f>IFERROR(VLOOKUP(E1932,Sales_Reps!$A:$C,3,FALSE()),"")</f>
        <v/>
      </c>
      <c r="P1932">
        <f>IFERROR(VLOOKUP(C1932,Customers!$A:$C,3,FALSE()),"")</f>
        <v>55</v>
      </c>
      <c r="Q1932" t="str">
        <f t="shared" si="30"/>
        <v>Mar-24</v>
      </c>
      <c r="R1932">
        <f>IFERROR((VLOOKUP(D1932,Products!$A:$E,5,FALSE())-VLOOKUP(D1932,Products!$A:$E,4,FALSE()))/VLOOKUP(D1932,Products!$A:$E,5,FALSE()),"")</f>
        <v>0.47004405286343615</v>
      </c>
    </row>
    <row r="1933" spans="1:18" x14ac:dyDescent="0.3">
      <c r="A1933" s="22" t="s">
        <v>4350</v>
      </c>
      <c r="B1933" s="23">
        <v>45464</v>
      </c>
      <c r="C1933" s="22" t="s">
        <v>778</v>
      </c>
      <c r="D1933" s="22" t="s">
        <v>182</v>
      </c>
      <c r="E1933" s="22" t="s">
        <v>4351</v>
      </c>
      <c r="F1933" s="24">
        <v>3</v>
      </c>
      <c r="G1933" s="24">
        <v>3450</v>
      </c>
      <c r="H1933" s="24">
        <v>7.2</v>
      </c>
      <c r="I1933" s="24">
        <v>9604.7999999999993</v>
      </c>
      <c r="J1933" s="22" t="s">
        <v>104</v>
      </c>
      <c r="K1933" s="22" t="s">
        <v>134</v>
      </c>
      <c r="L1933" t="str">
        <f>VLOOKUP(D1933,Products!A:F,3,FALSE())</f>
        <v>Sports</v>
      </c>
      <c r="M1933" t="str">
        <f>VLOOKUP(C1933,Customers!A:F,5,FALSE())</f>
        <v>Corporate</v>
      </c>
      <c r="O1933" t="str">
        <f>IFERROR(VLOOKUP(E1933,Sales_Reps!$A:$C,3,FALSE()),"")</f>
        <v/>
      </c>
      <c r="P1933">
        <f>IFERROR(VLOOKUP(C1933,Customers!$A:$C,3,FALSE()),"")</f>
        <v>41</v>
      </c>
      <c r="Q1933" t="str">
        <f t="shared" si="30"/>
        <v>Jun-24</v>
      </c>
      <c r="R1933">
        <f>IFERROR((VLOOKUP(D1933,Products!$A:$E,5,FALSE())-VLOOKUP(D1933,Products!$A:$E,4,FALSE()))/VLOOKUP(D1933,Products!$A:$E,5,FALSE()),"")</f>
        <v>0.28492753623188405</v>
      </c>
    </row>
    <row r="1934" spans="1:18" x14ac:dyDescent="0.3">
      <c r="A1934" s="22" t="s">
        <v>4352</v>
      </c>
      <c r="B1934" s="23">
        <v>45633</v>
      </c>
      <c r="C1934" s="22" t="s">
        <v>361</v>
      </c>
      <c r="D1934" s="22" t="s">
        <v>209</v>
      </c>
      <c r="E1934" s="22" t="s">
        <v>4353</v>
      </c>
      <c r="F1934" s="24">
        <v>9</v>
      </c>
      <c r="G1934" s="24">
        <v>1010</v>
      </c>
      <c r="H1934" s="24">
        <v>17.8</v>
      </c>
      <c r="I1934" s="24">
        <v>7471.98</v>
      </c>
      <c r="J1934" s="22" t="s">
        <v>104</v>
      </c>
      <c r="K1934" s="22" t="s">
        <v>151</v>
      </c>
      <c r="L1934" t="str">
        <f>VLOOKUP(D1934,Products!A:F,3,FALSE())</f>
        <v>Sports</v>
      </c>
      <c r="M1934" t="str">
        <f>VLOOKUP(C1934,Customers!A:F,5,FALSE())</f>
        <v>Retail</v>
      </c>
      <c r="O1934" t="str">
        <f>IFERROR(VLOOKUP(E1934,Sales_Reps!$A:$C,3,FALSE()),"")</f>
        <v/>
      </c>
      <c r="P1934">
        <f>IFERROR(VLOOKUP(C1934,Customers!$A:$C,3,FALSE()),"")</f>
        <v>29</v>
      </c>
      <c r="Q1934" t="str">
        <f t="shared" si="30"/>
        <v>Dec-24</v>
      </c>
      <c r="R1934">
        <f>IFERROR((VLOOKUP(D1934,Products!$A:$E,5,FALSE())-VLOOKUP(D1934,Products!$A:$E,4,FALSE()))/VLOOKUP(D1934,Products!$A:$E,5,FALSE()),"")</f>
        <v>0.4891089108910891</v>
      </c>
    </row>
    <row r="1935" spans="1:18" x14ac:dyDescent="0.3">
      <c r="A1935" s="22" t="s">
        <v>4354</v>
      </c>
      <c r="B1935" s="23">
        <v>45373</v>
      </c>
      <c r="C1935" s="22" t="s">
        <v>1606</v>
      </c>
      <c r="D1935" s="22" t="s">
        <v>323</v>
      </c>
      <c r="E1935" s="22" t="s">
        <v>4355</v>
      </c>
      <c r="F1935" s="24">
        <v>5</v>
      </c>
      <c r="G1935" s="24">
        <v>4610</v>
      </c>
      <c r="H1935" s="24">
        <v>29.8</v>
      </c>
      <c r="I1935" s="24">
        <v>16181.1</v>
      </c>
      <c r="J1935" s="22" t="s">
        <v>159</v>
      </c>
      <c r="K1935" s="22" t="s">
        <v>129</v>
      </c>
      <c r="L1935" t="str">
        <f>VLOOKUP(D1935,Products!A:F,3,FALSE())</f>
        <v>Home</v>
      </c>
      <c r="M1935" t="str">
        <f>VLOOKUP(C1935,Customers!A:F,5,FALSE())</f>
        <v>Retail</v>
      </c>
      <c r="O1935" t="str">
        <f>IFERROR(VLOOKUP(E1935,Sales_Reps!$A:$C,3,FALSE()),"")</f>
        <v/>
      </c>
      <c r="P1935">
        <f>IFERROR(VLOOKUP(C1935,Customers!$A:$C,3,FALSE()),"")</f>
        <v>33</v>
      </c>
      <c r="Q1935" t="str">
        <f t="shared" si="30"/>
        <v>Mar-24</v>
      </c>
      <c r="R1935">
        <f>IFERROR((VLOOKUP(D1935,Products!$A:$E,5,FALSE())-VLOOKUP(D1935,Products!$A:$E,4,FALSE()))/VLOOKUP(D1935,Products!$A:$E,5,FALSE()),"")</f>
        <v>0.59869848156182215</v>
      </c>
    </row>
    <row r="1936" spans="1:18" x14ac:dyDescent="0.3">
      <c r="A1936" s="22" t="s">
        <v>4356</v>
      </c>
      <c r="B1936" s="23">
        <v>45497</v>
      </c>
      <c r="C1936" s="22" t="s">
        <v>653</v>
      </c>
      <c r="D1936" s="22" t="s">
        <v>127</v>
      </c>
      <c r="E1936" s="22" t="s">
        <v>4357</v>
      </c>
      <c r="F1936" s="24">
        <v>6</v>
      </c>
      <c r="G1936" s="24">
        <v>370</v>
      </c>
      <c r="H1936" s="24">
        <v>17.899999999999999</v>
      </c>
      <c r="I1936" s="24">
        <v>1822.62</v>
      </c>
      <c r="J1936" s="22" t="s">
        <v>104</v>
      </c>
      <c r="K1936" s="22" t="s">
        <v>116</v>
      </c>
      <c r="L1936" t="str">
        <f>VLOOKUP(D1936,Products!A:F,3,FALSE())</f>
        <v>Home</v>
      </c>
      <c r="M1936" t="str">
        <f>VLOOKUP(C1936,Customers!A:F,5,FALSE())</f>
        <v>Retail</v>
      </c>
      <c r="O1936" t="str">
        <f>IFERROR(VLOOKUP(E1936,Sales_Reps!$A:$C,3,FALSE()),"")</f>
        <v/>
      </c>
      <c r="P1936">
        <f>IFERROR(VLOOKUP(C1936,Customers!$A:$C,3,FALSE()),"")</f>
        <v>59</v>
      </c>
      <c r="Q1936" t="str">
        <f t="shared" si="30"/>
        <v>Jul-24</v>
      </c>
      <c r="R1936">
        <f>IFERROR((VLOOKUP(D1936,Products!$A:$E,5,FALSE())-VLOOKUP(D1936,Products!$A:$E,4,FALSE()))/VLOOKUP(D1936,Products!$A:$E,5,FALSE()),"")</f>
        <v>0.22162162162162163</v>
      </c>
    </row>
    <row r="1937" spans="1:18" x14ac:dyDescent="0.3">
      <c r="A1937" s="22" t="s">
        <v>4358</v>
      </c>
      <c r="B1937" s="23">
        <v>45352</v>
      </c>
      <c r="C1937" s="22" t="s">
        <v>517</v>
      </c>
      <c r="D1937" s="22" t="s">
        <v>459</v>
      </c>
      <c r="E1937" s="22" t="s">
        <v>4359</v>
      </c>
      <c r="F1937" s="24">
        <v>6</v>
      </c>
      <c r="G1937" s="24">
        <v>2380</v>
      </c>
      <c r="H1937" s="24">
        <v>13.6</v>
      </c>
      <c r="I1937" s="24">
        <v>12337.92</v>
      </c>
      <c r="J1937" s="22" t="s">
        <v>159</v>
      </c>
      <c r="K1937" s="22" t="s">
        <v>111</v>
      </c>
      <c r="L1937" t="str">
        <f>VLOOKUP(D1937,Products!A:F,3,FALSE())</f>
        <v>Grocery</v>
      </c>
      <c r="M1937" t="str">
        <f>VLOOKUP(C1937,Customers!A:F,5,FALSE())</f>
        <v>Corporate</v>
      </c>
      <c r="O1937" t="str">
        <f>IFERROR(VLOOKUP(E1937,Sales_Reps!$A:$C,3,FALSE()),"")</f>
        <v/>
      </c>
      <c r="P1937">
        <f>IFERROR(VLOOKUP(C1937,Customers!$A:$C,3,FALSE()),"")</f>
        <v>24</v>
      </c>
      <c r="Q1937" t="str">
        <f t="shared" si="30"/>
        <v>Mar-24</v>
      </c>
      <c r="R1937">
        <f>IFERROR((VLOOKUP(D1937,Products!$A:$E,5,FALSE())-VLOOKUP(D1937,Products!$A:$E,4,FALSE()))/VLOOKUP(D1937,Products!$A:$E,5,FALSE()),"")</f>
        <v>0.50336134453781511</v>
      </c>
    </row>
    <row r="1938" spans="1:18" x14ac:dyDescent="0.3">
      <c r="A1938" s="22" t="s">
        <v>4360</v>
      </c>
      <c r="B1938" s="23">
        <v>45379</v>
      </c>
      <c r="C1938" s="22" t="s">
        <v>200</v>
      </c>
      <c r="D1938" s="22" t="s">
        <v>479</v>
      </c>
      <c r="E1938" s="22" t="s">
        <v>4361</v>
      </c>
      <c r="F1938" s="24">
        <v>6</v>
      </c>
      <c r="G1938" s="24">
        <v>960</v>
      </c>
      <c r="H1938" s="24">
        <v>15</v>
      </c>
      <c r="I1938" s="24">
        <v>4896</v>
      </c>
      <c r="J1938" s="22" t="s">
        <v>110</v>
      </c>
      <c r="K1938" s="22" t="s">
        <v>151</v>
      </c>
      <c r="L1938" t="str">
        <f>VLOOKUP(D1938,Products!A:F,3,FALSE())</f>
        <v>Beauty</v>
      </c>
      <c r="M1938" t="str">
        <f>VLOOKUP(C1938,Customers!A:F,5,FALSE())</f>
        <v>SMB</v>
      </c>
      <c r="O1938" t="str">
        <f>IFERROR(VLOOKUP(E1938,Sales_Reps!$A:$C,3,FALSE()),"")</f>
        <v/>
      </c>
      <c r="P1938">
        <f>IFERROR(VLOOKUP(C1938,Customers!$A:$C,3,FALSE()),"")</f>
        <v>40</v>
      </c>
      <c r="Q1938" t="str">
        <f t="shared" si="30"/>
        <v>Mar-24</v>
      </c>
      <c r="R1938">
        <f>IFERROR((VLOOKUP(D1938,Products!$A:$E,5,FALSE())-VLOOKUP(D1938,Products!$A:$E,4,FALSE()))/VLOOKUP(D1938,Products!$A:$E,5,FALSE()),"")</f>
        <v>0.296875</v>
      </c>
    </row>
    <row r="1939" spans="1:18" x14ac:dyDescent="0.3">
      <c r="A1939" s="22" t="s">
        <v>4362</v>
      </c>
      <c r="B1939" s="23">
        <v>45422</v>
      </c>
      <c r="C1939" s="22" t="s">
        <v>1041</v>
      </c>
      <c r="D1939" s="22" t="s">
        <v>132</v>
      </c>
      <c r="E1939" s="22" t="s">
        <v>4363</v>
      </c>
      <c r="F1939" s="24">
        <v>3</v>
      </c>
      <c r="G1939" s="24">
        <v>960</v>
      </c>
      <c r="H1939" s="24">
        <v>12.3</v>
      </c>
      <c r="I1939" s="24">
        <v>2525.7600000000002</v>
      </c>
      <c r="J1939" s="22" t="s">
        <v>104</v>
      </c>
      <c r="K1939" s="22" t="s">
        <v>105</v>
      </c>
      <c r="L1939" t="str">
        <f>VLOOKUP(D1939,Products!A:F,3,FALSE())</f>
        <v>Sports</v>
      </c>
      <c r="M1939" t="str">
        <f>VLOOKUP(C1939,Customers!A:F,5,FALSE())</f>
        <v>Retail</v>
      </c>
      <c r="O1939" t="str">
        <f>IFERROR(VLOOKUP(E1939,Sales_Reps!$A:$C,3,FALSE()),"")</f>
        <v/>
      </c>
      <c r="P1939">
        <f>IFERROR(VLOOKUP(C1939,Customers!$A:$C,3,FALSE()),"")</f>
        <v>48</v>
      </c>
      <c r="Q1939" t="str">
        <f t="shared" si="30"/>
        <v>May-24</v>
      </c>
      <c r="R1939">
        <f>IFERROR((VLOOKUP(D1939,Products!$A:$E,5,FALSE())-VLOOKUP(D1939,Products!$A:$E,4,FALSE()))/VLOOKUP(D1939,Products!$A:$E,5,FALSE()),"")</f>
        <v>0.265625</v>
      </c>
    </row>
    <row r="1940" spans="1:18" x14ac:dyDescent="0.3">
      <c r="A1940" s="22" t="s">
        <v>4364</v>
      </c>
      <c r="B1940" s="23">
        <v>45413</v>
      </c>
      <c r="C1940" s="22" t="s">
        <v>763</v>
      </c>
      <c r="D1940" s="22" t="s">
        <v>352</v>
      </c>
      <c r="E1940" s="22" t="s">
        <v>4365</v>
      </c>
      <c r="F1940" s="24">
        <v>7</v>
      </c>
      <c r="G1940" s="24">
        <v>620</v>
      </c>
      <c r="H1940" s="24">
        <v>5.8</v>
      </c>
      <c r="I1940" s="24">
        <v>4088.28</v>
      </c>
      <c r="J1940" s="22" t="s">
        <v>104</v>
      </c>
      <c r="K1940" s="22" t="s">
        <v>129</v>
      </c>
      <c r="L1940" t="str">
        <f>VLOOKUP(D1940,Products!A:F,3,FALSE())</f>
        <v>Apparel</v>
      </c>
      <c r="M1940" t="str">
        <f>VLOOKUP(C1940,Customers!A:F,5,FALSE())</f>
        <v>Retail</v>
      </c>
      <c r="O1940" t="str">
        <f>IFERROR(VLOOKUP(E1940,Sales_Reps!$A:$C,3,FALSE()),"")</f>
        <v/>
      </c>
      <c r="P1940">
        <f>IFERROR(VLOOKUP(C1940,Customers!$A:$C,3,FALSE()),"")</f>
        <v>65</v>
      </c>
      <c r="Q1940" t="str">
        <f t="shared" si="30"/>
        <v>May-24</v>
      </c>
      <c r="R1940">
        <f>IFERROR((VLOOKUP(D1940,Products!$A:$E,5,FALSE())-VLOOKUP(D1940,Products!$A:$E,4,FALSE()))/VLOOKUP(D1940,Products!$A:$E,5,FALSE()),"")</f>
        <v>0.36129032258064514</v>
      </c>
    </row>
    <row r="1941" spans="1:18" x14ac:dyDescent="0.3">
      <c r="A1941" s="22" t="s">
        <v>4366</v>
      </c>
      <c r="B1941" s="23">
        <v>45467</v>
      </c>
      <c r="C1941" s="22" t="s">
        <v>1067</v>
      </c>
      <c r="D1941" s="22" t="s">
        <v>132</v>
      </c>
      <c r="E1941" s="22" t="s">
        <v>4367</v>
      </c>
      <c r="F1941" s="24">
        <v>1</v>
      </c>
      <c r="G1941" s="24">
        <v>960</v>
      </c>
      <c r="H1941" s="24">
        <v>4.5999999999999996</v>
      </c>
      <c r="I1941" s="24">
        <v>915.84</v>
      </c>
      <c r="J1941" s="22" t="s">
        <v>104</v>
      </c>
      <c r="K1941" s="22" t="s">
        <v>105</v>
      </c>
      <c r="L1941" t="str">
        <f>VLOOKUP(D1941,Products!A:F,3,FALSE())</f>
        <v>Sports</v>
      </c>
      <c r="M1941" t="str">
        <f>VLOOKUP(C1941,Customers!A:F,5,FALSE())</f>
        <v>Retail</v>
      </c>
      <c r="O1941" t="str">
        <f>IFERROR(VLOOKUP(E1941,Sales_Reps!$A:$C,3,FALSE()),"")</f>
        <v/>
      </c>
      <c r="P1941">
        <f>IFERROR(VLOOKUP(C1941,Customers!$A:$C,3,FALSE()),"")</f>
        <v>54</v>
      </c>
      <c r="Q1941" t="str">
        <f t="shared" si="30"/>
        <v>Jun-24</v>
      </c>
      <c r="R1941">
        <f>IFERROR((VLOOKUP(D1941,Products!$A:$E,5,FALSE())-VLOOKUP(D1941,Products!$A:$E,4,FALSE()))/VLOOKUP(D1941,Products!$A:$E,5,FALSE()),"")</f>
        <v>0.265625</v>
      </c>
    </row>
    <row r="1942" spans="1:18" x14ac:dyDescent="0.3">
      <c r="A1942" s="22" t="s">
        <v>4368</v>
      </c>
      <c r="B1942" s="23">
        <v>45520</v>
      </c>
      <c r="C1942" s="22" t="s">
        <v>658</v>
      </c>
      <c r="D1942" s="22" t="s">
        <v>178</v>
      </c>
      <c r="E1942" s="22" t="s">
        <v>4369</v>
      </c>
      <c r="F1942" s="24">
        <v>4</v>
      </c>
      <c r="G1942" s="24">
        <v>3450</v>
      </c>
      <c r="H1942" s="24">
        <v>13.3</v>
      </c>
      <c r="I1942" s="24">
        <v>11964.6</v>
      </c>
      <c r="J1942" s="22" t="s">
        <v>104</v>
      </c>
      <c r="K1942" s="22" t="s">
        <v>105</v>
      </c>
      <c r="L1942" t="str">
        <f>VLOOKUP(D1942,Products!A:F,3,FALSE())</f>
        <v>Beauty</v>
      </c>
      <c r="M1942" t="str">
        <f>VLOOKUP(C1942,Customers!A:F,5,FALSE())</f>
        <v>Retail</v>
      </c>
      <c r="O1942" t="str">
        <f>IFERROR(VLOOKUP(E1942,Sales_Reps!$A:$C,3,FALSE()),"")</f>
        <v/>
      </c>
      <c r="P1942">
        <f>IFERROR(VLOOKUP(C1942,Customers!$A:$C,3,FALSE()),"")</f>
        <v>57</v>
      </c>
      <c r="Q1942" t="str">
        <f t="shared" si="30"/>
        <v>Aug-24</v>
      </c>
      <c r="R1942">
        <f>IFERROR((VLOOKUP(D1942,Products!$A:$E,5,FALSE())-VLOOKUP(D1942,Products!$A:$E,4,FALSE()))/VLOOKUP(D1942,Products!$A:$E,5,FALSE()),"")</f>
        <v>0.29855072463768118</v>
      </c>
    </row>
    <row r="1943" spans="1:18" x14ac:dyDescent="0.3">
      <c r="A1943" s="22" t="s">
        <v>4370</v>
      </c>
      <c r="B1943" s="23">
        <v>45626</v>
      </c>
      <c r="C1943" s="22" t="s">
        <v>769</v>
      </c>
      <c r="D1943" s="22" t="s">
        <v>197</v>
      </c>
      <c r="E1943" s="22" t="s">
        <v>4371</v>
      </c>
      <c r="F1943" s="24">
        <v>10</v>
      </c>
      <c r="G1943" s="24">
        <v>2720</v>
      </c>
      <c r="H1943" s="24">
        <v>3.4</v>
      </c>
      <c r="I1943" s="24">
        <v>26275.200000000001</v>
      </c>
      <c r="J1943" s="22" t="s">
        <v>104</v>
      </c>
      <c r="K1943" s="22" t="s">
        <v>151</v>
      </c>
      <c r="L1943" t="str">
        <f>VLOOKUP(D1943,Products!A:F,3,FALSE())</f>
        <v>Apparel</v>
      </c>
      <c r="M1943" t="str">
        <f>VLOOKUP(C1943,Customers!A:F,5,FALSE())</f>
        <v>SMB</v>
      </c>
      <c r="O1943" t="str">
        <f>IFERROR(VLOOKUP(E1943,Sales_Reps!$A:$C,3,FALSE()),"")</f>
        <v/>
      </c>
      <c r="P1943">
        <f>IFERROR(VLOOKUP(C1943,Customers!$A:$C,3,FALSE()),"")</f>
        <v>43</v>
      </c>
      <c r="Q1943" t="str">
        <f t="shared" si="30"/>
        <v>Nov-24</v>
      </c>
      <c r="R1943">
        <f>IFERROR((VLOOKUP(D1943,Products!$A:$E,5,FALSE())-VLOOKUP(D1943,Products!$A:$E,4,FALSE()))/VLOOKUP(D1943,Products!$A:$E,5,FALSE()),"")</f>
        <v>0.2786764705882353</v>
      </c>
    </row>
    <row r="1944" spans="1:18" x14ac:dyDescent="0.3">
      <c r="A1944" s="22" t="s">
        <v>4372</v>
      </c>
      <c r="B1944" s="23">
        <v>45452</v>
      </c>
      <c r="C1944" s="22" t="s">
        <v>861</v>
      </c>
      <c r="D1944" s="22" t="s">
        <v>178</v>
      </c>
      <c r="E1944" s="22" t="s">
        <v>4373</v>
      </c>
      <c r="F1944" s="24">
        <v>1</v>
      </c>
      <c r="G1944" s="24">
        <v>3450</v>
      </c>
      <c r="H1944" s="24">
        <v>29.4</v>
      </c>
      <c r="I1944" s="24">
        <v>2435.6999999999998</v>
      </c>
      <c r="J1944" s="22" t="s">
        <v>104</v>
      </c>
      <c r="K1944" s="22" t="s">
        <v>129</v>
      </c>
      <c r="L1944" t="str">
        <f>VLOOKUP(D1944,Products!A:F,3,FALSE())</f>
        <v>Beauty</v>
      </c>
      <c r="M1944" t="str">
        <f>VLOOKUP(C1944,Customers!A:F,5,FALSE())</f>
        <v>SMB</v>
      </c>
      <c r="O1944" t="str">
        <f>IFERROR(VLOOKUP(E1944,Sales_Reps!$A:$C,3,FALSE()),"")</f>
        <v/>
      </c>
      <c r="P1944">
        <f>IFERROR(VLOOKUP(C1944,Customers!$A:$C,3,FALSE()),"")</f>
        <v>65</v>
      </c>
      <c r="Q1944" t="str">
        <f t="shared" si="30"/>
        <v>Jun-24</v>
      </c>
      <c r="R1944">
        <f>IFERROR((VLOOKUP(D1944,Products!$A:$E,5,FALSE())-VLOOKUP(D1944,Products!$A:$E,4,FALSE()))/VLOOKUP(D1944,Products!$A:$E,5,FALSE()),"")</f>
        <v>0.29855072463768118</v>
      </c>
    </row>
    <row r="1945" spans="1:18" x14ac:dyDescent="0.3">
      <c r="A1945" s="22" t="s">
        <v>4374</v>
      </c>
      <c r="B1945" s="23">
        <v>45529</v>
      </c>
      <c r="C1945" s="22" t="s">
        <v>763</v>
      </c>
      <c r="D1945" s="22" t="s">
        <v>201</v>
      </c>
      <c r="E1945" s="22" t="s">
        <v>4375</v>
      </c>
      <c r="F1945" s="24">
        <v>5</v>
      </c>
      <c r="G1945" s="24">
        <v>1650</v>
      </c>
      <c r="H1945" s="24">
        <v>29.4</v>
      </c>
      <c r="I1945" s="24">
        <v>5824.5</v>
      </c>
      <c r="J1945" s="22" t="s">
        <v>104</v>
      </c>
      <c r="K1945" s="22" t="s">
        <v>129</v>
      </c>
      <c r="L1945" t="str">
        <f>VLOOKUP(D1945,Products!A:F,3,FALSE())</f>
        <v>Beauty</v>
      </c>
      <c r="M1945" t="str">
        <f>VLOOKUP(C1945,Customers!A:F,5,FALSE())</f>
        <v>Retail</v>
      </c>
      <c r="O1945" t="str">
        <f>IFERROR(VLOOKUP(E1945,Sales_Reps!$A:$C,3,FALSE()),"")</f>
        <v/>
      </c>
      <c r="P1945">
        <f>IFERROR(VLOOKUP(C1945,Customers!$A:$C,3,FALSE()),"")</f>
        <v>65</v>
      </c>
      <c r="Q1945" t="str">
        <f t="shared" si="30"/>
        <v>Aug-24</v>
      </c>
      <c r="R1945">
        <f>IFERROR((VLOOKUP(D1945,Products!$A:$E,5,FALSE())-VLOOKUP(D1945,Products!$A:$E,4,FALSE()))/VLOOKUP(D1945,Products!$A:$E,5,FALSE()),"")</f>
        <v>0.2593939393939394</v>
      </c>
    </row>
    <row r="1946" spans="1:18" x14ac:dyDescent="0.3">
      <c r="A1946" s="22" t="s">
        <v>4376</v>
      </c>
      <c r="B1946" s="23">
        <v>45639</v>
      </c>
      <c r="C1946" s="22" t="s">
        <v>1147</v>
      </c>
      <c r="D1946" s="22" t="s">
        <v>102</v>
      </c>
      <c r="E1946" s="22" t="s">
        <v>4377</v>
      </c>
      <c r="F1946" s="24">
        <v>2</v>
      </c>
      <c r="G1946" s="24">
        <v>3620</v>
      </c>
      <c r="H1946" s="24">
        <v>15.6</v>
      </c>
      <c r="I1946" s="24">
        <v>6110.56</v>
      </c>
      <c r="J1946" s="22" t="s">
        <v>104</v>
      </c>
      <c r="K1946" s="22" t="s">
        <v>116</v>
      </c>
      <c r="L1946" t="str">
        <f>VLOOKUP(D1946,Products!A:F,3,FALSE())</f>
        <v>Apparel</v>
      </c>
      <c r="M1946" t="str">
        <f>VLOOKUP(C1946,Customers!A:F,5,FALSE())</f>
        <v>SMB</v>
      </c>
      <c r="O1946" t="str">
        <f>IFERROR(VLOOKUP(E1946,Sales_Reps!$A:$C,3,FALSE()),"")</f>
        <v/>
      </c>
      <c r="P1946">
        <f>IFERROR(VLOOKUP(C1946,Customers!$A:$C,3,FALSE()),"")</f>
        <v>29</v>
      </c>
      <c r="Q1946" t="str">
        <f t="shared" si="30"/>
        <v>Dec-24</v>
      </c>
      <c r="R1946">
        <f>IFERROR((VLOOKUP(D1946,Products!$A:$E,5,FALSE())-VLOOKUP(D1946,Products!$A:$E,4,FALSE()))/VLOOKUP(D1946,Products!$A:$E,5,FALSE()),"")</f>
        <v>0.3069060773480663</v>
      </c>
    </row>
    <row r="1947" spans="1:18" x14ac:dyDescent="0.3">
      <c r="A1947" s="22" t="s">
        <v>4378</v>
      </c>
      <c r="B1947" s="23">
        <v>45592</v>
      </c>
      <c r="C1947" s="22" t="s">
        <v>113</v>
      </c>
      <c r="D1947" s="22" t="s">
        <v>338</v>
      </c>
      <c r="E1947" s="22" t="s">
        <v>4379</v>
      </c>
      <c r="F1947" s="24">
        <v>3</v>
      </c>
      <c r="G1947" s="24">
        <v>300</v>
      </c>
      <c r="H1947" s="24">
        <v>24.8</v>
      </c>
      <c r="I1947" s="24">
        <v>676.8</v>
      </c>
      <c r="J1947" s="22" t="s">
        <v>104</v>
      </c>
      <c r="K1947" s="22" t="s">
        <v>116</v>
      </c>
      <c r="L1947" t="str">
        <f>VLOOKUP(D1947,Products!A:F,3,FALSE())</f>
        <v>Electronics</v>
      </c>
      <c r="M1947" t="str">
        <f>VLOOKUP(C1947,Customers!A:F,5,FALSE())</f>
        <v>Retail</v>
      </c>
      <c r="O1947" t="str">
        <f>IFERROR(VLOOKUP(E1947,Sales_Reps!$A:$C,3,FALSE()),"")</f>
        <v/>
      </c>
      <c r="P1947">
        <f>IFERROR(VLOOKUP(C1947,Customers!$A:$C,3,FALSE()),"")</f>
        <v>52</v>
      </c>
      <c r="Q1947" t="str">
        <f t="shared" si="30"/>
        <v>Oct-24</v>
      </c>
      <c r="R1947">
        <f>IFERROR((VLOOKUP(D1947,Products!$A:$E,5,FALSE())-VLOOKUP(D1947,Products!$A:$E,4,FALSE()))/VLOOKUP(D1947,Products!$A:$E,5,FALSE()),"")</f>
        <v>0.57333333333333336</v>
      </c>
    </row>
    <row r="1948" spans="1:18" x14ac:dyDescent="0.3">
      <c r="A1948" s="22" t="s">
        <v>4380</v>
      </c>
      <c r="B1948" s="23">
        <v>45338</v>
      </c>
      <c r="C1948" s="22" t="s">
        <v>326</v>
      </c>
      <c r="D1948" s="22" t="s">
        <v>308</v>
      </c>
      <c r="E1948" s="22" t="s">
        <v>4381</v>
      </c>
      <c r="F1948" s="24">
        <v>3</v>
      </c>
      <c r="G1948" s="24">
        <v>1540</v>
      </c>
      <c r="H1948" s="24">
        <v>29.5</v>
      </c>
      <c r="I1948" s="24">
        <v>3257.1</v>
      </c>
      <c r="J1948" s="22" t="s">
        <v>104</v>
      </c>
      <c r="K1948" s="22" t="s">
        <v>111</v>
      </c>
      <c r="L1948" t="str">
        <f>VLOOKUP(D1948,Products!A:F,3,FALSE())</f>
        <v>Beauty</v>
      </c>
      <c r="M1948" t="str">
        <f>VLOOKUP(C1948,Customers!A:F,5,FALSE())</f>
        <v>SMB</v>
      </c>
      <c r="O1948" t="str">
        <f>IFERROR(VLOOKUP(E1948,Sales_Reps!$A:$C,3,FALSE()),"")</f>
        <v/>
      </c>
      <c r="P1948">
        <f>IFERROR(VLOOKUP(C1948,Customers!$A:$C,3,FALSE()),"")</f>
        <v>55</v>
      </c>
      <c r="Q1948" t="str">
        <f t="shared" si="30"/>
        <v>Feb-24</v>
      </c>
      <c r="R1948">
        <f>IFERROR((VLOOKUP(D1948,Products!$A:$E,5,FALSE())-VLOOKUP(D1948,Products!$A:$E,4,FALSE()))/VLOOKUP(D1948,Products!$A:$E,5,FALSE()),"")</f>
        <v>0.57987012987012987</v>
      </c>
    </row>
    <row r="1949" spans="1:18" x14ac:dyDescent="0.3">
      <c r="A1949" s="22" t="s">
        <v>4382</v>
      </c>
      <c r="B1949" s="23">
        <v>45551</v>
      </c>
      <c r="C1949" s="22" t="s">
        <v>1144</v>
      </c>
      <c r="D1949" s="22" t="s">
        <v>149</v>
      </c>
      <c r="E1949" s="22" t="s">
        <v>4383</v>
      </c>
      <c r="F1949" s="24">
        <v>10</v>
      </c>
      <c r="G1949" s="24">
        <v>2270</v>
      </c>
      <c r="H1949" s="24">
        <v>5.5</v>
      </c>
      <c r="I1949" s="24">
        <v>21451.5</v>
      </c>
      <c r="J1949" s="22" t="s">
        <v>159</v>
      </c>
      <c r="K1949" s="22" t="s">
        <v>134</v>
      </c>
      <c r="L1949" t="str">
        <f>VLOOKUP(D1949,Products!A:F,3,FALSE())</f>
        <v>Grocery</v>
      </c>
      <c r="M1949" t="str">
        <f>VLOOKUP(C1949,Customers!A:F,5,FALSE())</f>
        <v>Retail</v>
      </c>
      <c r="O1949" t="str">
        <f>IFERROR(VLOOKUP(E1949,Sales_Reps!$A:$C,3,FALSE()),"")</f>
        <v/>
      </c>
      <c r="P1949">
        <f>IFERROR(VLOOKUP(C1949,Customers!$A:$C,3,FALSE()),"")</f>
        <v>27</v>
      </c>
      <c r="Q1949" t="str">
        <f t="shared" si="30"/>
        <v>Sep-24</v>
      </c>
      <c r="R1949">
        <f>IFERROR((VLOOKUP(D1949,Products!$A:$E,5,FALSE())-VLOOKUP(D1949,Products!$A:$E,4,FALSE()))/VLOOKUP(D1949,Products!$A:$E,5,FALSE()),"")</f>
        <v>0.47004405286343615</v>
      </c>
    </row>
    <row r="1950" spans="1:18" x14ac:dyDescent="0.3">
      <c r="A1950" s="22" t="s">
        <v>4384</v>
      </c>
      <c r="B1950" s="23">
        <v>45350</v>
      </c>
      <c r="C1950" s="22" t="s">
        <v>1281</v>
      </c>
      <c r="D1950" s="22" t="s">
        <v>153</v>
      </c>
      <c r="E1950" s="22" t="s">
        <v>4385</v>
      </c>
      <c r="F1950" s="24">
        <v>3</v>
      </c>
      <c r="G1950" s="24">
        <v>2640</v>
      </c>
      <c r="H1950" s="24">
        <v>28.2</v>
      </c>
      <c r="I1950" s="24">
        <v>5686.56</v>
      </c>
      <c r="J1950" s="22" t="s">
        <v>164</v>
      </c>
      <c r="K1950" s="22" t="s">
        <v>105</v>
      </c>
      <c r="L1950" t="str">
        <f>VLOOKUP(D1950,Products!A:F,3,FALSE())</f>
        <v>Electronics</v>
      </c>
      <c r="M1950" t="str">
        <f>VLOOKUP(C1950,Customers!A:F,5,FALSE())</f>
        <v>SMB</v>
      </c>
      <c r="O1950" t="str">
        <f>IFERROR(VLOOKUP(E1950,Sales_Reps!$A:$C,3,FALSE()),"")</f>
        <v/>
      </c>
      <c r="P1950">
        <f>IFERROR(VLOOKUP(C1950,Customers!$A:$C,3,FALSE()),"")</f>
        <v>59</v>
      </c>
      <c r="Q1950" t="str">
        <f t="shared" si="30"/>
        <v>Feb-24</v>
      </c>
      <c r="R1950">
        <f>IFERROR((VLOOKUP(D1950,Products!$A:$E,5,FALSE())-VLOOKUP(D1950,Products!$A:$E,4,FALSE()))/VLOOKUP(D1950,Products!$A:$E,5,FALSE()),"")</f>
        <v>0.56477272727272732</v>
      </c>
    </row>
    <row r="1951" spans="1:18" x14ac:dyDescent="0.3">
      <c r="A1951" s="22" t="s">
        <v>4386</v>
      </c>
      <c r="B1951" s="23">
        <v>45507</v>
      </c>
      <c r="C1951" s="22" t="s">
        <v>2015</v>
      </c>
      <c r="D1951" s="22" t="s">
        <v>153</v>
      </c>
      <c r="E1951" s="22" t="s">
        <v>4387</v>
      </c>
      <c r="F1951" s="24">
        <v>10</v>
      </c>
      <c r="G1951" s="24">
        <v>2640</v>
      </c>
      <c r="H1951" s="24">
        <v>25.9</v>
      </c>
      <c r="I1951" s="24">
        <v>19562.400000000001</v>
      </c>
      <c r="J1951" s="22" t="s">
        <v>104</v>
      </c>
      <c r="K1951" s="22" t="s">
        <v>105</v>
      </c>
      <c r="L1951" t="str">
        <f>VLOOKUP(D1951,Products!A:F,3,FALSE())</f>
        <v>Electronics</v>
      </c>
      <c r="M1951" t="str">
        <f>VLOOKUP(C1951,Customers!A:F,5,FALSE())</f>
        <v>Retail</v>
      </c>
      <c r="O1951" t="str">
        <f>IFERROR(VLOOKUP(E1951,Sales_Reps!$A:$C,3,FALSE()),"")</f>
        <v/>
      </c>
      <c r="P1951">
        <f>IFERROR(VLOOKUP(C1951,Customers!$A:$C,3,FALSE()),"")</f>
        <v>44</v>
      </c>
      <c r="Q1951" t="str">
        <f t="shared" si="30"/>
        <v>Aug-24</v>
      </c>
      <c r="R1951">
        <f>IFERROR((VLOOKUP(D1951,Products!$A:$E,5,FALSE())-VLOOKUP(D1951,Products!$A:$E,4,FALSE()))/VLOOKUP(D1951,Products!$A:$E,5,FALSE()),"")</f>
        <v>0.56477272727272732</v>
      </c>
    </row>
    <row r="1952" spans="1:18" x14ac:dyDescent="0.3">
      <c r="A1952" s="22" t="s">
        <v>4388</v>
      </c>
      <c r="B1952" s="23">
        <v>45538</v>
      </c>
      <c r="C1952" s="22" t="s">
        <v>1015</v>
      </c>
      <c r="D1952" s="22" t="s">
        <v>137</v>
      </c>
      <c r="E1952" s="22" t="s">
        <v>4389</v>
      </c>
      <c r="F1952" s="24">
        <v>2</v>
      </c>
      <c r="G1952" s="24">
        <v>1430</v>
      </c>
      <c r="H1952" s="24">
        <v>5</v>
      </c>
      <c r="I1952" s="24">
        <v>2717</v>
      </c>
      <c r="J1952" s="22" t="s">
        <v>159</v>
      </c>
      <c r="K1952" s="22" t="s">
        <v>116</v>
      </c>
      <c r="L1952" t="str">
        <f>VLOOKUP(D1952,Products!A:F,3,FALSE())</f>
        <v>Electronics</v>
      </c>
      <c r="M1952" t="str">
        <f>VLOOKUP(C1952,Customers!A:F,5,FALSE())</f>
        <v>Retail</v>
      </c>
      <c r="O1952" t="str">
        <f>IFERROR(VLOOKUP(E1952,Sales_Reps!$A:$C,3,FALSE()),"")</f>
        <v/>
      </c>
      <c r="P1952">
        <f>IFERROR(VLOOKUP(C1952,Customers!$A:$C,3,FALSE()),"")</f>
        <v>53</v>
      </c>
      <c r="Q1952" t="str">
        <f t="shared" si="30"/>
        <v>Sep-24</v>
      </c>
      <c r="R1952">
        <f>IFERROR((VLOOKUP(D1952,Products!$A:$E,5,FALSE())-VLOOKUP(D1952,Products!$A:$E,4,FALSE()))/VLOOKUP(D1952,Products!$A:$E,5,FALSE()),"")</f>
        <v>0.39790209790209791</v>
      </c>
    </row>
    <row r="1953" spans="1:18" x14ac:dyDescent="0.3">
      <c r="A1953" s="22" t="s">
        <v>4390</v>
      </c>
      <c r="B1953" s="23">
        <v>45618</v>
      </c>
      <c r="C1953" s="22" t="s">
        <v>573</v>
      </c>
      <c r="D1953" s="22" t="s">
        <v>216</v>
      </c>
      <c r="E1953" s="22" t="s">
        <v>4391</v>
      </c>
      <c r="F1953" s="24">
        <v>6</v>
      </c>
      <c r="G1953" s="24">
        <v>3570</v>
      </c>
      <c r="H1953" s="24">
        <v>28.5</v>
      </c>
      <c r="I1953" s="24">
        <v>15315.3</v>
      </c>
      <c r="J1953" s="22" t="s">
        <v>159</v>
      </c>
      <c r="K1953" s="22" t="s">
        <v>105</v>
      </c>
      <c r="L1953" t="str">
        <f>VLOOKUP(D1953,Products!A:F,3,FALSE())</f>
        <v>Electronics</v>
      </c>
      <c r="M1953" t="str">
        <f>VLOOKUP(C1953,Customers!A:F,5,FALSE())</f>
        <v>SMB</v>
      </c>
      <c r="O1953" t="str">
        <f>IFERROR(VLOOKUP(E1953,Sales_Reps!$A:$C,3,FALSE()),"")</f>
        <v/>
      </c>
      <c r="P1953">
        <f>IFERROR(VLOOKUP(C1953,Customers!$A:$C,3,FALSE()),"")</f>
        <v>30</v>
      </c>
      <c r="Q1953" t="str">
        <f t="shared" si="30"/>
        <v>Nov-24</v>
      </c>
      <c r="R1953">
        <f>IFERROR((VLOOKUP(D1953,Products!$A:$E,5,FALSE())-VLOOKUP(D1953,Products!$A:$E,4,FALSE()))/VLOOKUP(D1953,Products!$A:$E,5,FALSE()),"")</f>
        <v>0.53361344537815125</v>
      </c>
    </row>
    <row r="1954" spans="1:18" x14ac:dyDescent="0.3">
      <c r="A1954" s="22" t="s">
        <v>4392</v>
      </c>
      <c r="B1954" s="23">
        <v>45444</v>
      </c>
      <c r="C1954" s="22" t="s">
        <v>505</v>
      </c>
      <c r="D1954" s="22" t="s">
        <v>216</v>
      </c>
      <c r="E1954" s="22" t="s">
        <v>4393</v>
      </c>
      <c r="F1954" s="24">
        <v>1</v>
      </c>
      <c r="G1954" s="24">
        <v>3570</v>
      </c>
      <c r="H1954" s="24">
        <v>7.7</v>
      </c>
      <c r="I1954" s="24">
        <v>3295.11</v>
      </c>
      <c r="J1954" s="22" t="s">
        <v>104</v>
      </c>
      <c r="K1954" s="22" t="s">
        <v>116</v>
      </c>
      <c r="L1954" t="str">
        <f>VLOOKUP(D1954,Products!A:F,3,FALSE())</f>
        <v>Electronics</v>
      </c>
      <c r="M1954" t="str">
        <f>VLOOKUP(C1954,Customers!A:F,5,FALSE())</f>
        <v>Retail</v>
      </c>
      <c r="O1954" t="str">
        <f>IFERROR(VLOOKUP(E1954,Sales_Reps!$A:$C,3,FALSE()),"")</f>
        <v/>
      </c>
      <c r="P1954">
        <f>IFERROR(VLOOKUP(C1954,Customers!$A:$C,3,FALSE()),"")</f>
        <v>30</v>
      </c>
      <c r="Q1954" t="str">
        <f t="shared" si="30"/>
        <v>Jun-24</v>
      </c>
      <c r="R1954">
        <f>IFERROR((VLOOKUP(D1954,Products!$A:$E,5,FALSE())-VLOOKUP(D1954,Products!$A:$E,4,FALSE()))/VLOOKUP(D1954,Products!$A:$E,5,FALSE()),"")</f>
        <v>0.53361344537815125</v>
      </c>
    </row>
    <row r="1955" spans="1:18" x14ac:dyDescent="0.3">
      <c r="A1955" s="22" t="s">
        <v>4394</v>
      </c>
      <c r="B1955" s="23">
        <v>45377</v>
      </c>
      <c r="C1955" s="22" t="s">
        <v>2100</v>
      </c>
      <c r="D1955" s="22" t="s">
        <v>293</v>
      </c>
      <c r="E1955" s="22" t="s">
        <v>4395</v>
      </c>
      <c r="F1955" s="24">
        <v>9</v>
      </c>
      <c r="G1955" s="24">
        <v>3870</v>
      </c>
      <c r="H1955" s="24">
        <v>11.9</v>
      </c>
      <c r="I1955" s="24">
        <v>30685.23</v>
      </c>
      <c r="J1955" s="22" t="s">
        <v>159</v>
      </c>
      <c r="K1955" s="22" t="s">
        <v>111</v>
      </c>
      <c r="L1955" t="str">
        <f>VLOOKUP(D1955,Products!A:F,3,FALSE())</f>
        <v>Electronics</v>
      </c>
      <c r="M1955" t="str">
        <f>VLOOKUP(C1955,Customers!A:F,5,FALSE())</f>
        <v>SMB</v>
      </c>
      <c r="O1955" t="str">
        <f>IFERROR(VLOOKUP(E1955,Sales_Reps!$A:$C,3,FALSE()),"")</f>
        <v/>
      </c>
      <c r="P1955">
        <f>IFERROR(VLOOKUP(C1955,Customers!$A:$C,3,FALSE()),"")</f>
        <v>43</v>
      </c>
      <c r="Q1955" t="str">
        <f t="shared" si="30"/>
        <v>Mar-24</v>
      </c>
      <c r="R1955">
        <f>IFERROR((VLOOKUP(D1955,Products!$A:$E,5,FALSE())-VLOOKUP(D1955,Products!$A:$E,4,FALSE()))/VLOOKUP(D1955,Products!$A:$E,5,FALSE()),"")</f>
        <v>0.59715762273901807</v>
      </c>
    </row>
    <row r="1956" spans="1:18" x14ac:dyDescent="0.3">
      <c r="A1956" s="22" t="s">
        <v>4396</v>
      </c>
      <c r="B1956" s="23">
        <v>45515</v>
      </c>
      <c r="C1956" s="22" t="s">
        <v>1270</v>
      </c>
      <c r="D1956" s="22" t="s">
        <v>695</v>
      </c>
      <c r="E1956" s="22" t="s">
        <v>4397</v>
      </c>
      <c r="F1956" s="24">
        <v>5</v>
      </c>
      <c r="G1956" s="24">
        <v>6940</v>
      </c>
      <c r="H1956" s="24">
        <v>17.399999999999999</v>
      </c>
      <c r="I1956" s="24">
        <v>28662.2</v>
      </c>
      <c r="J1956" s="22" t="s">
        <v>104</v>
      </c>
      <c r="K1956" s="22" t="s">
        <v>111</v>
      </c>
      <c r="L1956" t="str">
        <f>VLOOKUP(D1956,Products!A:F,3,FALSE())</f>
        <v>Sports</v>
      </c>
      <c r="M1956" t="str">
        <f>VLOOKUP(C1956,Customers!A:F,5,FALSE())</f>
        <v>SMB</v>
      </c>
      <c r="O1956" t="str">
        <f>IFERROR(VLOOKUP(E1956,Sales_Reps!$A:$C,3,FALSE()),"")</f>
        <v/>
      </c>
      <c r="P1956">
        <f>IFERROR(VLOOKUP(C1956,Customers!$A:$C,3,FALSE()),"")</f>
        <v>26</v>
      </c>
      <c r="Q1956" t="str">
        <f t="shared" si="30"/>
        <v>Aug-24</v>
      </c>
      <c r="R1956">
        <f>IFERROR((VLOOKUP(D1956,Products!$A:$E,5,FALSE())-VLOOKUP(D1956,Products!$A:$E,4,FALSE()))/VLOOKUP(D1956,Products!$A:$E,5,FALSE()),"")</f>
        <v>0.5926512968299712</v>
      </c>
    </row>
    <row r="1957" spans="1:18" x14ac:dyDescent="0.3">
      <c r="A1957" s="22" t="s">
        <v>4398</v>
      </c>
      <c r="B1957" s="23">
        <v>45312</v>
      </c>
      <c r="C1957" s="22" t="s">
        <v>314</v>
      </c>
      <c r="D1957" s="22" t="s">
        <v>127</v>
      </c>
      <c r="E1957" s="22" t="s">
        <v>4399</v>
      </c>
      <c r="F1957" s="24">
        <v>6</v>
      </c>
      <c r="G1957" s="24">
        <v>370</v>
      </c>
      <c r="H1957" s="24">
        <v>8.1</v>
      </c>
      <c r="I1957" s="24">
        <v>2040.18</v>
      </c>
      <c r="J1957" s="22" t="s">
        <v>159</v>
      </c>
      <c r="K1957" s="22" t="s">
        <v>151</v>
      </c>
      <c r="L1957" t="str">
        <f>VLOOKUP(D1957,Products!A:F,3,FALSE())</f>
        <v>Home</v>
      </c>
      <c r="M1957" t="str">
        <f>VLOOKUP(C1957,Customers!A:F,5,FALSE())</f>
        <v>Retail</v>
      </c>
      <c r="O1957" t="str">
        <f>IFERROR(VLOOKUP(E1957,Sales_Reps!$A:$C,3,FALSE()),"")</f>
        <v/>
      </c>
      <c r="P1957">
        <f>IFERROR(VLOOKUP(C1957,Customers!$A:$C,3,FALSE()),"")</f>
        <v>53</v>
      </c>
      <c r="Q1957" t="str">
        <f t="shared" si="30"/>
        <v>Jan-24</v>
      </c>
      <c r="R1957">
        <f>IFERROR((VLOOKUP(D1957,Products!$A:$E,5,FALSE())-VLOOKUP(D1957,Products!$A:$E,4,FALSE()))/VLOOKUP(D1957,Products!$A:$E,5,FALSE()),"")</f>
        <v>0.22162162162162163</v>
      </c>
    </row>
    <row r="1958" spans="1:18" x14ac:dyDescent="0.3">
      <c r="A1958" s="22" t="s">
        <v>4400</v>
      </c>
      <c r="B1958" s="23">
        <v>45549</v>
      </c>
      <c r="C1958" s="22" t="s">
        <v>318</v>
      </c>
      <c r="D1958" s="22" t="s">
        <v>935</v>
      </c>
      <c r="E1958" s="22" t="s">
        <v>4401</v>
      </c>
      <c r="F1958" s="24">
        <v>8</v>
      </c>
      <c r="G1958" s="24">
        <v>3560</v>
      </c>
      <c r="H1958" s="24">
        <v>23.3</v>
      </c>
      <c r="I1958" s="24">
        <v>21844.16</v>
      </c>
      <c r="J1958" s="22" t="s">
        <v>104</v>
      </c>
      <c r="K1958" s="22" t="s">
        <v>116</v>
      </c>
      <c r="L1958" t="str">
        <f>VLOOKUP(D1958,Products!A:F,3,FALSE())</f>
        <v>Apparel</v>
      </c>
      <c r="M1958" t="str">
        <f>VLOOKUP(C1958,Customers!A:F,5,FALSE())</f>
        <v>Corporate</v>
      </c>
      <c r="O1958" t="str">
        <f>IFERROR(VLOOKUP(E1958,Sales_Reps!$A:$C,3,FALSE()),"")</f>
        <v/>
      </c>
      <c r="P1958">
        <f>IFERROR(VLOOKUP(C1958,Customers!$A:$C,3,FALSE()),"")</f>
        <v>55</v>
      </c>
      <c r="Q1958" t="str">
        <f t="shared" si="30"/>
        <v>Sep-24</v>
      </c>
      <c r="R1958">
        <f>IFERROR((VLOOKUP(D1958,Products!$A:$E,5,FALSE())-VLOOKUP(D1958,Products!$A:$E,4,FALSE()))/VLOOKUP(D1958,Products!$A:$E,5,FALSE()),"")</f>
        <v>0.26151685393258428</v>
      </c>
    </row>
    <row r="1959" spans="1:18" x14ac:dyDescent="0.3">
      <c r="A1959" s="22" t="s">
        <v>4402</v>
      </c>
      <c r="B1959" s="23">
        <v>45633</v>
      </c>
      <c r="C1959" s="22" t="s">
        <v>855</v>
      </c>
      <c r="D1959" s="22" t="s">
        <v>319</v>
      </c>
      <c r="E1959" s="22" t="s">
        <v>4403</v>
      </c>
      <c r="F1959" s="24">
        <v>4</v>
      </c>
      <c r="G1959" s="24">
        <v>1220</v>
      </c>
      <c r="H1959" s="24">
        <v>2.7</v>
      </c>
      <c r="I1959" s="24">
        <v>4748.24</v>
      </c>
      <c r="J1959" s="22" t="s">
        <v>104</v>
      </c>
      <c r="K1959" s="22" t="s">
        <v>129</v>
      </c>
      <c r="L1959" t="str">
        <f>VLOOKUP(D1959,Products!A:F,3,FALSE())</f>
        <v>Electronics</v>
      </c>
      <c r="M1959" t="str">
        <f>VLOOKUP(C1959,Customers!A:F,5,FALSE())</f>
        <v>Retail</v>
      </c>
      <c r="O1959" t="str">
        <f>IFERROR(VLOOKUP(E1959,Sales_Reps!$A:$C,3,FALSE()),"")</f>
        <v/>
      </c>
      <c r="P1959">
        <f>IFERROR(VLOOKUP(C1959,Customers!$A:$C,3,FALSE()),"")</f>
        <v>44</v>
      </c>
      <c r="Q1959" t="str">
        <f t="shared" si="30"/>
        <v>Dec-24</v>
      </c>
      <c r="R1959">
        <f>IFERROR((VLOOKUP(D1959,Products!$A:$E,5,FALSE())-VLOOKUP(D1959,Products!$A:$E,4,FALSE()))/VLOOKUP(D1959,Products!$A:$E,5,FALSE()),"")</f>
        <v>0.57622950819672136</v>
      </c>
    </row>
    <row r="1960" spans="1:18" x14ac:dyDescent="0.3">
      <c r="A1960" s="22" t="s">
        <v>4404</v>
      </c>
      <c r="B1960" s="23">
        <v>45598</v>
      </c>
      <c r="C1960" s="22" t="s">
        <v>1035</v>
      </c>
      <c r="D1960" s="22" t="s">
        <v>315</v>
      </c>
      <c r="E1960" s="22" t="s">
        <v>4405</v>
      </c>
      <c r="F1960" s="24">
        <v>10</v>
      </c>
      <c r="G1960" s="24">
        <v>4070</v>
      </c>
      <c r="H1960" s="24">
        <v>11.6</v>
      </c>
      <c r="I1960" s="24">
        <v>35978.800000000003</v>
      </c>
      <c r="J1960" s="22" t="s">
        <v>104</v>
      </c>
      <c r="K1960" s="22" t="s">
        <v>111</v>
      </c>
      <c r="L1960" t="str">
        <f>VLOOKUP(D1960,Products!A:F,3,FALSE())</f>
        <v>Grocery</v>
      </c>
      <c r="M1960" t="str">
        <f>VLOOKUP(C1960,Customers!A:F,5,FALSE())</f>
        <v>Retail</v>
      </c>
      <c r="O1960" t="str">
        <f>IFERROR(VLOOKUP(E1960,Sales_Reps!$A:$C,3,FALSE()),"")</f>
        <v/>
      </c>
      <c r="P1960">
        <f>IFERROR(VLOOKUP(C1960,Customers!$A:$C,3,FALSE()),"")</f>
        <v>24</v>
      </c>
      <c r="Q1960" t="str">
        <f t="shared" si="30"/>
        <v>Nov-24</v>
      </c>
      <c r="R1960">
        <f>IFERROR((VLOOKUP(D1960,Products!$A:$E,5,FALSE())-VLOOKUP(D1960,Products!$A:$E,4,FALSE()))/VLOOKUP(D1960,Products!$A:$E,5,FALSE()),"")</f>
        <v>0.50196560196560192</v>
      </c>
    </row>
    <row r="1961" spans="1:18" x14ac:dyDescent="0.3">
      <c r="A1961" s="22" t="s">
        <v>4406</v>
      </c>
      <c r="B1961" s="23">
        <v>45336</v>
      </c>
      <c r="C1961" s="22" t="s">
        <v>1175</v>
      </c>
      <c r="D1961" s="22" t="s">
        <v>119</v>
      </c>
      <c r="E1961" s="22" t="s">
        <v>4407</v>
      </c>
      <c r="F1961" s="24">
        <v>10</v>
      </c>
      <c r="G1961" s="24">
        <v>3660</v>
      </c>
      <c r="H1961" s="24">
        <v>28.8</v>
      </c>
      <c r="I1961" s="24">
        <v>26059.200000000001</v>
      </c>
      <c r="J1961" s="22" t="s">
        <v>104</v>
      </c>
      <c r="K1961" s="22" t="s">
        <v>116</v>
      </c>
      <c r="L1961" t="str">
        <f>VLOOKUP(D1961,Products!A:F,3,FALSE())</f>
        <v>Grocery</v>
      </c>
      <c r="M1961" t="str">
        <f>VLOOKUP(C1961,Customers!A:F,5,FALSE())</f>
        <v>Retail</v>
      </c>
      <c r="O1961" t="str">
        <f>IFERROR(VLOOKUP(E1961,Sales_Reps!$A:$C,3,FALSE()),"")</f>
        <v/>
      </c>
      <c r="P1961">
        <f>IFERROR(VLOOKUP(C1961,Customers!$A:$C,3,FALSE()),"")</f>
        <v>63</v>
      </c>
      <c r="Q1961" t="str">
        <f t="shared" si="30"/>
        <v>Feb-24</v>
      </c>
      <c r="R1961">
        <f>IFERROR((VLOOKUP(D1961,Products!$A:$E,5,FALSE())-VLOOKUP(D1961,Products!$A:$E,4,FALSE()))/VLOOKUP(D1961,Products!$A:$E,5,FALSE()),"")</f>
        <v>0.39508196721311473</v>
      </c>
    </row>
    <row r="1962" spans="1:18" x14ac:dyDescent="0.3">
      <c r="A1962" s="22" t="s">
        <v>4408</v>
      </c>
      <c r="B1962" s="23">
        <v>45449</v>
      </c>
      <c r="C1962" s="22" t="s">
        <v>858</v>
      </c>
      <c r="D1962" s="22" t="s">
        <v>577</v>
      </c>
      <c r="E1962" s="22" t="s">
        <v>4409</v>
      </c>
      <c r="F1962" s="24">
        <v>5</v>
      </c>
      <c r="G1962" s="24">
        <v>5080</v>
      </c>
      <c r="H1962" s="24">
        <v>12.1</v>
      </c>
      <c r="I1962" s="24">
        <v>22326.6</v>
      </c>
      <c r="J1962" s="22" t="s">
        <v>104</v>
      </c>
      <c r="K1962" s="22" t="s">
        <v>129</v>
      </c>
      <c r="L1962" t="str">
        <f>VLOOKUP(D1962,Products!A:F,3,FALSE())</f>
        <v>Home</v>
      </c>
      <c r="M1962" t="str">
        <f>VLOOKUP(C1962,Customers!A:F,5,FALSE())</f>
        <v>Retail</v>
      </c>
      <c r="O1962" t="str">
        <f>IFERROR(VLOOKUP(E1962,Sales_Reps!$A:$C,3,FALSE()),"")</f>
        <v/>
      </c>
      <c r="P1962">
        <f>IFERROR(VLOOKUP(C1962,Customers!$A:$C,3,FALSE()),"")</f>
        <v>53</v>
      </c>
      <c r="Q1962" t="str">
        <f t="shared" si="30"/>
        <v>Jun-24</v>
      </c>
      <c r="R1962">
        <f>IFERROR((VLOOKUP(D1962,Products!$A:$E,5,FALSE())-VLOOKUP(D1962,Products!$A:$E,4,FALSE()))/VLOOKUP(D1962,Products!$A:$E,5,FALSE()),"")</f>
        <v>0.51594488188976373</v>
      </c>
    </row>
    <row r="1963" spans="1:18" x14ac:dyDescent="0.3">
      <c r="A1963" s="22" t="s">
        <v>4410</v>
      </c>
      <c r="B1963" s="23">
        <v>45338</v>
      </c>
      <c r="C1963" s="22" t="s">
        <v>1175</v>
      </c>
      <c r="D1963" s="22" t="s">
        <v>323</v>
      </c>
      <c r="E1963" s="22" t="s">
        <v>4411</v>
      </c>
      <c r="F1963" s="24">
        <v>10</v>
      </c>
      <c r="G1963" s="24">
        <v>4610</v>
      </c>
      <c r="H1963" s="24">
        <v>22.5</v>
      </c>
      <c r="I1963" s="24">
        <v>35727.5</v>
      </c>
      <c r="J1963" s="22" t="s">
        <v>104</v>
      </c>
      <c r="K1963" s="22" t="s">
        <v>116</v>
      </c>
      <c r="L1963" t="str">
        <f>VLOOKUP(D1963,Products!A:F,3,FALSE())</f>
        <v>Home</v>
      </c>
      <c r="M1963" t="str">
        <f>VLOOKUP(C1963,Customers!A:F,5,FALSE())</f>
        <v>Retail</v>
      </c>
      <c r="O1963" t="str">
        <f>IFERROR(VLOOKUP(E1963,Sales_Reps!$A:$C,3,FALSE()),"")</f>
        <v/>
      </c>
      <c r="P1963">
        <f>IFERROR(VLOOKUP(C1963,Customers!$A:$C,3,FALSE()),"")</f>
        <v>63</v>
      </c>
      <c r="Q1963" t="str">
        <f t="shared" si="30"/>
        <v>Feb-24</v>
      </c>
      <c r="R1963">
        <f>IFERROR((VLOOKUP(D1963,Products!$A:$E,5,FALSE())-VLOOKUP(D1963,Products!$A:$E,4,FALSE()))/VLOOKUP(D1963,Products!$A:$E,5,FALSE()),"")</f>
        <v>0.59869848156182215</v>
      </c>
    </row>
    <row r="1964" spans="1:18" x14ac:dyDescent="0.3">
      <c r="A1964" s="22" t="s">
        <v>4412</v>
      </c>
      <c r="B1964" s="23">
        <v>45317</v>
      </c>
      <c r="C1964" s="22" t="s">
        <v>1144</v>
      </c>
      <c r="D1964" s="22" t="s">
        <v>334</v>
      </c>
      <c r="E1964" s="22" t="s">
        <v>4413</v>
      </c>
      <c r="F1964" s="24">
        <v>3</v>
      </c>
      <c r="G1964" s="24">
        <v>2660</v>
      </c>
      <c r="H1964" s="24">
        <v>15</v>
      </c>
      <c r="I1964" s="24">
        <v>6783</v>
      </c>
      <c r="J1964" s="22" t="s">
        <v>104</v>
      </c>
      <c r="K1964" s="22" t="s">
        <v>134</v>
      </c>
      <c r="L1964" t="str">
        <f>VLOOKUP(D1964,Products!A:F,3,FALSE())</f>
        <v>Electronics</v>
      </c>
      <c r="M1964" t="str">
        <f>VLOOKUP(C1964,Customers!A:F,5,FALSE())</f>
        <v>Retail</v>
      </c>
      <c r="O1964" t="str">
        <f>IFERROR(VLOOKUP(E1964,Sales_Reps!$A:$C,3,FALSE()),"")</f>
        <v/>
      </c>
      <c r="P1964">
        <f>IFERROR(VLOOKUP(C1964,Customers!$A:$C,3,FALSE()),"")</f>
        <v>27</v>
      </c>
      <c r="Q1964" t="str">
        <f t="shared" si="30"/>
        <v>Jan-24</v>
      </c>
      <c r="R1964">
        <f>IFERROR((VLOOKUP(D1964,Products!$A:$E,5,FALSE())-VLOOKUP(D1964,Products!$A:$E,4,FALSE()))/VLOOKUP(D1964,Products!$A:$E,5,FALSE()),"")</f>
        <v>0.52669172932330832</v>
      </c>
    </row>
    <row r="1965" spans="1:18" x14ac:dyDescent="0.3">
      <c r="A1965" s="22" t="s">
        <v>4414</v>
      </c>
      <c r="B1965" s="23">
        <v>45384</v>
      </c>
      <c r="C1965" s="22" t="s">
        <v>827</v>
      </c>
      <c r="D1965" s="22" t="s">
        <v>123</v>
      </c>
      <c r="E1965" s="22" t="s">
        <v>4415</v>
      </c>
      <c r="F1965" s="24">
        <v>5</v>
      </c>
      <c r="G1965" s="24">
        <v>3160</v>
      </c>
      <c r="H1965" s="24">
        <v>1.3</v>
      </c>
      <c r="I1965" s="24">
        <v>15594.6</v>
      </c>
      <c r="J1965" s="22" t="s">
        <v>104</v>
      </c>
      <c r="K1965" s="22" t="s">
        <v>116</v>
      </c>
      <c r="L1965" t="str">
        <f>VLOOKUP(D1965,Products!A:F,3,FALSE())</f>
        <v>Apparel</v>
      </c>
      <c r="M1965" t="str">
        <f>VLOOKUP(C1965,Customers!A:F,5,FALSE())</f>
        <v>SMB</v>
      </c>
      <c r="O1965" t="str">
        <f>IFERROR(VLOOKUP(E1965,Sales_Reps!$A:$C,3,FALSE()),"")</f>
        <v/>
      </c>
      <c r="P1965">
        <f>IFERROR(VLOOKUP(C1965,Customers!$A:$C,3,FALSE()),"")</f>
        <v>48</v>
      </c>
      <c r="Q1965" t="str">
        <f t="shared" si="30"/>
        <v>Apr-24</v>
      </c>
      <c r="R1965">
        <f>IFERROR((VLOOKUP(D1965,Products!$A:$E,5,FALSE())-VLOOKUP(D1965,Products!$A:$E,4,FALSE()))/VLOOKUP(D1965,Products!$A:$E,5,FALSE()),"")</f>
        <v>0.4031645569620253</v>
      </c>
    </row>
    <row r="1966" spans="1:18" x14ac:dyDescent="0.3">
      <c r="A1966" s="22" t="s">
        <v>4416</v>
      </c>
      <c r="B1966" s="23">
        <v>45325</v>
      </c>
      <c r="C1966" s="22" t="s">
        <v>979</v>
      </c>
      <c r="D1966" s="22" t="s">
        <v>127</v>
      </c>
      <c r="E1966" s="22" t="s">
        <v>4417</v>
      </c>
      <c r="F1966" s="24">
        <v>10</v>
      </c>
      <c r="G1966" s="24">
        <v>370</v>
      </c>
      <c r="H1966" s="24">
        <v>29</v>
      </c>
      <c r="I1966" s="24">
        <v>2627</v>
      </c>
      <c r="J1966" s="22" t="s">
        <v>104</v>
      </c>
      <c r="K1966" s="22" t="s">
        <v>116</v>
      </c>
      <c r="L1966" t="str">
        <f>VLOOKUP(D1966,Products!A:F,3,FALSE())</f>
        <v>Home</v>
      </c>
      <c r="M1966" t="str">
        <f>VLOOKUP(C1966,Customers!A:F,5,FALSE())</f>
        <v>Retail</v>
      </c>
      <c r="O1966" t="str">
        <f>IFERROR(VLOOKUP(E1966,Sales_Reps!$A:$C,3,FALSE()),"")</f>
        <v/>
      </c>
      <c r="P1966">
        <f>IFERROR(VLOOKUP(C1966,Customers!$A:$C,3,FALSE()),"")</f>
        <v>41</v>
      </c>
      <c r="Q1966" t="str">
        <f t="shared" si="30"/>
        <v>Feb-24</v>
      </c>
      <c r="R1966">
        <f>IFERROR((VLOOKUP(D1966,Products!$A:$E,5,FALSE())-VLOOKUP(D1966,Products!$A:$E,4,FALSE()))/VLOOKUP(D1966,Products!$A:$E,5,FALSE()),"")</f>
        <v>0.22162162162162163</v>
      </c>
    </row>
    <row r="1967" spans="1:18" x14ac:dyDescent="0.3">
      <c r="A1967" s="22" t="s">
        <v>4418</v>
      </c>
      <c r="B1967" s="23">
        <v>45358</v>
      </c>
      <c r="C1967" s="22" t="s">
        <v>1634</v>
      </c>
      <c r="D1967" s="22" t="s">
        <v>209</v>
      </c>
      <c r="E1967" s="22" t="s">
        <v>4419</v>
      </c>
      <c r="F1967" s="24">
        <v>10</v>
      </c>
      <c r="G1967" s="24">
        <v>1010</v>
      </c>
      <c r="H1967" s="24">
        <v>14.1</v>
      </c>
      <c r="I1967" s="24">
        <v>8675.9</v>
      </c>
      <c r="J1967" s="22" t="s">
        <v>164</v>
      </c>
      <c r="K1967" s="22" t="s">
        <v>129</v>
      </c>
      <c r="L1967" t="str">
        <f>VLOOKUP(D1967,Products!A:F,3,FALSE())</f>
        <v>Sports</v>
      </c>
      <c r="M1967" t="str">
        <f>VLOOKUP(C1967,Customers!A:F,5,FALSE())</f>
        <v>Retail</v>
      </c>
      <c r="O1967" t="str">
        <f>IFERROR(VLOOKUP(E1967,Sales_Reps!$A:$C,3,FALSE()),"")</f>
        <v/>
      </c>
      <c r="P1967">
        <f>IFERROR(VLOOKUP(C1967,Customers!$A:$C,3,FALSE()),"")</f>
        <v>54</v>
      </c>
      <c r="Q1967" t="str">
        <f t="shared" si="30"/>
        <v>Mar-24</v>
      </c>
      <c r="R1967">
        <f>IFERROR((VLOOKUP(D1967,Products!$A:$E,5,FALSE())-VLOOKUP(D1967,Products!$A:$E,4,FALSE()))/VLOOKUP(D1967,Products!$A:$E,5,FALSE()),"")</f>
        <v>0.4891089108910891</v>
      </c>
    </row>
    <row r="1968" spans="1:18" x14ac:dyDescent="0.3">
      <c r="A1968" s="22" t="s">
        <v>4420</v>
      </c>
      <c r="B1968" s="23">
        <v>45586</v>
      </c>
      <c r="C1968" s="22" t="s">
        <v>411</v>
      </c>
      <c r="D1968" s="22" t="s">
        <v>935</v>
      </c>
      <c r="E1968" s="22" t="s">
        <v>4421</v>
      </c>
      <c r="F1968" s="24">
        <v>3</v>
      </c>
      <c r="G1968" s="24">
        <v>3560</v>
      </c>
      <c r="H1968" s="24">
        <v>23.6</v>
      </c>
      <c r="I1968" s="24">
        <v>8159.52</v>
      </c>
      <c r="J1968" s="22" t="s">
        <v>104</v>
      </c>
      <c r="K1968" s="22" t="s">
        <v>151</v>
      </c>
      <c r="L1968" t="str">
        <f>VLOOKUP(D1968,Products!A:F,3,FALSE())</f>
        <v>Apparel</v>
      </c>
      <c r="M1968" t="str">
        <f>VLOOKUP(C1968,Customers!A:F,5,FALSE())</f>
        <v>SMB</v>
      </c>
      <c r="O1968" t="str">
        <f>IFERROR(VLOOKUP(E1968,Sales_Reps!$A:$C,3,FALSE()),"")</f>
        <v/>
      </c>
      <c r="P1968">
        <f>IFERROR(VLOOKUP(C1968,Customers!$A:$C,3,FALSE()),"")</f>
        <v>65</v>
      </c>
      <c r="Q1968" t="str">
        <f t="shared" si="30"/>
        <v>Oct-24</v>
      </c>
      <c r="R1968">
        <f>IFERROR((VLOOKUP(D1968,Products!$A:$E,5,FALSE())-VLOOKUP(D1968,Products!$A:$E,4,FALSE()))/VLOOKUP(D1968,Products!$A:$E,5,FALSE()),"")</f>
        <v>0.26151685393258428</v>
      </c>
    </row>
    <row r="1969" spans="1:18" x14ac:dyDescent="0.3">
      <c r="A1969" s="22" t="s">
        <v>4422</v>
      </c>
      <c r="B1969" s="23">
        <v>45340</v>
      </c>
      <c r="C1969" s="22" t="s">
        <v>398</v>
      </c>
      <c r="D1969" s="22" t="s">
        <v>319</v>
      </c>
      <c r="E1969" s="22" t="s">
        <v>4423</v>
      </c>
      <c r="F1969" s="24">
        <v>9</v>
      </c>
      <c r="G1969" s="24">
        <v>1220</v>
      </c>
      <c r="H1969" s="24">
        <v>16.600000000000001</v>
      </c>
      <c r="I1969" s="24">
        <v>9157.32</v>
      </c>
      <c r="J1969" s="22" t="s">
        <v>104</v>
      </c>
      <c r="K1969" s="22" t="s">
        <v>151</v>
      </c>
      <c r="L1969" t="str">
        <f>VLOOKUP(D1969,Products!A:F,3,FALSE())</f>
        <v>Electronics</v>
      </c>
      <c r="M1969" t="str">
        <f>VLOOKUP(C1969,Customers!A:F,5,FALSE())</f>
        <v>Retail</v>
      </c>
      <c r="O1969" t="str">
        <f>IFERROR(VLOOKUP(E1969,Sales_Reps!$A:$C,3,FALSE()),"")</f>
        <v/>
      </c>
      <c r="P1969">
        <f>IFERROR(VLOOKUP(C1969,Customers!$A:$C,3,FALSE()),"")</f>
        <v>28</v>
      </c>
      <c r="Q1969" t="str">
        <f t="shared" si="30"/>
        <v>Feb-24</v>
      </c>
      <c r="R1969">
        <f>IFERROR((VLOOKUP(D1969,Products!$A:$E,5,FALSE())-VLOOKUP(D1969,Products!$A:$E,4,FALSE()))/VLOOKUP(D1969,Products!$A:$E,5,FALSE()),"")</f>
        <v>0.57622950819672136</v>
      </c>
    </row>
    <row r="1970" spans="1:18" x14ac:dyDescent="0.3">
      <c r="A1970" s="22" t="s">
        <v>4424</v>
      </c>
      <c r="B1970" s="23">
        <v>45343</v>
      </c>
      <c r="C1970" s="22" t="s">
        <v>1979</v>
      </c>
      <c r="D1970" s="22" t="s">
        <v>167</v>
      </c>
      <c r="E1970" s="22" t="s">
        <v>4425</v>
      </c>
      <c r="F1970" s="24">
        <v>8</v>
      </c>
      <c r="G1970" s="24">
        <v>190</v>
      </c>
      <c r="H1970" s="24">
        <v>22.3</v>
      </c>
      <c r="I1970" s="24">
        <v>1181.04</v>
      </c>
      <c r="J1970" s="22" t="s">
        <v>104</v>
      </c>
      <c r="K1970" s="22" t="s">
        <v>105</v>
      </c>
      <c r="L1970" t="str">
        <f>VLOOKUP(D1970,Products!A:F,3,FALSE())</f>
        <v>Sports</v>
      </c>
      <c r="M1970" t="str">
        <f>VLOOKUP(C1970,Customers!A:F,5,FALSE())</f>
        <v>Retail</v>
      </c>
      <c r="O1970" t="str">
        <f>IFERROR(VLOOKUP(E1970,Sales_Reps!$A:$C,3,FALSE()),"")</f>
        <v/>
      </c>
      <c r="P1970">
        <f>IFERROR(VLOOKUP(C1970,Customers!$A:$C,3,FALSE()),"")</f>
        <v>42</v>
      </c>
      <c r="Q1970" t="str">
        <f t="shared" si="30"/>
        <v>Feb-24</v>
      </c>
      <c r="R1970">
        <f>IFERROR((VLOOKUP(D1970,Products!$A:$E,5,FALSE())-VLOOKUP(D1970,Products!$A:$E,4,FALSE()))/VLOOKUP(D1970,Products!$A:$E,5,FALSE()),"")</f>
        <v>0.22631578947368422</v>
      </c>
    </row>
    <row r="1971" spans="1:18" x14ac:dyDescent="0.3">
      <c r="A1971" s="22" t="s">
        <v>4426</v>
      </c>
      <c r="B1971" s="23">
        <v>45468</v>
      </c>
      <c r="C1971" s="22" t="s">
        <v>517</v>
      </c>
      <c r="D1971" s="22" t="s">
        <v>209</v>
      </c>
      <c r="E1971" s="22" t="s">
        <v>4427</v>
      </c>
      <c r="F1971" s="24">
        <v>2</v>
      </c>
      <c r="G1971" s="24">
        <v>1010</v>
      </c>
      <c r="H1971" s="24">
        <v>3.8</v>
      </c>
      <c r="I1971" s="24">
        <v>1943.24</v>
      </c>
      <c r="J1971" s="22" t="s">
        <v>104</v>
      </c>
      <c r="K1971" s="22" t="s">
        <v>111</v>
      </c>
      <c r="L1971" t="str">
        <f>VLOOKUP(D1971,Products!A:F,3,FALSE())</f>
        <v>Sports</v>
      </c>
      <c r="M1971" t="str">
        <f>VLOOKUP(C1971,Customers!A:F,5,FALSE())</f>
        <v>Corporate</v>
      </c>
      <c r="O1971" t="str">
        <f>IFERROR(VLOOKUP(E1971,Sales_Reps!$A:$C,3,FALSE()),"")</f>
        <v/>
      </c>
      <c r="P1971">
        <f>IFERROR(VLOOKUP(C1971,Customers!$A:$C,3,FALSE()),"")</f>
        <v>24</v>
      </c>
      <c r="Q1971" t="str">
        <f t="shared" si="30"/>
        <v>Jun-24</v>
      </c>
      <c r="R1971">
        <f>IFERROR((VLOOKUP(D1971,Products!$A:$E,5,FALSE())-VLOOKUP(D1971,Products!$A:$E,4,FALSE()))/VLOOKUP(D1971,Products!$A:$E,5,FALSE()),"")</f>
        <v>0.4891089108910891</v>
      </c>
    </row>
    <row r="1972" spans="1:18" x14ac:dyDescent="0.3">
      <c r="A1972" s="22" t="s">
        <v>4428</v>
      </c>
      <c r="B1972" s="23">
        <v>45439</v>
      </c>
      <c r="C1972" s="22" t="s">
        <v>1312</v>
      </c>
      <c r="D1972" s="22" t="s">
        <v>157</v>
      </c>
      <c r="E1972" s="22" t="s">
        <v>4429</v>
      </c>
      <c r="F1972" s="24">
        <v>4</v>
      </c>
      <c r="G1972" s="24">
        <v>2600</v>
      </c>
      <c r="H1972" s="24">
        <v>29.1</v>
      </c>
      <c r="I1972" s="24">
        <v>7373.6</v>
      </c>
      <c r="J1972" s="22" t="s">
        <v>104</v>
      </c>
      <c r="K1972" s="22" t="s">
        <v>129</v>
      </c>
      <c r="L1972" t="str">
        <f>VLOOKUP(D1972,Products!A:F,3,FALSE())</f>
        <v>Electronics</v>
      </c>
      <c r="M1972" t="str">
        <f>VLOOKUP(C1972,Customers!A:F,5,FALSE())</f>
        <v>Retail</v>
      </c>
      <c r="O1972" t="str">
        <f>IFERROR(VLOOKUP(E1972,Sales_Reps!$A:$C,3,FALSE()),"")</f>
        <v/>
      </c>
      <c r="P1972">
        <f>IFERROR(VLOOKUP(C1972,Customers!$A:$C,3,FALSE()),"")</f>
        <v>57</v>
      </c>
      <c r="Q1972" t="str">
        <f t="shared" si="30"/>
        <v>May-24</v>
      </c>
      <c r="R1972">
        <f>IFERROR((VLOOKUP(D1972,Products!$A:$E,5,FALSE())-VLOOKUP(D1972,Products!$A:$E,4,FALSE()))/VLOOKUP(D1972,Products!$A:$E,5,FALSE()),"")</f>
        <v>0.5953846153846154</v>
      </c>
    </row>
    <row r="1973" spans="1:18" x14ac:dyDescent="0.3">
      <c r="A1973" s="22" t="s">
        <v>4430</v>
      </c>
      <c r="B1973" s="23">
        <v>45517</v>
      </c>
      <c r="C1973" s="22" t="s">
        <v>979</v>
      </c>
      <c r="D1973" s="22" t="s">
        <v>591</v>
      </c>
      <c r="E1973" s="22" t="s">
        <v>4431</v>
      </c>
      <c r="F1973" s="24">
        <v>7</v>
      </c>
      <c r="G1973" s="24">
        <v>3450</v>
      </c>
      <c r="H1973" s="24">
        <v>4</v>
      </c>
      <c r="I1973" s="24">
        <v>23184</v>
      </c>
      <c r="J1973" s="22" t="s">
        <v>104</v>
      </c>
      <c r="K1973" s="22" t="s">
        <v>116</v>
      </c>
      <c r="L1973" t="str">
        <f>VLOOKUP(D1973,Products!A:F,3,FALSE())</f>
        <v>Apparel</v>
      </c>
      <c r="M1973" t="str">
        <f>VLOOKUP(C1973,Customers!A:F,5,FALSE())</f>
        <v>Retail</v>
      </c>
      <c r="O1973" t="str">
        <f>IFERROR(VLOOKUP(E1973,Sales_Reps!$A:$C,3,FALSE()),"")</f>
        <v/>
      </c>
      <c r="P1973">
        <f>IFERROR(VLOOKUP(C1973,Customers!$A:$C,3,FALSE()),"")</f>
        <v>41</v>
      </c>
      <c r="Q1973" t="str">
        <f t="shared" si="30"/>
        <v>Aug-24</v>
      </c>
      <c r="R1973">
        <f>IFERROR((VLOOKUP(D1973,Products!$A:$E,5,FALSE())-VLOOKUP(D1973,Products!$A:$E,4,FALSE()))/VLOOKUP(D1973,Products!$A:$E,5,FALSE()),"")</f>
        <v>0.49333333333333335</v>
      </c>
    </row>
    <row r="1974" spans="1:18" x14ac:dyDescent="0.3">
      <c r="A1974" s="22" t="s">
        <v>4432</v>
      </c>
      <c r="B1974" s="23">
        <v>45311</v>
      </c>
      <c r="C1974" s="22" t="s">
        <v>288</v>
      </c>
      <c r="D1974" s="22" t="s">
        <v>442</v>
      </c>
      <c r="E1974" s="22" t="s">
        <v>4433</v>
      </c>
      <c r="F1974" s="24">
        <v>6</v>
      </c>
      <c r="G1974" s="24">
        <v>2510</v>
      </c>
      <c r="H1974" s="24">
        <v>12.7</v>
      </c>
      <c r="I1974" s="24">
        <v>13147.38</v>
      </c>
      <c r="J1974" s="22" t="s">
        <v>104</v>
      </c>
      <c r="K1974" s="22" t="s">
        <v>111</v>
      </c>
      <c r="L1974" t="str">
        <f>VLOOKUP(D1974,Products!A:F,3,FALSE())</f>
        <v>Apparel</v>
      </c>
      <c r="M1974" t="str">
        <f>VLOOKUP(C1974,Customers!A:F,5,FALSE())</f>
        <v>Corporate</v>
      </c>
      <c r="O1974" t="str">
        <f>IFERROR(VLOOKUP(E1974,Sales_Reps!$A:$C,3,FALSE()),"")</f>
        <v/>
      </c>
      <c r="P1974">
        <f>IFERROR(VLOOKUP(C1974,Customers!$A:$C,3,FALSE()),"")</f>
        <v>52</v>
      </c>
      <c r="Q1974" t="str">
        <f t="shared" si="30"/>
        <v>Jan-24</v>
      </c>
      <c r="R1974">
        <f>IFERROR((VLOOKUP(D1974,Products!$A:$E,5,FALSE())-VLOOKUP(D1974,Products!$A:$E,4,FALSE()))/VLOOKUP(D1974,Products!$A:$E,5,FALSE()),"")</f>
        <v>0.57171314741035861</v>
      </c>
    </row>
    <row r="1975" spans="1:18" x14ac:dyDescent="0.3">
      <c r="A1975" s="22" t="s">
        <v>4434</v>
      </c>
      <c r="B1975" s="23">
        <v>45560</v>
      </c>
      <c r="C1975" s="22" t="s">
        <v>126</v>
      </c>
      <c r="D1975" s="22" t="s">
        <v>167</v>
      </c>
      <c r="E1975" s="22" t="s">
        <v>4435</v>
      </c>
      <c r="F1975" s="24">
        <v>6</v>
      </c>
      <c r="G1975" s="24">
        <v>190</v>
      </c>
      <c r="H1975" s="24">
        <v>20</v>
      </c>
      <c r="I1975" s="24">
        <v>912</v>
      </c>
      <c r="J1975" s="22" t="s">
        <v>159</v>
      </c>
      <c r="K1975" s="22" t="s">
        <v>129</v>
      </c>
      <c r="L1975" t="str">
        <f>VLOOKUP(D1975,Products!A:F,3,FALSE())</f>
        <v>Sports</v>
      </c>
      <c r="M1975" t="str">
        <f>VLOOKUP(C1975,Customers!A:F,5,FALSE())</f>
        <v>Retail</v>
      </c>
      <c r="O1975" t="str">
        <f>IFERROR(VLOOKUP(E1975,Sales_Reps!$A:$C,3,FALSE()),"")</f>
        <v/>
      </c>
      <c r="P1975">
        <f>IFERROR(VLOOKUP(C1975,Customers!$A:$C,3,FALSE()),"")</f>
        <v>36</v>
      </c>
      <c r="Q1975" t="str">
        <f t="shared" si="30"/>
        <v>Sep-24</v>
      </c>
      <c r="R1975">
        <f>IFERROR((VLOOKUP(D1975,Products!$A:$E,5,FALSE())-VLOOKUP(D1975,Products!$A:$E,4,FALSE()))/VLOOKUP(D1975,Products!$A:$E,5,FALSE()),"")</f>
        <v>0.22631578947368422</v>
      </c>
    </row>
    <row r="1976" spans="1:18" x14ac:dyDescent="0.3">
      <c r="A1976" s="22" t="s">
        <v>4436</v>
      </c>
      <c r="B1976" s="23">
        <v>45529</v>
      </c>
      <c r="C1976" s="22" t="s">
        <v>1979</v>
      </c>
      <c r="D1976" s="22" t="s">
        <v>201</v>
      </c>
      <c r="E1976" s="22" t="s">
        <v>4437</v>
      </c>
      <c r="F1976" s="24">
        <v>10</v>
      </c>
      <c r="G1976" s="24">
        <v>1650</v>
      </c>
      <c r="H1976" s="24">
        <v>21.5</v>
      </c>
      <c r="I1976" s="24">
        <v>12952.5</v>
      </c>
      <c r="J1976" s="22" t="s">
        <v>104</v>
      </c>
      <c r="K1976" s="22" t="s">
        <v>105</v>
      </c>
      <c r="L1976" t="str">
        <f>VLOOKUP(D1976,Products!A:F,3,FALSE())</f>
        <v>Beauty</v>
      </c>
      <c r="M1976" t="str">
        <f>VLOOKUP(C1976,Customers!A:F,5,FALSE())</f>
        <v>Retail</v>
      </c>
      <c r="O1976" t="str">
        <f>IFERROR(VLOOKUP(E1976,Sales_Reps!$A:$C,3,FALSE()),"")</f>
        <v/>
      </c>
      <c r="P1976">
        <f>IFERROR(VLOOKUP(C1976,Customers!$A:$C,3,FALSE()),"")</f>
        <v>42</v>
      </c>
      <c r="Q1976" t="str">
        <f t="shared" si="30"/>
        <v>Aug-24</v>
      </c>
      <c r="R1976">
        <f>IFERROR((VLOOKUP(D1976,Products!$A:$E,5,FALSE())-VLOOKUP(D1976,Products!$A:$E,4,FALSE()))/VLOOKUP(D1976,Products!$A:$E,5,FALSE()),"")</f>
        <v>0.2593939393939394</v>
      </c>
    </row>
    <row r="1977" spans="1:18" x14ac:dyDescent="0.3">
      <c r="A1977" s="22" t="s">
        <v>4438</v>
      </c>
      <c r="B1977" s="23">
        <v>45344</v>
      </c>
      <c r="C1977" s="22" t="s">
        <v>136</v>
      </c>
      <c r="D1977" s="22" t="s">
        <v>224</v>
      </c>
      <c r="E1977" s="22" t="s">
        <v>4439</v>
      </c>
      <c r="F1977" s="24">
        <v>4</v>
      </c>
      <c r="G1977" s="24">
        <v>2860</v>
      </c>
      <c r="H1977" s="24">
        <v>15.2</v>
      </c>
      <c r="I1977" s="24">
        <v>9701.1200000000008</v>
      </c>
      <c r="J1977" s="22" t="s">
        <v>104</v>
      </c>
      <c r="K1977" s="22" t="s">
        <v>134</v>
      </c>
      <c r="L1977" t="str">
        <f>VLOOKUP(D1977,Products!A:F,3,FALSE())</f>
        <v>Sports</v>
      </c>
      <c r="M1977" t="str">
        <f>VLOOKUP(C1977,Customers!A:F,5,FALSE())</f>
        <v>Corporate</v>
      </c>
      <c r="O1977" t="str">
        <f>IFERROR(VLOOKUP(E1977,Sales_Reps!$A:$C,3,FALSE()),"")</f>
        <v/>
      </c>
      <c r="P1977">
        <f>IFERROR(VLOOKUP(C1977,Customers!$A:$C,3,FALSE()),"")</f>
        <v>57</v>
      </c>
      <c r="Q1977" t="str">
        <f t="shared" si="30"/>
        <v>Feb-24</v>
      </c>
      <c r="R1977">
        <f>IFERROR((VLOOKUP(D1977,Products!$A:$E,5,FALSE())-VLOOKUP(D1977,Products!$A:$E,4,FALSE()))/VLOOKUP(D1977,Products!$A:$E,5,FALSE()),"")</f>
        <v>0.29090909090909089</v>
      </c>
    </row>
    <row r="1978" spans="1:18" x14ac:dyDescent="0.3">
      <c r="A1978" s="22" t="s">
        <v>4440</v>
      </c>
      <c r="B1978" s="23">
        <v>45589</v>
      </c>
      <c r="C1978" s="22" t="s">
        <v>1442</v>
      </c>
      <c r="D1978" s="22" t="s">
        <v>114</v>
      </c>
      <c r="E1978" s="22" t="s">
        <v>4441</v>
      </c>
      <c r="F1978" s="24">
        <v>3</v>
      </c>
      <c r="G1978" s="24">
        <v>470</v>
      </c>
      <c r="H1978" s="24">
        <v>14.2</v>
      </c>
      <c r="I1978" s="24">
        <v>1209.78</v>
      </c>
      <c r="J1978" s="22" t="s">
        <v>104</v>
      </c>
      <c r="K1978" s="22" t="s">
        <v>105</v>
      </c>
      <c r="L1978" t="str">
        <f>VLOOKUP(D1978,Products!A:F,3,FALSE())</f>
        <v>Sports</v>
      </c>
      <c r="M1978" t="str">
        <f>VLOOKUP(C1978,Customers!A:F,5,FALSE())</f>
        <v>Retail</v>
      </c>
      <c r="O1978" t="str">
        <f>IFERROR(VLOOKUP(E1978,Sales_Reps!$A:$C,3,FALSE()),"")</f>
        <v/>
      </c>
      <c r="P1978">
        <f>IFERROR(VLOOKUP(C1978,Customers!$A:$C,3,FALSE()),"")</f>
        <v>54</v>
      </c>
      <c r="Q1978" t="str">
        <f t="shared" si="30"/>
        <v>Oct-24</v>
      </c>
      <c r="R1978">
        <f>IFERROR((VLOOKUP(D1978,Products!$A:$E,5,FALSE())-VLOOKUP(D1978,Products!$A:$E,4,FALSE()))/VLOOKUP(D1978,Products!$A:$E,5,FALSE()),"")</f>
        <v>0.35744680851063831</v>
      </c>
    </row>
    <row r="1979" spans="1:18" x14ac:dyDescent="0.3">
      <c r="A1979" s="22" t="s">
        <v>4442</v>
      </c>
      <c r="B1979" s="23">
        <v>45469</v>
      </c>
      <c r="C1979" s="22" t="s">
        <v>1439</v>
      </c>
      <c r="D1979" s="22" t="s">
        <v>224</v>
      </c>
      <c r="E1979" s="22" t="s">
        <v>4443</v>
      </c>
      <c r="F1979" s="24">
        <v>2</v>
      </c>
      <c r="G1979" s="24">
        <v>2860</v>
      </c>
      <c r="H1979" s="24">
        <v>17.899999999999999</v>
      </c>
      <c r="I1979" s="24">
        <v>4696.12</v>
      </c>
      <c r="J1979" s="22" t="s">
        <v>104</v>
      </c>
      <c r="K1979" s="22" t="s">
        <v>151</v>
      </c>
      <c r="L1979" t="str">
        <f>VLOOKUP(D1979,Products!A:F,3,FALSE())</f>
        <v>Sports</v>
      </c>
      <c r="M1979" t="str">
        <f>VLOOKUP(C1979,Customers!A:F,5,FALSE())</f>
        <v>Corporate</v>
      </c>
      <c r="O1979" t="str">
        <f>IFERROR(VLOOKUP(E1979,Sales_Reps!$A:$C,3,FALSE()),"")</f>
        <v/>
      </c>
      <c r="P1979">
        <f>IFERROR(VLOOKUP(C1979,Customers!$A:$C,3,FALSE()),"")</f>
        <v>54</v>
      </c>
      <c r="Q1979" t="str">
        <f t="shared" si="30"/>
        <v>Jun-24</v>
      </c>
      <c r="R1979">
        <f>IFERROR((VLOOKUP(D1979,Products!$A:$E,5,FALSE())-VLOOKUP(D1979,Products!$A:$E,4,FALSE()))/VLOOKUP(D1979,Products!$A:$E,5,FALSE()),"")</f>
        <v>0.29090909090909089</v>
      </c>
    </row>
    <row r="1980" spans="1:18" x14ac:dyDescent="0.3">
      <c r="A1980" s="22" t="s">
        <v>4444</v>
      </c>
      <c r="B1980" s="23">
        <v>45407</v>
      </c>
      <c r="C1980" s="22" t="s">
        <v>2207</v>
      </c>
      <c r="D1980" s="22" t="s">
        <v>190</v>
      </c>
      <c r="E1980" s="22" t="s">
        <v>4445</v>
      </c>
      <c r="F1980" s="24">
        <v>2</v>
      </c>
      <c r="G1980" s="24">
        <v>2480</v>
      </c>
      <c r="H1980" s="24">
        <v>11.5</v>
      </c>
      <c r="I1980" s="24">
        <v>4389.6000000000004</v>
      </c>
      <c r="J1980" s="22" t="s">
        <v>159</v>
      </c>
      <c r="K1980" s="22" t="s">
        <v>129</v>
      </c>
      <c r="L1980" t="str">
        <f>VLOOKUP(D1980,Products!A:F,3,FALSE())</f>
        <v>Apparel</v>
      </c>
      <c r="M1980" t="str">
        <f>VLOOKUP(C1980,Customers!A:F,5,FALSE())</f>
        <v>Retail</v>
      </c>
      <c r="O1980" t="str">
        <f>IFERROR(VLOOKUP(E1980,Sales_Reps!$A:$C,3,FALSE()),"")</f>
        <v/>
      </c>
      <c r="P1980">
        <f>IFERROR(VLOOKUP(C1980,Customers!$A:$C,3,FALSE()),"")</f>
        <v>38</v>
      </c>
      <c r="Q1980" t="str">
        <f t="shared" si="30"/>
        <v>Apr-24</v>
      </c>
      <c r="R1980">
        <f>IFERROR((VLOOKUP(D1980,Products!$A:$E,5,FALSE())-VLOOKUP(D1980,Products!$A:$E,4,FALSE()))/VLOOKUP(D1980,Products!$A:$E,5,FALSE()),"")</f>
        <v>0.52701612903225803</v>
      </c>
    </row>
    <row r="1981" spans="1:18" x14ac:dyDescent="0.3">
      <c r="A1981" s="22" t="s">
        <v>4446</v>
      </c>
      <c r="B1981" s="23">
        <v>45635</v>
      </c>
      <c r="C1981" s="22" t="s">
        <v>1549</v>
      </c>
      <c r="D1981" s="22" t="s">
        <v>356</v>
      </c>
      <c r="E1981" s="22" t="s">
        <v>4447</v>
      </c>
      <c r="F1981" s="24">
        <v>10</v>
      </c>
      <c r="G1981" s="24">
        <v>2030</v>
      </c>
      <c r="H1981" s="24">
        <v>29.2</v>
      </c>
      <c r="I1981" s="24">
        <v>14372.4</v>
      </c>
      <c r="J1981" s="22" t="s">
        <v>104</v>
      </c>
      <c r="K1981" s="22" t="s">
        <v>134</v>
      </c>
      <c r="L1981" t="str">
        <f>VLOOKUP(D1981,Products!A:F,3,FALSE())</f>
        <v>Home</v>
      </c>
      <c r="M1981" t="str">
        <f>VLOOKUP(C1981,Customers!A:F,5,FALSE())</f>
        <v>SMB</v>
      </c>
      <c r="O1981" t="str">
        <f>IFERROR(VLOOKUP(E1981,Sales_Reps!$A:$C,3,FALSE()),"")</f>
        <v/>
      </c>
      <c r="P1981">
        <f>IFERROR(VLOOKUP(C1981,Customers!$A:$C,3,FALSE()),"")</f>
        <v>44</v>
      </c>
      <c r="Q1981" t="str">
        <f t="shared" si="30"/>
        <v>Dec-24</v>
      </c>
      <c r="R1981">
        <f>IFERROR((VLOOKUP(D1981,Products!$A:$E,5,FALSE())-VLOOKUP(D1981,Products!$A:$E,4,FALSE()))/VLOOKUP(D1981,Products!$A:$E,5,FALSE()),"")</f>
        <v>0.43694581280788175</v>
      </c>
    </row>
    <row r="1982" spans="1:18" x14ac:dyDescent="0.3">
      <c r="A1982" s="22" t="s">
        <v>4448</v>
      </c>
      <c r="B1982" s="23">
        <v>45489</v>
      </c>
      <c r="C1982" s="22" t="s">
        <v>223</v>
      </c>
      <c r="D1982" s="22" t="s">
        <v>178</v>
      </c>
      <c r="E1982" s="22" t="s">
        <v>4449</v>
      </c>
      <c r="F1982" s="24">
        <v>6</v>
      </c>
      <c r="G1982" s="24">
        <v>3450</v>
      </c>
      <c r="H1982" s="24">
        <v>3.5</v>
      </c>
      <c r="I1982" s="24">
        <v>19975.5</v>
      </c>
      <c r="J1982" s="22" t="s">
        <v>164</v>
      </c>
      <c r="K1982" s="22" t="s">
        <v>105</v>
      </c>
      <c r="L1982" t="str">
        <f>VLOOKUP(D1982,Products!A:F,3,FALSE())</f>
        <v>Beauty</v>
      </c>
      <c r="M1982" t="str">
        <f>VLOOKUP(C1982,Customers!A:F,5,FALSE())</f>
        <v>SMB</v>
      </c>
      <c r="O1982" t="str">
        <f>IFERROR(VLOOKUP(E1982,Sales_Reps!$A:$C,3,FALSE()),"")</f>
        <v/>
      </c>
      <c r="P1982">
        <f>IFERROR(VLOOKUP(C1982,Customers!$A:$C,3,FALSE()),"")</f>
        <v>44</v>
      </c>
      <c r="Q1982" t="str">
        <f t="shared" si="30"/>
        <v>Jul-24</v>
      </c>
      <c r="R1982">
        <f>IFERROR((VLOOKUP(D1982,Products!$A:$E,5,FALSE())-VLOOKUP(D1982,Products!$A:$E,4,FALSE()))/VLOOKUP(D1982,Products!$A:$E,5,FALSE()),"")</f>
        <v>0.29855072463768118</v>
      </c>
    </row>
    <row r="1983" spans="1:18" x14ac:dyDescent="0.3">
      <c r="A1983" s="22" t="s">
        <v>4450</v>
      </c>
      <c r="B1983" s="23">
        <v>45356</v>
      </c>
      <c r="C1983" s="22" t="s">
        <v>838</v>
      </c>
      <c r="D1983" s="22" t="s">
        <v>137</v>
      </c>
      <c r="E1983" s="22" t="s">
        <v>4451</v>
      </c>
      <c r="F1983" s="24">
        <v>10</v>
      </c>
      <c r="G1983" s="24">
        <v>1430</v>
      </c>
      <c r="H1983" s="24">
        <v>3.5</v>
      </c>
      <c r="I1983" s="24">
        <v>13799.5</v>
      </c>
      <c r="J1983" s="22" t="s">
        <v>104</v>
      </c>
      <c r="K1983" s="22" t="s">
        <v>111</v>
      </c>
      <c r="L1983" t="str">
        <f>VLOOKUP(D1983,Products!A:F,3,FALSE())</f>
        <v>Electronics</v>
      </c>
      <c r="M1983" t="str">
        <f>VLOOKUP(C1983,Customers!A:F,5,FALSE())</f>
        <v>Retail</v>
      </c>
      <c r="O1983" t="str">
        <f>IFERROR(VLOOKUP(E1983,Sales_Reps!$A:$C,3,FALSE()),"")</f>
        <v/>
      </c>
      <c r="P1983">
        <f>IFERROR(VLOOKUP(C1983,Customers!$A:$C,3,FALSE()),"")</f>
        <v>61</v>
      </c>
      <c r="Q1983" t="str">
        <f t="shared" si="30"/>
        <v>Mar-24</v>
      </c>
      <c r="R1983">
        <f>IFERROR((VLOOKUP(D1983,Products!$A:$E,5,FALSE())-VLOOKUP(D1983,Products!$A:$E,4,FALSE()))/VLOOKUP(D1983,Products!$A:$E,5,FALSE()),"")</f>
        <v>0.39790209790209791</v>
      </c>
    </row>
    <row r="1984" spans="1:18" x14ac:dyDescent="0.3">
      <c r="A1984" s="22" t="s">
        <v>4452</v>
      </c>
      <c r="B1984" s="23">
        <v>45422</v>
      </c>
      <c r="C1984" s="22" t="s">
        <v>810</v>
      </c>
      <c r="D1984" s="22" t="s">
        <v>108</v>
      </c>
      <c r="E1984" s="22" t="s">
        <v>4453</v>
      </c>
      <c r="F1984" s="24">
        <v>1</v>
      </c>
      <c r="G1984" s="24">
        <v>820</v>
      </c>
      <c r="H1984" s="24">
        <v>14.5</v>
      </c>
      <c r="I1984" s="24">
        <v>701.1</v>
      </c>
      <c r="J1984" s="22" t="s">
        <v>159</v>
      </c>
      <c r="K1984" s="22" t="s">
        <v>111</v>
      </c>
      <c r="L1984" t="str">
        <f>VLOOKUP(D1984,Products!A:F,3,FALSE())</f>
        <v>Apparel</v>
      </c>
      <c r="M1984" t="str">
        <f>VLOOKUP(C1984,Customers!A:F,5,FALSE())</f>
        <v>Retail</v>
      </c>
      <c r="O1984" t="str">
        <f>IFERROR(VLOOKUP(E1984,Sales_Reps!$A:$C,3,FALSE()),"")</f>
        <v/>
      </c>
      <c r="P1984">
        <f>IFERROR(VLOOKUP(C1984,Customers!$A:$C,3,FALSE()),"")</f>
        <v>26</v>
      </c>
      <c r="Q1984" t="str">
        <f t="shared" si="30"/>
        <v>May-24</v>
      </c>
      <c r="R1984">
        <f>IFERROR((VLOOKUP(D1984,Products!$A:$E,5,FALSE())-VLOOKUP(D1984,Products!$A:$E,4,FALSE()))/VLOOKUP(D1984,Products!$A:$E,5,FALSE()),"")</f>
        <v>0.52317073170731709</v>
      </c>
    </row>
    <row r="1985" spans="1:18" x14ac:dyDescent="0.3">
      <c r="A1985" s="22" t="s">
        <v>4454</v>
      </c>
      <c r="B1985" s="23">
        <v>45333</v>
      </c>
      <c r="C1985" s="22" t="s">
        <v>1609</v>
      </c>
      <c r="D1985" s="22" t="s">
        <v>212</v>
      </c>
      <c r="E1985" s="22" t="s">
        <v>4455</v>
      </c>
      <c r="F1985" s="24">
        <v>5</v>
      </c>
      <c r="G1985" s="24">
        <v>4880</v>
      </c>
      <c r="H1985" s="24">
        <v>1.8</v>
      </c>
      <c r="I1985" s="24">
        <v>23960.799999999999</v>
      </c>
      <c r="J1985" s="22" t="s">
        <v>104</v>
      </c>
      <c r="K1985" s="22" t="s">
        <v>134</v>
      </c>
      <c r="L1985" t="str">
        <f>VLOOKUP(D1985,Products!A:F,3,FALSE())</f>
        <v>Beauty</v>
      </c>
      <c r="M1985" t="str">
        <f>VLOOKUP(C1985,Customers!A:F,5,FALSE())</f>
        <v>Corporate</v>
      </c>
      <c r="O1985" t="str">
        <f>IFERROR(VLOOKUP(E1985,Sales_Reps!$A:$C,3,FALSE()),"")</f>
        <v/>
      </c>
      <c r="P1985">
        <f>IFERROR(VLOOKUP(C1985,Customers!$A:$C,3,FALSE()),"")</f>
        <v>55</v>
      </c>
      <c r="Q1985" t="str">
        <f t="shared" si="30"/>
        <v>Feb-24</v>
      </c>
      <c r="R1985">
        <f>IFERROR((VLOOKUP(D1985,Products!$A:$E,5,FALSE())-VLOOKUP(D1985,Products!$A:$E,4,FALSE()))/VLOOKUP(D1985,Products!$A:$E,5,FALSE()),"")</f>
        <v>0.43278688524590164</v>
      </c>
    </row>
    <row r="1986" spans="1:18" x14ac:dyDescent="0.3">
      <c r="A1986" s="22" t="s">
        <v>4456</v>
      </c>
      <c r="B1986" s="23">
        <v>45385</v>
      </c>
      <c r="C1986" s="22" t="s">
        <v>126</v>
      </c>
      <c r="D1986" s="22" t="s">
        <v>205</v>
      </c>
      <c r="E1986" s="22" t="s">
        <v>4457</v>
      </c>
      <c r="F1986" s="24">
        <v>8</v>
      </c>
      <c r="G1986" s="24">
        <v>3350</v>
      </c>
      <c r="H1986" s="24">
        <v>26.3</v>
      </c>
      <c r="I1986" s="24">
        <v>19751.599999999999</v>
      </c>
      <c r="J1986" s="22" t="s">
        <v>159</v>
      </c>
      <c r="K1986" s="22" t="s">
        <v>129</v>
      </c>
      <c r="L1986" t="str">
        <f>VLOOKUP(D1986,Products!A:F,3,FALSE())</f>
        <v>Beauty</v>
      </c>
      <c r="M1986" t="str">
        <f>VLOOKUP(C1986,Customers!A:F,5,FALSE())</f>
        <v>Retail</v>
      </c>
      <c r="O1986" t="str">
        <f>IFERROR(VLOOKUP(E1986,Sales_Reps!$A:$C,3,FALSE()),"")</f>
        <v/>
      </c>
      <c r="P1986">
        <f>IFERROR(VLOOKUP(C1986,Customers!$A:$C,3,FALSE()),"")</f>
        <v>36</v>
      </c>
      <c r="Q1986" t="str">
        <f t="shared" ref="Q1986:Q2001" si="31">TEXT(B1986,"mmm-yy")</f>
        <v>Apr-24</v>
      </c>
      <c r="R1986">
        <f>IFERROR((VLOOKUP(D1986,Products!$A:$E,5,FALSE())-VLOOKUP(D1986,Products!$A:$E,4,FALSE()))/VLOOKUP(D1986,Products!$A:$E,5,FALSE()),"")</f>
        <v>0.48417910447761192</v>
      </c>
    </row>
    <row r="1987" spans="1:18" x14ac:dyDescent="0.3">
      <c r="A1987" s="22" t="s">
        <v>4458</v>
      </c>
      <c r="B1987" s="23">
        <v>45298</v>
      </c>
      <c r="C1987" s="22" t="s">
        <v>189</v>
      </c>
      <c r="D1987" s="22" t="s">
        <v>190</v>
      </c>
      <c r="E1987" s="22" t="s">
        <v>4459</v>
      </c>
      <c r="F1987" s="24">
        <v>9</v>
      </c>
      <c r="G1987" s="24">
        <v>2480</v>
      </c>
      <c r="H1987" s="24">
        <v>24.3</v>
      </c>
      <c r="I1987" s="24">
        <v>16896.240000000002</v>
      </c>
      <c r="J1987" s="22" t="s">
        <v>104</v>
      </c>
      <c r="K1987" s="22" t="s">
        <v>151</v>
      </c>
      <c r="L1987" t="str">
        <f>VLOOKUP(D1987,Products!A:F,3,FALSE())</f>
        <v>Apparel</v>
      </c>
      <c r="M1987" t="str">
        <f>VLOOKUP(C1987,Customers!A:F,5,FALSE())</f>
        <v>Retail</v>
      </c>
      <c r="O1987" t="str">
        <f>IFERROR(VLOOKUP(E1987,Sales_Reps!$A:$C,3,FALSE()),"")</f>
        <v/>
      </c>
      <c r="P1987">
        <f>IFERROR(VLOOKUP(C1987,Customers!$A:$C,3,FALSE()),"")</f>
        <v>32</v>
      </c>
      <c r="Q1987" t="str">
        <f t="shared" si="31"/>
        <v>Jan-24</v>
      </c>
      <c r="R1987">
        <f>IFERROR((VLOOKUP(D1987,Products!$A:$E,5,FALSE())-VLOOKUP(D1987,Products!$A:$E,4,FALSE()))/VLOOKUP(D1987,Products!$A:$E,5,FALSE()),"")</f>
        <v>0.52701612903225803</v>
      </c>
    </row>
    <row r="1988" spans="1:18" x14ac:dyDescent="0.3">
      <c r="A1988" s="22" t="s">
        <v>4460</v>
      </c>
      <c r="B1988" s="23">
        <v>45500</v>
      </c>
      <c r="C1988" s="22" t="s">
        <v>271</v>
      </c>
      <c r="D1988" s="22" t="s">
        <v>323</v>
      </c>
      <c r="E1988" s="22" t="s">
        <v>4461</v>
      </c>
      <c r="F1988" s="24">
        <v>9</v>
      </c>
      <c r="G1988" s="24">
        <v>4610</v>
      </c>
      <c r="H1988" s="24">
        <v>10</v>
      </c>
      <c r="I1988" s="24">
        <v>37341</v>
      </c>
      <c r="J1988" s="22" t="s">
        <v>104</v>
      </c>
      <c r="K1988" s="22" t="s">
        <v>134</v>
      </c>
      <c r="L1988" t="str">
        <f>VLOOKUP(D1988,Products!A:F,3,FALSE())</f>
        <v>Home</v>
      </c>
      <c r="M1988" t="str">
        <f>VLOOKUP(C1988,Customers!A:F,5,FALSE())</f>
        <v>SMB</v>
      </c>
      <c r="O1988" t="str">
        <f>IFERROR(VLOOKUP(E1988,Sales_Reps!$A:$C,3,FALSE()),"")</f>
        <v/>
      </c>
      <c r="P1988">
        <f>IFERROR(VLOOKUP(C1988,Customers!$A:$C,3,FALSE()),"")</f>
        <v>64</v>
      </c>
      <c r="Q1988" t="str">
        <f t="shared" si="31"/>
        <v>Jul-24</v>
      </c>
      <c r="R1988">
        <f>IFERROR((VLOOKUP(D1988,Products!$A:$E,5,FALSE())-VLOOKUP(D1988,Products!$A:$E,4,FALSE()))/VLOOKUP(D1988,Products!$A:$E,5,FALSE()),"")</f>
        <v>0.59869848156182215</v>
      </c>
    </row>
    <row r="1989" spans="1:18" x14ac:dyDescent="0.3">
      <c r="A1989" s="22" t="s">
        <v>4462</v>
      </c>
      <c r="B1989" s="23">
        <v>45409</v>
      </c>
      <c r="C1989" s="22" t="s">
        <v>1634</v>
      </c>
      <c r="D1989" s="22" t="s">
        <v>275</v>
      </c>
      <c r="E1989" s="22" t="s">
        <v>4463</v>
      </c>
      <c r="F1989" s="24">
        <v>1</v>
      </c>
      <c r="G1989" s="24">
        <v>3780</v>
      </c>
      <c r="H1989" s="24">
        <v>2.2000000000000002</v>
      </c>
      <c r="I1989" s="24">
        <v>3696.84</v>
      </c>
      <c r="J1989" s="22" t="s">
        <v>104</v>
      </c>
      <c r="K1989" s="22" t="s">
        <v>129</v>
      </c>
      <c r="L1989" t="str">
        <f>VLOOKUP(D1989,Products!A:F,3,FALSE())</f>
        <v>Grocery</v>
      </c>
      <c r="M1989" t="str">
        <f>VLOOKUP(C1989,Customers!A:F,5,FALSE())</f>
        <v>Retail</v>
      </c>
      <c r="O1989" t="str">
        <f>IFERROR(VLOOKUP(E1989,Sales_Reps!$A:$C,3,FALSE()),"")</f>
        <v/>
      </c>
      <c r="P1989">
        <f>IFERROR(VLOOKUP(C1989,Customers!$A:$C,3,FALSE()),"")</f>
        <v>54</v>
      </c>
      <c r="Q1989" t="str">
        <f t="shared" si="31"/>
        <v>Apr-24</v>
      </c>
      <c r="R1989">
        <f>IFERROR((VLOOKUP(D1989,Products!$A:$E,5,FALSE())-VLOOKUP(D1989,Products!$A:$E,4,FALSE()))/VLOOKUP(D1989,Products!$A:$E,5,FALSE()),"")</f>
        <v>0.35555555555555557</v>
      </c>
    </row>
    <row r="1990" spans="1:18" x14ac:dyDescent="0.3">
      <c r="A1990" s="22" t="s">
        <v>4464</v>
      </c>
      <c r="B1990" s="23">
        <v>45401</v>
      </c>
      <c r="C1990" s="22" t="s">
        <v>1015</v>
      </c>
      <c r="D1990" s="22" t="s">
        <v>330</v>
      </c>
      <c r="E1990" s="22" t="s">
        <v>4465</v>
      </c>
      <c r="F1990" s="24">
        <v>3</v>
      </c>
      <c r="G1990" s="24">
        <v>3020</v>
      </c>
      <c r="H1990" s="24">
        <v>21.4</v>
      </c>
      <c r="I1990" s="24">
        <v>7121.16</v>
      </c>
      <c r="J1990" s="22" t="s">
        <v>159</v>
      </c>
      <c r="K1990" s="22" t="s">
        <v>116</v>
      </c>
      <c r="L1990" t="str">
        <f>VLOOKUP(D1990,Products!A:F,3,FALSE())</f>
        <v>Beauty</v>
      </c>
      <c r="M1990" t="str">
        <f>VLOOKUP(C1990,Customers!A:F,5,FALSE())</f>
        <v>Retail</v>
      </c>
      <c r="O1990" t="str">
        <f>IFERROR(VLOOKUP(E1990,Sales_Reps!$A:$C,3,FALSE()),"")</f>
        <v/>
      </c>
      <c r="P1990">
        <f>IFERROR(VLOOKUP(C1990,Customers!$A:$C,3,FALSE()),"")</f>
        <v>53</v>
      </c>
      <c r="Q1990" t="str">
        <f t="shared" si="31"/>
        <v>Apr-24</v>
      </c>
      <c r="R1990">
        <f>IFERROR((VLOOKUP(D1990,Products!$A:$E,5,FALSE())-VLOOKUP(D1990,Products!$A:$E,4,FALSE()))/VLOOKUP(D1990,Products!$A:$E,5,FALSE()),"")</f>
        <v>0.46158940397350995</v>
      </c>
    </row>
    <row r="1991" spans="1:18" x14ac:dyDescent="0.3">
      <c r="A1991" s="22" t="s">
        <v>4466</v>
      </c>
      <c r="B1991" s="23">
        <v>45645</v>
      </c>
      <c r="C1991" s="22" t="s">
        <v>189</v>
      </c>
      <c r="D1991" s="22" t="s">
        <v>674</v>
      </c>
      <c r="E1991" s="22" t="s">
        <v>4467</v>
      </c>
      <c r="F1991" s="24">
        <v>10</v>
      </c>
      <c r="G1991" s="24">
        <v>1090</v>
      </c>
      <c r="H1991" s="24">
        <v>29.2</v>
      </c>
      <c r="I1991" s="24">
        <v>7717.2</v>
      </c>
      <c r="J1991" s="22" t="s">
        <v>159</v>
      </c>
      <c r="K1991" s="22" t="s">
        <v>151</v>
      </c>
      <c r="L1991" t="str">
        <f>VLOOKUP(D1991,Products!A:F,3,FALSE())</f>
        <v>Home</v>
      </c>
      <c r="M1991" t="str">
        <f>VLOOKUP(C1991,Customers!A:F,5,FALSE())</f>
        <v>Retail</v>
      </c>
      <c r="O1991" t="str">
        <f>IFERROR(VLOOKUP(E1991,Sales_Reps!$A:$C,3,FALSE()),"")</f>
        <v/>
      </c>
      <c r="P1991">
        <f>IFERROR(VLOOKUP(C1991,Customers!$A:$C,3,FALSE()),"")</f>
        <v>32</v>
      </c>
      <c r="Q1991" t="str">
        <f t="shared" si="31"/>
        <v>Dec-24</v>
      </c>
      <c r="R1991">
        <f>IFERROR((VLOOKUP(D1991,Products!$A:$E,5,FALSE())-VLOOKUP(D1991,Products!$A:$E,4,FALSE()))/VLOOKUP(D1991,Products!$A:$E,5,FALSE()),"")</f>
        <v>0.57431192660550456</v>
      </c>
    </row>
    <row r="1992" spans="1:18" x14ac:dyDescent="0.3">
      <c r="A1992" s="22" t="s">
        <v>4468</v>
      </c>
      <c r="B1992" s="23">
        <v>45616</v>
      </c>
      <c r="C1992" s="22" t="s">
        <v>1734</v>
      </c>
      <c r="D1992" s="22" t="s">
        <v>220</v>
      </c>
      <c r="E1992" s="22" t="s">
        <v>4469</v>
      </c>
      <c r="F1992" s="24">
        <v>5</v>
      </c>
      <c r="G1992" s="24">
        <v>5100</v>
      </c>
      <c r="H1992" s="24">
        <v>28.4</v>
      </c>
      <c r="I1992" s="24">
        <v>18258</v>
      </c>
      <c r="J1992" s="22" t="s">
        <v>104</v>
      </c>
      <c r="K1992" s="22" t="s">
        <v>134</v>
      </c>
      <c r="L1992" t="str">
        <f>VLOOKUP(D1992,Products!A:F,3,FALSE())</f>
        <v>Beauty</v>
      </c>
      <c r="M1992" t="str">
        <f>VLOOKUP(C1992,Customers!A:F,5,FALSE())</f>
        <v>Corporate</v>
      </c>
      <c r="O1992" t="str">
        <f>IFERROR(VLOOKUP(E1992,Sales_Reps!$A:$C,3,FALSE()),"")</f>
        <v/>
      </c>
      <c r="P1992">
        <f>IFERROR(VLOOKUP(C1992,Customers!$A:$C,3,FALSE()),"")</f>
        <v>31</v>
      </c>
      <c r="Q1992" t="str">
        <f t="shared" si="31"/>
        <v>Nov-24</v>
      </c>
      <c r="R1992">
        <f>IFERROR((VLOOKUP(D1992,Products!$A:$E,5,FALSE())-VLOOKUP(D1992,Products!$A:$E,4,FALSE()))/VLOOKUP(D1992,Products!$A:$E,5,FALSE()),"")</f>
        <v>0.56137254901960787</v>
      </c>
    </row>
    <row r="1993" spans="1:18" x14ac:dyDescent="0.3">
      <c r="A1993" s="22" t="s">
        <v>4470</v>
      </c>
      <c r="B1993" s="23">
        <v>45352</v>
      </c>
      <c r="C1993" s="22" t="s">
        <v>805</v>
      </c>
      <c r="D1993" s="22" t="s">
        <v>212</v>
      </c>
      <c r="E1993" s="22" t="s">
        <v>4471</v>
      </c>
      <c r="F1993" s="24">
        <v>6</v>
      </c>
      <c r="G1993" s="24">
        <v>4880</v>
      </c>
      <c r="H1993" s="24">
        <v>16.8</v>
      </c>
      <c r="I1993" s="24">
        <v>24360.959999999999</v>
      </c>
      <c r="J1993" s="22" t="s">
        <v>104</v>
      </c>
      <c r="K1993" s="22" t="s">
        <v>111</v>
      </c>
      <c r="L1993" t="str">
        <f>VLOOKUP(D1993,Products!A:F,3,FALSE())</f>
        <v>Beauty</v>
      </c>
      <c r="M1993" t="str">
        <f>VLOOKUP(C1993,Customers!A:F,5,FALSE())</f>
        <v>SMB</v>
      </c>
      <c r="O1993" t="str">
        <f>IFERROR(VLOOKUP(E1993,Sales_Reps!$A:$C,3,FALSE()),"")</f>
        <v/>
      </c>
      <c r="P1993">
        <f>IFERROR(VLOOKUP(C1993,Customers!$A:$C,3,FALSE()),"")</f>
        <v>59</v>
      </c>
      <c r="Q1993" t="str">
        <f t="shared" si="31"/>
        <v>Mar-24</v>
      </c>
      <c r="R1993">
        <f>IFERROR((VLOOKUP(D1993,Products!$A:$E,5,FALSE())-VLOOKUP(D1993,Products!$A:$E,4,FALSE()))/VLOOKUP(D1993,Products!$A:$E,5,FALSE()),"")</f>
        <v>0.43278688524590164</v>
      </c>
    </row>
    <row r="1994" spans="1:18" x14ac:dyDescent="0.3">
      <c r="A1994" s="22" t="s">
        <v>4472</v>
      </c>
      <c r="B1994" s="23">
        <v>45451</v>
      </c>
      <c r="C1994" s="22" t="s">
        <v>1002</v>
      </c>
      <c r="D1994" s="22" t="s">
        <v>455</v>
      </c>
      <c r="E1994" s="22" t="s">
        <v>4473</v>
      </c>
      <c r="F1994" s="24">
        <v>1</v>
      </c>
      <c r="G1994" s="24">
        <v>5330</v>
      </c>
      <c r="H1994" s="24">
        <v>27.5</v>
      </c>
      <c r="I1994" s="24">
        <v>3864.25</v>
      </c>
      <c r="J1994" s="22" t="s">
        <v>104</v>
      </c>
      <c r="K1994" s="22" t="s">
        <v>151</v>
      </c>
      <c r="L1994" t="str">
        <f>VLOOKUP(D1994,Products!A:F,3,FALSE())</f>
        <v>Electronics</v>
      </c>
      <c r="M1994" t="str">
        <f>VLOOKUP(C1994,Customers!A:F,5,FALSE())</f>
        <v>Retail</v>
      </c>
      <c r="O1994" t="str">
        <f>IFERROR(VLOOKUP(E1994,Sales_Reps!$A:$C,3,FALSE()),"")</f>
        <v/>
      </c>
      <c r="P1994">
        <f>IFERROR(VLOOKUP(C1994,Customers!$A:$C,3,FALSE()),"")</f>
        <v>65</v>
      </c>
      <c r="Q1994" t="str">
        <f t="shared" si="31"/>
        <v>Jun-24</v>
      </c>
      <c r="R1994">
        <f>IFERROR((VLOOKUP(D1994,Products!$A:$E,5,FALSE())-VLOOKUP(D1994,Products!$A:$E,4,FALSE()))/VLOOKUP(D1994,Products!$A:$E,5,FALSE()),"")</f>
        <v>0.54878048780487809</v>
      </c>
    </row>
    <row r="1995" spans="1:18" x14ac:dyDescent="0.3">
      <c r="A1995" s="22" t="s">
        <v>4474</v>
      </c>
      <c r="B1995" s="23">
        <v>45477</v>
      </c>
      <c r="C1995" s="22" t="s">
        <v>161</v>
      </c>
      <c r="D1995" s="22" t="s">
        <v>356</v>
      </c>
      <c r="E1995" s="22" t="s">
        <v>4475</v>
      </c>
      <c r="F1995" s="24">
        <v>7</v>
      </c>
      <c r="G1995" s="24">
        <v>2030</v>
      </c>
      <c r="H1995" s="24">
        <v>5.3</v>
      </c>
      <c r="I1995" s="24">
        <v>13456.87</v>
      </c>
      <c r="J1995" s="22" t="s">
        <v>159</v>
      </c>
      <c r="K1995" s="22" t="s">
        <v>105</v>
      </c>
      <c r="L1995" t="str">
        <f>VLOOKUP(D1995,Products!A:F,3,FALSE())</f>
        <v>Home</v>
      </c>
      <c r="M1995" t="str">
        <f>VLOOKUP(C1995,Customers!A:F,5,FALSE())</f>
        <v>SMB</v>
      </c>
      <c r="O1995" t="str">
        <f>IFERROR(VLOOKUP(E1995,Sales_Reps!$A:$C,3,FALSE()),"")</f>
        <v/>
      </c>
      <c r="P1995">
        <f>IFERROR(VLOOKUP(C1995,Customers!$A:$C,3,FALSE()),"")</f>
        <v>39</v>
      </c>
      <c r="Q1995" t="str">
        <f t="shared" si="31"/>
        <v>Jul-24</v>
      </c>
      <c r="R1995">
        <f>IFERROR((VLOOKUP(D1995,Products!$A:$E,5,FALSE())-VLOOKUP(D1995,Products!$A:$E,4,FALSE()))/VLOOKUP(D1995,Products!$A:$E,5,FALSE()),"")</f>
        <v>0.43694581280788175</v>
      </c>
    </row>
    <row r="1996" spans="1:18" x14ac:dyDescent="0.3">
      <c r="A1996" s="22" t="s">
        <v>4476</v>
      </c>
      <c r="B1996" s="23">
        <v>45360</v>
      </c>
      <c r="C1996" s="22" t="s">
        <v>140</v>
      </c>
      <c r="D1996" s="22" t="s">
        <v>205</v>
      </c>
      <c r="E1996" s="22" t="s">
        <v>4477</v>
      </c>
      <c r="F1996" s="24">
        <v>7</v>
      </c>
      <c r="G1996" s="24">
        <v>3350</v>
      </c>
      <c r="H1996" s="24">
        <v>0.4</v>
      </c>
      <c r="I1996" s="24">
        <v>23356.2</v>
      </c>
      <c r="J1996" s="22" t="s">
        <v>104</v>
      </c>
      <c r="K1996" s="22" t="s">
        <v>134</v>
      </c>
      <c r="L1996" t="str">
        <f>VLOOKUP(D1996,Products!A:F,3,FALSE())</f>
        <v>Beauty</v>
      </c>
      <c r="M1996" t="str">
        <f>VLOOKUP(C1996,Customers!A:F,5,FALSE())</f>
        <v>Retail</v>
      </c>
      <c r="O1996" t="str">
        <f>IFERROR(VLOOKUP(E1996,Sales_Reps!$A:$C,3,FALSE()),"")</f>
        <v/>
      </c>
      <c r="P1996">
        <f>IFERROR(VLOOKUP(C1996,Customers!$A:$C,3,FALSE()),"")</f>
        <v>42</v>
      </c>
      <c r="Q1996" t="str">
        <f t="shared" si="31"/>
        <v>Mar-24</v>
      </c>
      <c r="R1996">
        <f>IFERROR((VLOOKUP(D1996,Products!$A:$E,5,FALSE())-VLOOKUP(D1996,Products!$A:$E,4,FALSE()))/VLOOKUP(D1996,Products!$A:$E,5,FALSE()),"")</f>
        <v>0.48417910447761192</v>
      </c>
    </row>
    <row r="1997" spans="1:18" x14ac:dyDescent="0.3">
      <c r="A1997" s="22" t="s">
        <v>4478</v>
      </c>
      <c r="B1997" s="23">
        <v>45292</v>
      </c>
      <c r="C1997" s="22" t="s">
        <v>185</v>
      </c>
      <c r="D1997" s="22" t="s">
        <v>265</v>
      </c>
      <c r="E1997" s="22" t="s">
        <v>4479</v>
      </c>
      <c r="F1997" s="24">
        <v>6</v>
      </c>
      <c r="G1997" s="24">
        <v>3730</v>
      </c>
      <c r="H1997" s="24">
        <v>13.8</v>
      </c>
      <c r="I1997" s="24">
        <v>19291.560000000001</v>
      </c>
      <c r="J1997" s="22" t="s">
        <v>104</v>
      </c>
      <c r="K1997" s="22" t="s">
        <v>111</v>
      </c>
      <c r="L1997" t="str">
        <f>VLOOKUP(D1997,Products!A:F,3,FALSE())</f>
        <v>Home</v>
      </c>
      <c r="M1997" t="str">
        <f>VLOOKUP(C1997,Customers!A:F,5,FALSE())</f>
        <v>Retail</v>
      </c>
      <c r="O1997" t="str">
        <f>IFERROR(VLOOKUP(E1997,Sales_Reps!$A:$C,3,FALSE()),"")</f>
        <v/>
      </c>
      <c r="P1997">
        <f>IFERROR(VLOOKUP(C1997,Customers!$A:$C,3,FALSE()),"")</f>
        <v>49</v>
      </c>
      <c r="Q1997" t="str">
        <f t="shared" si="31"/>
        <v>Jan-24</v>
      </c>
      <c r="R1997">
        <f>IFERROR((VLOOKUP(D1997,Products!$A:$E,5,FALSE())-VLOOKUP(D1997,Products!$A:$E,4,FALSE()))/VLOOKUP(D1997,Products!$A:$E,5,FALSE()),"")</f>
        <v>0.42761394101876676</v>
      </c>
    </row>
    <row r="1998" spans="1:18" x14ac:dyDescent="0.3">
      <c r="A1998" s="22" t="s">
        <v>4480</v>
      </c>
      <c r="B1998" s="23">
        <v>45585</v>
      </c>
      <c r="C1998" s="22" t="s">
        <v>772</v>
      </c>
      <c r="D1998" s="22" t="s">
        <v>521</v>
      </c>
      <c r="E1998" s="22" t="s">
        <v>4481</v>
      </c>
      <c r="F1998" s="24">
        <v>6</v>
      </c>
      <c r="G1998" s="24">
        <v>3970</v>
      </c>
      <c r="H1998" s="24">
        <v>5.8</v>
      </c>
      <c r="I1998" s="24">
        <v>22438.44</v>
      </c>
      <c r="J1998" s="22" t="s">
        <v>110</v>
      </c>
      <c r="K1998" s="22" t="s">
        <v>105</v>
      </c>
      <c r="L1998" t="str">
        <f>VLOOKUP(D1998,Products!A:F,3,FALSE())</f>
        <v>Electronics</v>
      </c>
      <c r="M1998" t="str">
        <f>VLOOKUP(C1998,Customers!A:F,5,FALSE())</f>
        <v>SMB</v>
      </c>
      <c r="O1998" t="str">
        <f>IFERROR(VLOOKUP(E1998,Sales_Reps!$A:$C,3,FALSE()),"")</f>
        <v/>
      </c>
      <c r="P1998">
        <f>IFERROR(VLOOKUP(C1998,Customers!$A:$C,3,FALSE()),"")</f>
        <v>24</v>
      </c>
      <c r="Q1998" t="str">
        <f t="shared" si="31"/>
        <v>Oct-24</v>
      </c>
      <c r="R1998">
        <f>IFERROR((VLOOKUP(D1998,Products!$A:$E,5,FALSE())-VLOOKUP(D1998,Products!$A:$E,4,FALSE()))/VLOOKUP(D1998,Products!$A:$E,5,FALSE()),"")</f>
        <v>0.27833753148614609</v>
      </c>
    </row>
    <row r="1999" spans="1:18" x14ac:dyDescent="0.3">
      <c r="A1999" s="22" t="s">
        <v>4482</v>
      </c>
      <c r="B1999" s="23">
        <v>45592</v>
      </c>
      <c r="C1999" s="22" t="s">
        <v>1106</v>
      </c>
      <c r="D1999" s="22" t="s">
        <v>419</v>
      </c>
      <c r="E1999" s="22" t="s">
        <v>4483</v>
      </c>
      <c r="F1999" s="24">
        <v>4</v>
      </c>
      <c r="G1999" s="24">
        <v>2210</v>
      </c>
      <c r="H1999" s="24">
        <v>18.2</v>
      </c>
      <c r="I1999" s="24">
        <v>7231.12</v>
      </c>
      <c r="J1999" s="22" t="s">
        <v>110</v>
      </c>
      <c r="K1999" s="22" t="s">
        <v>134</v>
      </c>
      <c r="L1999" t="str">
        <f>VLOOKUP(D1999,Products!A:F,3,FALSE())</f>
        <v>Grocery</v>
      </c>
      <c r="M1999" t="str">
        <f>VLOOKUP(C1999,Customers!A:F,5,FALSE())</f>
        <v>Corporate</v>
      </c>
      <c r="O1999" t="str">
        <f>IFERROR(VLOOKUP(E1999,Sales_Reps!$A:$C,3,FALSE()),"")</f>
        <v/>
      </c>
      <c r="P1999">
        <f>IFERROR(VLOOKUP(C1999,Customers!$A:$C,3,FALSE()),"")</f>
        <v>43</v>
      </c>
      <c r="Q1999" t="str">
        <f t="shared" si="31"/>
        <v>Oct-24</v>
      </c>
      <c r="R1999">
        <f>IFERROR((VLOOKUP(D1999,Products!$A:$E,5,FALSE())-VLOOKUP(D1999,Products!$A:$E,4,FALSE()))/VLOOKUP(D1999,Products!$A:$E,5,FALSE()),"")</f>
        <v>0.54298642533936647</v>
      </c>
    </row>
    <row r="2000" spans="1:18" x14ac:dyDescent="0.3">
      <c r="A2000" s="22" t="s">
        <v>4484</v>
      </c>
      <c r="B2000" s="23">
        <v>45370</v>
      </c>
      <c r="C2000" s="22" t="s">
        <v>897</v>
      </c>
      <c r="D2000" s="22" t="s">
        <v>449</v>
      </c>
      <c r="E2000" s="22" t="s">
        <v>4485</v>
      </c>
      <c r="F2000" s="24">
        <v>6</v>
      </c>
      <c r="G2000" s="24">
        <v>5410</v>
      </c>
      <c r="H2000" s="24">
        <v>15.5</v>
      </c>
      <c r="I2000" s="24">
        <v>27428.7</v>
      </c>
      <c r="J2000" s="22" t="s">
        <v>104</v>
      </c>
      <c r="K2000" s="22" t="s">
        <v>116</v>
      </c>
      <c r="L2000" t="str">
        <f>VLOOKUP(D2000,Products!A:F,3,FALSE())</f>
        <v>Sports</v>
      </c>
      <c r="M2000" t="str">
        <f>VLOOKUP(C2000,Customers!A:F,5,FALSE())</f>
        <v>Retail</v>
      </c>
      <c r="O2000" t="str">
        <f>IFERROR(VLOOKUP(E2000,Sales_Reps!$A:$C,3,FALSE()),"")</f>
        <v/>
      </c>
      <c r="P2000">
        <f>IFERROR(VLOOKUP(C2000,Customers!$A:$C,3,FALSE()),"")</f>
        <v>43</v>
      </c>
      <c r="Q2000" t="str">
        <f t="shared" si="31"/>
        <v>Mar-24</v>
      </c>
      <c r="R2000">
        <f>IFERROR((VLOOKUP(D2000,Products!$A:$E,5,FALSE())-VLOOKUP(D2000,Products!$A:$E,4,FALSE()))/VLOOKUP(D2000,Products!$A:$E,5,FALSE()),"")</f>
        <v>0.58133086876155271</v>
      </c>
    </row>
    <row r="2001" spans="1:18" x14ac:dyDescent="0.3">
      <c r="A2001" s="22" t="s">
        <v>4486</v>
      </c>
      <c r="B2001" s="23">
        <v>45325</v>
      </c>
      <c r="C2001" s="22" t="s">
        <v>892</v>
      </c>
      <c r="D2001" s="22" t="s">
        <v>577</v>
      </c>
      <c r="E2001" s="22" t="s">
        <v>4487</v>
      </c>
      <c r="F2001" s="24">
        <v>6</v>
      </c>
      <c r="G2001" s="24">
        <v>5080</v>
      </c>
      <c r="H2001" s="24">
        <v>28.1</v>
      </c>
      <c r="I2001" s="24">
        <v>21915.119999999999</v>
      </c>
      <c r="J2001" s="22" t="s">
        <v>104</v>
      </c>
      <c r="K2001" s="22" t="s">
        <v>116</v>
      </c>
      <c r="L2001" t="str">
        <f>VLOOKUP(D2001,Products!A:F,3,FALSE())</f>
        <v>Home</v>
      </c>
      <c r="M2001" t="str">
        <f>VLOOKUP(C2001,Customers!A:F,5,FALSE())</f>
        <v>Retail</v>
      </c>
      <c r="O2001" t="str">
        <f>IFERROR(VLOOKUP(E2001,Sales_Reps!$A:$C,3,FALSE()),"")</f>
        <v/>
      </c>
      <c r="P2001">
        <f>IFERROR(VLOOKUP(C2001,Customers!$A:$C,3,FALSE()),"")</f>
        <v>49</v>
      </c>
      <c r="Q2001" t="str">
        <f t="shared" si="31"/>
        <v>Feb-24</v>
      </c>
      <c r="R2001">
        <f>IFERROR((VLOOKUP(D2001,Products!$A:$E,5,FALSE())-VLOOKUP(D2001,Products!$A:$E,4,FALSE()))/VLOOKUP(D2001,Products!$A:$E,5,FALSE()),"")</f>
        <v>0.51594488188976373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  <pageSetUpPr fitToPage="1"/>
  </sheetPr>
  <dimension ref="A1:F30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3" customWidth="1"/>
    <col min="2" max="2" width="19" customWidth="1"/>
    <col min="3" max="3" width="5" customWidth="1"/>
    <col min="4" max="5" width="11" customWidth="1"/>
    <col min="6" max="6" width="13" customWidth="1"/>
  </cols>
  <sheetData>
    <row r="1" spans="1:6" x14ac:dyDescent="0.3">
      <c r="A1" s="11" t="s">
        <v>85</v>
      </c>
      <c r="B1" s="11" t="s">
        <v>4488</v>
      </c>
      <c r="C1" s="11" t="s">
        <v>4489</v>
      </c>
      <c r="D1" s="11" t="s">
        <v>4490</v>
      </c>
      <c r="E1" s="11" t="s">
        <v>4491</v>
      </c>
      <c r="F1" s="11" t="s">
        <v>4492</v>
      </c>
    </row>
    <row r="2" spans="1:6" x14ac:dyDescent="0.3">
      <c r="A2" s="22" t="s">
        <v>1072</v>
      </c>
      <c r="B2" s="22" t="s">
        <v>4493</v>
      </c>
      <c r="C2" s="24">
        <v>36</v>
      </c>
      <c r="D2" s="22" t="s">
        <v>105</v>
      </c>
      <c r="E2" s="22" t="s">
        <v>4494</v>
      </c>
      <c r="F2" s="23">
        <v>44819</v>
      </c>
    </row>
    <row r="3" spans="1:6" x14ac:dyDescent="0.3">
      <c r="A3" s="22" t="s">
        <v>1124</v>
      </c>
      <c r="B3" s="22" t="s">
        <v>4495</v>
      </c>
      <c r="C3" s="24">
        <v>42</v>
      </c>
      <c r="D3" s="22" t="s">
        <v>105</v>
      </c>
      <c r="E3" s="22" t="s">
        <v>4496</v>
      </c>
      <c r="F3" s="23">
        <v>44984</v>
      </c>
    </row>
    <row r="4" spans="1:6" x14ac:dyDescent="0.3">
      <c r="A4" s="22" t="s">
        <v>1018</v>
      </c>
      <c r="B4" s="22" t="s">
        <v>4497</v>
      </c>
      <c r="C4" s="24">
        <v>33</v>
      </c>
      <c r="D4" s="22" t="s">
        <v>129</v>
      </c>
      <c r="E4" s="22" t="s">
        <v>4494</v>
      </c>
      <c r="F4" s="23">
        <v>44059</v>
      </c>
    </row>
    <row r="5" spans="1:6" x14ac:dyDescent="0.3">
      <c r="A5" s="22" t="s">
        <v>1015</v>
      </c>
      <c r="B5" s="22" t="s">
        <v>4498</v>
      </c>
      <c r="C5" s="24">
        <v>53</v>
      </c>
      <c r="D5" s="22" t="s">
        <v>4499</v>
      </c>
      <c r="E5" s="22" t="s">
        <v>4494</v>
      </c>
      <c r="F5" s="23">
        <v>44054</v>
      </c>
    </row>
    <row r="6" spans="1:6" x14ac:dyDescent="0.3">
      <c r="A6" s="22" t="s">
        <v>1513</v>
      </c>
      <c r="B6" s="22" t="s">
        <v>4500</v>
      </c>
      <c r="C6" s="24">
        <v>52</v>
      </c>
      <c r="D6" s="22" t="s">
        <v>111</v>
      </c>
      <c r="E6" s="22" t="s">
        <v>4496</v>
      </c>
      <c r="F6" s="23">
        <v>45037</v>
      </c>
    </row>
    <row r="7" spans="1:6" x14ac:dyDescent="0.3">
      <c r="A7" s="22" t="s">
        <v>223</v>
      </c>
      <c r="B7" s="22" t="s">
        <v>4501</v>
      </c>
      <c r="C7" s="24">
        <v>44</v>
      </c>
      <c r="D7" s="22" t="s">
        <v>105</v>
      </c>
      <c r="E7" s="22" t="s">
        <v>4502</v>
      </c>
      <c r="F7" s="23">
        <v>44302</v>
      </c>
    </row>
    <row r="8" spans="1:6" x14ac:dyDescent="0.3">
      <c r="A8" s="22" t="s">
        <v>1306</v>
      </c>
      <c r="B8" s="22" t="s">
        <v>4503</v>
      </c>
      <c r="C8" s="24">
        <v>47</v>
      </c>
      <c r="D8" s="22" t="s">
        <v>134</v>
      </c>
      <c r="E8" s="22" t="s">
        <v>4494</v>
      </c>
      <c r="F8" s="23">
        <v>44498</v>
      </c>
    </row>
    <row r="9" spans="1:6" x14ac:dyDescent="0.3">
      <c r="A9" s="22" t="s">
        <v>161</v>
      </c>
      <c r="B9" s="22" t="s">
        <v>4504</v>
      </c>
      <c r="C9" s="24">
        <v>39</v>
      </c>
      <c r="D9" s="22" t="s">
        <v>105</v>
      </c>
      <c r="E9" s="22" t="s">
        <v>4502</v>
      </c>
      <c r="F9" s="23">
        <v>45162</v>
      </c>
    </row>
    <row r="10" spans="1:6" x14ac:dyDescent="0.3">
      <c r="A10" s="22" t="s">
        <v>611</v>
      </c>
      <c r="B10" s="22" t="s">
        <v>4505</v>
      </c>
      <c r="C10" s="24">
        <v>61</v>
      </c>
      <c r="D10" s="22" t="s">
        <v>129</v>
      </c>
      <c r="E10" s="22" t="s">
        <v>4494</v>
      </c>
      <c r="F10" s="23">
        <v>44343</v>
      </c>
    </row>
    <row r="11" spans="1:6" x14ac:dyDescent="0.3">
      <c r="A11" s="22" t="s">
        <v>775</v>
      </c>
      <c r="B11" s="22" t="s">
        <v>4506</v>
      </c>
      <c r="C11" s="24">
        <v>61</v>
      </c>
      <c r="D11" s="22" t="s">
        <v>129</v>
      </c>
      <c r="E11" s="22" t="s">
        <v>4502</v>
      </c>
      <c r="F11" s="23">
        <v>44975</v>
      </c>
    </row>
    <row r="12" spans="1:6" x14ac:dyDescent="0.3">
      <c r="A12" s="22" t="s">
        <v>940</v>
      </c>
      <c r="B12" s="22" t="s">
        <v>4507</v>
      </c>
      <c r="C12" s="24">
        <v>41</v>
      </c>
      <c r="D12" s="22" t="s">
        <v>111</v>
      </c>
      <c r="E12" s="22" t="s">
        <v>4496</v>
      </c>
      <c r="F12" s="23">
        <v>44821</v>
      </c>
    </row>
    <row r="13" spans="1:6" x14ac:dyDescent="0.3">
      <c r="A13" s="22" t="s">
        <v>468</v>
      </c>
      <c r="B13" s="22" t="s">
        <v>4508</v>
      </c>
      <c r="C13" s="24">
        <v>43</v>
      </c>
      <c r="D13" s="22" t="s">
        <v>105</v>
      </c>
      <c r="E13" s="22" t="s">
        <v>4494</v>
      </c>
      <c r="F13" s="23">
        <v>44718</v>
      </c>
    </row>
    <row r="14" spans="1:6" x14ac:dyDescent="0.3">
      <c r="A14" s="22" t="s">
        <v>243</v>
      </c>
      <c r="B14" s="22" t="s">
        <v>4509</v>
      </c>
      <c r="C14" s="24">
        <v>41</v>
      </c>
      <c r="D14" s="22" t="s">
        <v>116</v>
      </c>
      <c r="E14" s="22" t="s">
        <v>4494</v>
      </c>
      <c r="F14" s="23">
        <v>45018</v>
      </c>
    </row>
    <row r="15" spans="1:6" x14ac:dyDescent="0.3">
      <c r="A15" s="22" t="s">
        <v>2826</v>
      </c>
      <c r="B15" s="22" t="s">
        <v>4510</v>
      </c>
      <c r="C15" s="24">
        <v>48</v>
      </c>
      <c r="D15" s="22" t="s">
        <v>134</v>
      </c>
      <c r="E15" s="22" t="s">
        <v>4494</v>
      </c>
      <c r="F15" s="23">
        <v>45225</v>
      </c>
    </row>
    <row r="16" spans="1:6" x14ac:dyDescent="0.3">
      <c r="A16" s="22" t="s">
        <v>2560</v>
      </c>
      <c r="B16" s="22" t="s">
        <v>4511</v>
      </c>
      <c r="C16" s="24">
        <v>31</v>
      </c>
      <c r="D16" s="22" t="s">
        <v>111</v>
      </c>
      <c r="E16" s="22" t="s">
        <v>4494</v>
      </c>
      <c r="F16" s="23">
        <v>44654</v>
      </c>
    </row>
    <row r="17" spans="1:6" x14ac:dyDescent="0.3">
      <c r="A17" s="22" t="s">
        <v>1049</v>
      </c>
      <c r="B17" s="22" t="s">
        <v>4512</v>
      </c>
      <c r="C17" s="24">
        <v>26</v>
      </c>
      <c r="D17" s="22" t="s">
        <v>116</v>
      </c>
      <c r="E17" s="22" t="s">
        <v>4502</v>
      </c>
      <c r="F17" s="23">
        <v>45196</v>
      </c>
    </row>
    <row r="18" spans="1:6" x14ac:dyDescent="0.3">
      <c r="A18" s="22" t="s">
        <v>1303</v>
      </c>
      <c r="B18" s="22" t="s">
        <v>4513</v>
      </c>
      <c r="C18" s="24">
        <v>38</v>
      </c>
      <c r="D18" s="22" t="s">
        <v>116</v>
      </c>
      <c r="E18" s="22" t="s">
        <v>4502</v>
      </c>
      <c r="F18" s="23">
        <v>44752</v>
      </c>
    </row>
    <row r="19" spans="1:6" x14ac:dyDescent="0.3">
      <c r="A19" s="22" t="s">
        <v>494</v>
      </c>
      <c r="B19" s="22" t="s">
        <v>4514</v>
      </c>
      <c r="C19" s="24">
        <v>54</v>
      </c>
      <c r="D19" s="22" t="s">
        <v>105</v>
      </c>
      <c r="E19" s="22" t="s">
        <v>4502</v>
      </c>
      <c r="F19" s="23">
        <v>43968</v>
      </c>
    </row>
    <row r="20" spans="1:6" x14ac:dyDescent="0.3">
      <c r="A20" s="22" t="s">
        <v>1172</v>
      </c>
      <c r="B20" s="22" t="s">
        <v>4515</v>
      </c>
      <c r="C20" s="24">
        <v>22</v>
      </c>
      <c r="D20" s="22" t="s">
        <v>111</v>
      </c>
      <c r="E20" s="22" t="s">
        <v>4494</v>
      </c>
      <c r="F20" s="23">
        <v>44375</v>
      </c>
    </row>
    <row r="21" spans="1:6" x14ac:dyDescent="0.3">
      <c r="A21" s="22" t="s">
        <v>380</v>
      </c>
      <c r="B21" s="22" t="s">
        <v>4516</v>
      </c>
      <c r="C21" s="24">
        <v>46</v>
      </c>
      <c r="D21" s="22" t="s">
        <v>151</v>
      </c>
      <c r="E21" s="22" t="s">
        <v>4494</v>
      </c>
      <c r="F21" s="23">
        <v>43835</v>
      </c>
    </row>
    <row r="22" spans="1:6" x14ac:dyDescent="0.3">
      <c r="A22" s="22" t="s">
        <v>2015</v>
      </c>
      <c r="B22" s="22" t="s">
        <v>4500</v>
      </c>
      <c r="C22" s="24">
        <v>44</v>
      </c>
      <c r="D22" s="22" t="s">
        <v>105</v>
      </c>
      <c r="E22" s="22" t="s">
        <v>4494</v>
      </c>
      <c r="F22" s="23">
        <v>44130</v>
      </c>
    </row>
    <row r="23" spans="1:6" x14ac:dyDescent="0.3">
      <c r="A23" s="22" t="s">
        <v>1609</v>
      </c>
      <c r="B23" s="22" t="s">
        <v>4517</v>
      </c>
      <c r="C23" s="24">
        <v>55</v>
      </c>
      <c r="D23" s="22" t="s">
        <v>134</v>
      </c>
      <c r="E23" s="22" t="s">
        <v>4496</v>
      </c>
      <c r="F23" s="23">
        <v>44787</v>
      </c>
    </row>
    <row r="24" spans="1:6" x14ac:dyDescent="0.3">
      <c r="A24" s="22" t="s">
        <v>2100</v>
      </c>
      <c r="B24" s="22" t="s">
        <v>4518</v>
      </c>
      <c r="C24" s="24">
        <v>43</v>
      </c>
      <c r="D24" s="22" t="s">
        <v>111</v>
      </c>
      <c r="E24" s="22" t="s">
        <v>4502</v>
      </c>
      <c r="F24" s="23">
        <v>44403</v>
      </c>
    </row>
    <row r="25" spans="1:6" x14ac:dyDescent="0.3">
      <c r="A25" s="22" t="s">
        <v>548</v>
      </c>
      <c r="B25" s="22" t="s">
        <v>4519</v>
      </c>
      <c r="C25" s="24">
        <v>64</v>
      </c>
      <c r="D25" s="22" t="s">
        <v>3674</v>
      </c>
      <c r="E25" s="22" t="s">
        <v>4502</v>
      </c>
      <c r="F25" s="23">
        <v>44495</v>
      </c>
    </row>
    <row r="26" spans="1:6" x14ac:dyDescent="0.3">
      <c r="A26" s="22" t="s">
        <v>487</v>
      </c>
      <c r="B26" s="22" t="s">
        <v>4520</v>
      </c>
      <c r="C26" s="24">
        <v>23</v>
      </c>
      <c r="D26" s="22" t="s">
        <v>134</v>
      </c>
      <c r="E26" s="22" t="s">
        <v>4494</v>
      </c>
      <c r="F26" s="23">
        <v>44536</v>
      </c>
    </row>
    <row r="27" spans="1:6" x14ac:dyDescent="0.3">
      <c r="A27" s="22" t="s">
        <v>766</v>
      </c>
      <c r="B27" s="22" t="s">
        <v>4521</v>
      </c>
      <c r="C27" s="24">
        <v>62</v>
      </c>
      <c r="D27" s="22" t="s">
        <v>105</v>
      </c>
      <c r="E27" s="22" t="s">
        <v>4494</v>
      </c>
      <c r="F27" s="23">
        <v>43898</v>
      </c>
    </row>
    <row r="28" spans="1:6" x14ac:dyDescent="0.3">
      <c r="A28" s="22" t="s">
        <v>640</v>
      </c>
      <c r="B28" s="22" t="s">
        <v>4522</v>
      </c>
      <c r="C28" s="24">
        <v>52</v>
      </c>
      <c r="D28" s="22" t="s">
        <v>151</v>
      </c>
      <c r="E28" s="22" t="s">
        <v>4496</v>
      </c>
      <c r="F28" s="23">
        <v>45201</v>
      </c>
    </row>
    <row r="29" spans="1:6" x14ac:dyDescent="0.3">
      <c r="A29" s="22" t="s">
        <v>514</v>
      </c>
      <c r="B29" s="22" t="s">
        <v>4523</v>
      </c>
      <c r="C29" s="24">
        <v>59</v>
      </c>
      <c r="D29" s="22" t="s">
        <v>134</v>
      </c>
      <c r="E29" s="22" t="s">
        <v>4494</v>
      </c>
      <c r="F29" s="23">
        <v>44686</v>
      </c>
    </row>
    <row r="30" spans="1:6" x14ac:dyDescent="0.3">
      <c r="A30" s="22" t="s">
        <v>3246</v>
      </c>
      <c r="B30" s="22" t="s">
        <v>4524</v>
      </c>
      <c r="C30" s="24">
        <v>54</v>
      </c>
      <c r="D30" s="22" t="s">
        <v>111</v>
      </c>
      <c r="E30" s="22" t="s">
        <v>4496</v>
      </c>
      <c r="F30" s="23">
        <v>44930</v>
      </c>
    </row>
    <row r="31" spans="1:6" x14ac:dyDescent="0.3">
      <c r="A31" s="22" t="s">
        <v>1106</v>
      </c>
      <c r="B31" s="22" t="s">
        <v>4525</v>
      </c>
      <c r="C31" s="24">
        <v>43</v>
      </c>
      <c r="D31" s="22" t="s">
        <v>134</v>
      </c>
      <c r="E31" s="22" t="s">
        <v>4496</v>
      </c>
      <c r="F31" s="23">
        <v>44151</v>
      </c>
    </row>
    <row r="32" spans="1:6" x14ac:dyDescent="0.3">
      <c r="A32" s="22" t="s">
        <v>314</v>
      </c>
      <c r="B32" s="22" t="s">
        <v>4526</v>
      </c>
      <c r="C32" s="24">
        <v>53</v>
      </c>
      <c r="D32" s="22" t="s">
        <v>151</v>
      </c>
      <c r="E32" s="22" t="s">
        <v>4494</v>
      </c>
      <c r="F32" s="23">
        <v>44599</v>
      </c>
    </row>
    <row r="33" spans="1:6" x14ac:dyDescent="0.3">
      <c r="A33" s="22" t="s">
        <v>398</v>
      </c>
      <c r="B33" s="22" t="s">
        <v>4527</v>
      </c>
      <c r="C33" s="24">
        <v>28</v>
      </c>
      <c r="D33" s="22" t="s">
        <v>151</v>
      </c>
      <c r="E33" s="22" t="s">
        <v>4494</v>
      </c>
      <c r="F33" s="23">
        <v>43908</v>
      </c>
    </row>
    <row r="34" spans="1:6" x14ac:dyDescent="0.3">
      <c r="A34" s="22" t="s">
        <v>351</v>
      </c>
      <c r="B34" s="22" t="s">
        <v>4528</v>
      </c>
      <c r="C34" s="24">
        <v>35</v>
      </c>
      <c r="D34" s="22" t="s">
        <v>116</v>
      </c>
      <c r="E34" s="22" t="s">
        <v>4494</v>
      </c>
      <c r="F34" s="23">
        <v>44830</v>
      </c>
    </row>
    <row r="35" spans="1:6" x14ac:dyDescent="0.3">
      <c r="A35" s="22" t="s">
        <v>1481</v>
      </c>
      <c r="B35" s="22" t="s">
        <v>4529</v>
      </c>
      <c r="C35" s="24">
        <v>47</v>
      </c>
      <c r="D35" s="22" t="s">
        <v>116</v>
      </c>
      <c r="E35" s="22" t="s">
        <v>4494</v>
      </c>
      <c r="F35" s="23">
        <v>44182</v>
      </c>
    </row>
    <row r="36" spans="1:6" x14ac:dyDescent="0.3">
      <c r="A36" s="22" t="s">
        <v>230</v>
      </c>
      <c r="B36" s="22" t="s">
        <v>4530</v>
      </c>
      <c r="C36" s="24">
        <v>53</v>
      </c>
      <c r="D36" s="22" t="s">
        <v>151</v>
      </c>
      <c r="E36" s="22" t="s">
        <v>4494</v>
      </c>
      <c r="F36" s="23">
        <v>44532</v>
      </c>
    </row>
    <row r="37" spans="1:6" x14ac:dyDescent="0.3">
      <c r="A37" s="22" t="s">
        <v>960</v>
      </c>
      <c r="B37" s="22" t="s">
        <v>4531</v>
      </c>
      <c r="C37" s="24">
        <v>35</v>
      </c>
      <c r="D37" s="22" t="s">
        <v>129</v>
      </c>
      <c r="E37" s="22" t="s">
        <v>4494</v>
      </c>
      <c r="F37" s="23">
        <v>44617</v>
      </c>
    </row>
    <row r="38" spans="1:6" x14ac:dyDescent="0.3">
      <c r="A38" s="22" t="s">
        <v>1243</v>
      </c>
      <c r="B38" s="22" t="s">
        <v>4532</v>
      </c>
      <c r="C38" s="24">
        <v>52</v>
      </c>
      <c r="D38" s="22" t="s">
        <v>134</v>
      </c>
      <c r="E38" s="22" t="s">
        <v>4494</v>
      </c>
      <c r="F38" s="23">
        <v>44468</v>
      </c>
    </row>
    <row r="39" spans="1:6" x14ac:dyDescent="0.3">
      <c r="A39" s="22" t="s">
        <v>1312</v>
      </c>
      <c r="B39" s="22" t="s">
        <v>4533</v>
      </c>
      <c r="C39" s="24">
        <v>57</v>
      </c>
      <c r="D39" s="22" t="s">
        <v>129</v>
      </c>
      <c r="E39" s="22" t="s">
        <v>4494</v>
      </c>
      <c r="F39" s="23">
        <v>43843</v>
      </c>
    </row>
    <row r="40" spans="1:6" x14ac:dyDescent="0.3">
      <c r="A40" s="22" t="s">
        <v>1246</v>
      </c>
      <c r="B40" s="22" t="s">
        <v>4534</v>
      </c>
      <c r="C40" s="24">
        <v>37</v>
      </c>
      <c r="D40" s="22" t="s">
        <v>134</v>
      </c>
      <c r="E40" s="22" t="s">
        <v>4494</v>
      </c>
      <c r="F40" s="23">
        <v>43989</v>
      </c>
    </row>
    <row r="41" spans="1:6" x14ac:dyDescent="0.3">
      <c r="A41" s="22" t="s">
        <v>341</v>
      </c>
      <c r="B41" s="22" t="s">
        <v>4535</v>
      </c>
      <c r="C41" s="24">
        <v>28</v>
      </c>
      <c r="D41" s="22" t="s">
        <v>111</v>
      </c>
      <c r="E41" s="22" t="s">
        <v>4494</v>
      </c>
      <c r="F41" s="23">
        <v>44625</v>
      </c>
    </row>
    <row r="42" spans="1:6" x14ac:dyDescent="0.3">
      <c r="A42" s="22" t="s">
        <v>687</v>
      </c>
      <c r="B42" s="22" t="s">
        <v>4536</v>
      </c>
      <c r="C42" s="24">
        <v>26</v>
      </c>
      <c r="D42" s="22" t="s">
        <v>134</v>
      </c>
      <c r="E42" s="22" t="s">
        <v>4502</v>
      </c>
      <c r="F42" s="23">
        <v>43895</v>
      </c>
    </row>
    <row r="43" spans="1:6" x14ac:dyDescent="0.3">
      <c r="A43" s="22" t="s">
        <v>422</v>
      </c>
      <c r="B43" s="22" t="s">
        <v>4537</v>
      </c>
      <c r="C43" s="24">
        <v>25</v>
      </c>
      <c r="D43" s="22" t="s">
        <v>105</v>
      </c>
      <c r="E43" s="22" t="s">
        <v>4494</v>
      </c>
      <c r="F43" s="23">
        <v>43843</v>
      </c>
    </row>
    <row r="44" spans="1:6" x14ac:dyDescent="0.3">
      <c r="A44" s="22" t="s">
        <v>690</v>
      </c>
      <c r="B44" s="22" t="s">
        <v>4538</v>
      </c>
      <c r="C44" s="24">
        <v>61</v>
      </c>
      <c r="D44" s="22" t="s">
        <v>151</v>
      </c>
      <c r="E44" s="22" t="s">
        <v>4494</v>
      </c>
      <c r="F44" s="23">
        <v>44553</v>
      </c>
    </row>
    <row r="45" spans="1:6" x14ac:dyDescent="0.3">
      <c r="A45" s="22" t="s">
        <v>1077</v>
      </c>
      <c r="B45" s="22" t="s">
        <v>4539</v>
      </c>
      <c r="C45" s="24">
        <v>29</v>
      </c>
      <c r="D45" s="22" t="s">
        <v>151</v>
      </c>
      <c r="E45" s="22" t="s">
        <v>4502</v>
      </c>
      <c r="F45" s="23">
        <v>45084</v>
      </c>
    </row>
    <row r="46" spans="1:6" x14ac:dyDescent="0.3">
      <c r="A46" s="22" t="s">
        <v>1183</v>
      </c>
      <c r="B46" s="22" t="s">
        <v>4540</v>
      </c>
      <c r="C46" s="24">
        <v>39</v>
      </c>
      <c r="D46" s="22" t="s">
        <v>111</v>
      </c>
      <c r="E46" s="22" t="s">
        <v>4502</v>
      </c>
      <c r="F46" s="23">
        <v>45156</v>
      </c>
    </row>
    <row r="47" spans="1:6" x14ac:dyDescent="0.3">
      <c r="A47" s="22" t="s">
        <v>1544</v>
      </c>
      <c r="B47" s="22" t="s">
        <v>4541</v>
      </c>
      <c r="C47" s="24">
        <v>45</v>
      </c>
      <c r="D47" s="22" t="s">
        <v>116</v>
      </c>
      <c r="E47" s="22" t="s">
        <v>4502</v>
      </c>
      <c r="F47" s="23">
        <v>45144</v>
      </c>
    </row>
    <row r="48" spans="1:6" x14ac:dyDescent="0.3">
      <c r="A48" s="22" t="s">
        <v>700</v>
      </c>
      <c r="B48" s="22" t="s">
        <v>4542</v>
      </c>
      <c r="C48" s="24">
        <v>49</v>
      </c>
      <c r="D48" s="22" t="s">
        <v>105</v>
      </c>
      <c r="E48" s="22" t="s">
        <v>4494</v>
      </c>
      <c r="F48" s="23">
        <v>44066</v>
      </c>
    </row>
    <row r="49" spans="1:6" x14ac:dyDescent="0.3">
      <c r="A49" s="22" t="s">
        <v>653</v>
      </c>
      <c r="B49" s="22" t="s">
        <v>4543</v>
      </c>
      <c r="C49" s="24">
        <v>59</v>
      </c>
      <c r="D49" s="22" t="s">
        <v>116</v>
      </c>
      <c r="E49" s="22" t="s">
        <v>4494</v>
      </c>
      <c r="F49" s="23">
        <v>44479</v>
      </c>
    </row>
    <row r="50" spans="1:6" x14ac:dyDescent="0.3">
      <c r="A50" s="22" t="s">
        <v>2222</v>
      </c>
      <c r="B50" s="22" t="s">
        <v>4544</v>
      </c>
      <c r="C50" s="24">
        <v>42</v>
      </c>
      <c r="D50" s="22" t="s">
        <v>129</v>
      </c>
      <c r="E50" s="22" t="s">
        <v>4496</v>
      </c>
      <c r="F50" s="23">
        <v>45116</v>
      </c>
    </row>
    <row r="51" spans="1:6" x14ac:dyDescent="0.3">
      <c r="A51" s="22" t="s">
        <v>760</v>
      </c>
      <c r="B51" s="22" t="s">
        <v>4545</v>
      </c>
      <c r="C51" s="24">
        <v>37</v>
      </c>
      <c r="D51" s="22" t="s">
        <v>129</v>
      </c>
      <c r="E51" s="22" t="s">
        <v>4494</v>
      </c>
      <c r="F51" s="23">
        <v>43967</v>
      </c>
    </row>
    <row r="52" spans="1:6" x14ac:dyDescent="0.3">
      <c r="A52" s="22" t="s">
        <v>374</v>
      </c>
      <c r="B52" s="22" t="s">
        <v>4546</v>
      </c>
      <c r="C52" s="24">
        <v>54</v>
      </c>
      <c r="D52" s="22" t="s">
        <v>105</v>
      </c>
      <c r="E52" s="22" t="s">
        <v>4502</v>
      </c>
      <c r="F52" s="23">
        <v>44613</v>
      </c>
    </row>
    <row r="53" spans="1:6" x14ac:dyDescent="0.3">
      <c r="A53" s="22" t="s">
        <v>166</v>
      </c>
      <c r="B53" s="22" t="s">
        <v>4547</v>
      </c>
      <c r="C53" s="24">
        <v>38</v>
      </c>
      <c r="D53" s="22" t="s">
        <v>105</v>
      </c>
      <c r="E53" s="22" t="s">
        <v>4494</v>
      </c>
      <c r="F53" s="23">
        <v>44209</v>
      </c>
    </row>
    <row r="54" spans="1:6" x14ac:dyDescent="0.3">
      <c r="A54" s="22" t="s">
        <v>261</v>
      </c>
      <c r="B54" s="22" t="s">
        <v>4548</v>
      </c>
      <c r="C54" s="24">
        <v>53</v>
      </c>
      <c r="D54" s="22" t="s">
        <v>116</v>
      </c>
      <c r="E54" s="22" t="s">
        <v>4494</v>
      </c>
      <c r="F54" s="23">
        <v>44288</v>
      </c>
    </row>
    <row r="55" spans="1:6" x14ac:dyDescent="0.3">
      <c r="A55" s="22" t="s">
        <v>1309</v>
      </c>
      <c r="B55" s="22" t="s">
        <v>4549</v>
      </c>
      <c r="C55" s="24">
        <v>62</v>
      </c>
      <c r="D55" s="22" t="s">
        <v>129</v>
      </c>
      <c r="E55" s="22" t="s">
        <v>4496</v>
      </c>
      <c r="F55" s="23">
        <v>44482</v>
      </c>
    </row>
    <row r="56" spans="1:6" x14ac:dyDescent="0.3">
      <c r="A56" s="22" t="s">
        <v>841</v>
      </c>
      <c r="B56" s="22" t="s">
        <v>4550</v>
      </c>
      <c r="C56" s="24">
        <v>34</v>
      </c>
      <c r="D56" s="22" t="s">
        <v>134</v>
      </c>
      <c r="E56" s="22" t="s">
        <v>4494</v>
      </c>
      <c r="F56" s="23">
        <v>44753</v>
      </c>
    </row>
    <row r="57" spans="1:6" x14ac:dyDescent="0.3">
      <c r="A57" s="22" t="s">
        <v>174</v>
      </c>
      <c r="B57" s="22" t="s">
        <v>4493</v>
      </c>
      <c r="C57" s="24">
        <v>46</v>
      </c>
      <c r="D57" s="22" t="s">
        <v>134</v>
      </c>
      <c r="E57" s="22" t="s">
        <v>4502</v>
      </c>
      <c r="F57" s="23">
        <v>45202</v>
      </c>
    </row>
    <row r="58" spans="1:6" x14ac:dyDescent="0.3">
      <c r="A58" s="22" t="s">
        <v>1127</v>
      </c>
      <c r="B58" s="22" t="s">
        <v>4551</v>
      </c>
      <c r="C58" s="24">
        <v>35</v>
      </c>
      <c r="D58" s="22" t="s">
        <v>105</v>
      </c>
      <c r="E58" s="22" t="s">
        <v>4494</v>
      </c>
      <c r="F58" s="23">
        <v>43917</v>
      </c>
    </row>
    <row r="59" spans="1:6" x14ac:dyDescent="0.3">
      <c r="A59" s="22" t="s">
        <v>1568</v>
      </c>
      <c r="B59" s="22" t="s">
        <v>4552</v>
      </c>
      <c r="C59" s="24">
        <v>49</v>
      </c>
      <c r="D59" s="22" t="s">
        <v>134</v>
      </c>
      <c r="E59" s="22" t="s">
        <v>4502</v>
      </c>
      <c r="F59" s="23">
        <v>44471</v>
      </c>
    </row>
    <row r="60" spans="1:6" x14ac:dyDescent="0.3">
      <c r="A60" s="22" t="s">
        <v>648</v>
      </c>
      <c r="B60" s="22" t="s">
        <v>4553</v>
      </c>
      <c r="C60" s="24">
        <v>29</v>
      </c>
      <c r="D60" s="22" t="s">
        <v>105</v>
      </c>
      <c r="E60" s="22" t="s">
        <v>4496</v>
      </c>
      <c r="F60" s="23">
        <v>44796</v>
      </c>
    </row>
    <row r="61" spans="1:6" x14ac:dyDescent="0.3">
      <c r="A61" s="22" t="s">
        <v>1867</v>
      </c>
      <c r="B61" s="22" t="s">
        <v>4554</v>
      </c>
      <c r="C61" s="24">
        <v>39</v>
      </c>
      <c r="D61" s="22" t="s">
        <v>105</v>
      </c>
      <c r="E61" s="22" t="s">
        <v>4494</v>
      </c>
      <c r="F61" s="23">
        <v>43897</v>
      </c>
    </row>
    <row r="62" spans="1:6" x14ac:dyDescent="0.3">
      <c r="A62" s="22" t="s">
        <v>1082</v>
      </c>
      <c r="B62" s="22" t="s">
        <v>4555</v>
      </c>
      <c r="C62" s="24">
        <v>64</v>
      </c>
      <c r="D62" s="22" t="s">
        <v>151</v>
      </c>
      <c r="E62" s="22" t="s">
        <v>4494</v>
      </c>
      <c r="F62" s="23">
        <v>43971</v>
      </c>
    </row>
    <row r="63" spans="1:6" x14ac:dyDescent="0.3">
      <c r="A63" s="22" t="s">
        <v>1067</v>
      </c>
      <c r="B63" s="22" t="s">
        <v>4556</v>
      </c>
      <c r="C63" s="24">
        <v>54</v>
      </c>
      <c r="D63" s="22" t="s">
        <v>105</v>
      </c>
      <c r="E63" s="22" t="s">
        <v>4494</v>
      </c>
      <c r="F63" s="23">
        <v>45016</v>
      </c>
    </row>
    <row r="64" spans="1:6" x14ac:dyDescent="0.3">
      <c r="A64" s="22" t="s">
        <v>1672</v>
      </c>
      <c r="B64" s="22" t="s">
        <v>4557</v>
      </c>
      <c r="C64" s="24">
        <v>53</v>
      </c>
      <c r="D64" s="22" t="s">
        <v>129</v>
      </c>
      <c r="E64" s="22" t="s">
        <v>4502</v>
      </c>
      <c r="F64" s="23">
        <v>44008</v>
      </c>
    </row>
    <row r="65" spans="1:6" x14ac:dyDescent="0.3">
      <c r="A65" s="22" t="s">
        <v>237</v>
      </c>
      <c r="B65" s="22" t="s">
        <v>4558</v>
      </c>
      <c r="C65" s="24">
        <v>40</v>
      </c>
      <c r="D65" s="22" t="s">
        <v>151</v>
      </c>
      <c r="E65" s="22" t="s">
        <v>4502</v>
      </c>
      <c r="F65" s="23">
        <v>45070</v>
      </c>
    </row>
    <row r="66" spans="1:6" x14ac:dyDescent="0.3">
      <c r="A66" s="22" t="s">
        <v>1882</v>
      </c>
      <c r="B66" s="22" t="s">
        <v>4559</v>
      </c>
      <c r="C66" s="24">
        <v>49</v>
      </c>
      <c r="D66" s="22" t="s">
        <v>111</v>
      </c>
      <c r="E66" s="22" t="s">
        <v>4496</v>
      </c>
      <c r="F66" s="23">
        <v>44543</v>
      </c>
    </row>
    <row r="67" spans="1:6" x14ac:dyDescent="0.3">
      <c r="A67" s="22" t="s">
        <v>1030</v>
      </c>
      <c r="B67" s="22" t="s">
        <v>4560</v>
      </c>
      <c r="C67" s="24">
        <v>24</v>
      </c>
      <c r="D67" s="22" t="s">
        <v>116</v>
      </c>
      <c r="E67" s="22" t="s">
        <v>4494</v>
      </c>
      <c r="F67" s="23">
        <v>44851</v>
      </c>
    </row>
    <row r="68" spans="1:6" x14ac:dyDescent="0.3">
      <c r="A68" s="22" t="s">
        <v>626</v>
      </c>
      <c r="B68" s="22" t="s">
        <v>4561</v>
      </c>
      <c r="C68" s="24">
        <v>59</v>
      </c>
      <c r="D68" s="22" t="s">
        <v>116</v>
      </c>
      <c r="E68" s="22" t="s">
        <v>4502</v>
      </c>
      <c r="F68" s="23">
        <v>44020</v>
      </c>
    </row>
    <row r="69" spans="1:6" x14ac:dyDescent="0.3">
      <c r="A69" s="22" t="s">
        <v>724</v>
      </c>
      <c r="B69" s="22" t="s">
        <v>4562</v>
      </c>
      <c r="C69" s="24">
        <v>48</v>
      </c>
      <c r="D69" s="22" t="s">
        <v>116</v>
      </c>
      <c r="E69" s="22" t="s">
        <v>4502</v>
      </c>
      <c r="F69" s="23">
        <v>44553</v>
      </c>
    </row>
    <row r="70" spans="1:6" x14ac:dyDescent="0.3">
      <c r="A70" s="22" t="s">
        <v>252</v>
      </c>
      <c r="B70" s="22" t="s">
        <v>4563</v>
      </c>
      <c r="C70" s="24">
        <v>51</v>
      </c>
      <c r="D70" s="22" t="s">
        <v>111</v>
      </c>
      <c r="E70" s="22" t="s">
        <v>4494</v>
      </c>
      <c r="F70" s="23">
        <v>43906</v>
      </c>
    </row>
    <row r="71" spans="1:6" x14ac:dyDescent="0.3">
      <c r="A71" s="22" t="s">
        <v>465</v>
      </c>
      <c r="B71" s="22" t="s">
        <v>4564</v>
      </c>
      <c r="C71" s="24">
        <v>42</v>
      </c>
      <c r="D71" s="22" t="s">
        <v>129</v>
      </c>
      <c r="E71" s="22" t="s">
        <v>4494</v>
      </c>
      <c r="F71" s="23">
        <v>44568</v>
      </c>
    </row>
    <row r="72" spans="1:6" x14ac:dyDescent="0.3">
      <c r="A72" s="22" t="s">
        <v>118</v>
      </c>
      <c r="B72" s="22" t="s">
        <v>4565</v>
      </c>
      <c r="C72" s="24">
        <v>46</v>
      </c>
      <c r="D72" s="22" t="s">
        <v>116</v>
      </c>
      <c r="E72" s="22" t="s">
        <v>4496</v>
      </c>
      <c r="F72" s="23">
        <v>44574</v>
      </c>
    </row>
    <row r="73" spans="1:6" x14ac:dyDescent="0.3">
      <c r="A73" s="22" t="s">
        <v>1319</v>
      </c>
      <c r="B73" s="22" t="s">
        <v>4566</v>
      </c>
      <c r="C73" s="24">
        <v>62</v>
      </c>
      <c r="D73" s="22" t="s">
        <v>129</v>
      </c>
      <c r="E73" s="22" t="s">
        <v>4496</v>
      </c>
      <c r="F73" s="23">
        <v>44301</v>
      </c>
    </row>
    <row r="74" spans="1:6" x14ac:dyDescent="0.3">
      <c r="A74" s="22" t="s">
        <v>802</v>
      </c>
      <c r="B74" s="22" t="s">
        <v>4567</v>
      </c>
      <c r="C74" s="24">
        <v>40</v>
      </c>
      <c r="D74" s="22" t="s">
        <v>105</v>
      </c>
      <c r="E74" s="22" t="s">
        <v>4496</v>
      </c>
      <c r="F74" s="23">
        <v>45190</v>
      </c>
    </row>
    <row r="75" spans="1:6" x14ac:dyDescent="0.3">
      <c r="A75" s="22" t="s">
        <v>1144</v>
      </c>
      <c r="B75" s="22" t="s">
        <v>4568</v>
      </c>
      <c r="C75" s="24">
        <v>27</v>
      </c>
      <c r="D75" s="22" t="s">
        <v>134</v>
      </c>
      <c r="E75" s="22" t="s">
        <v>4494</v>
      </c>
      <c r="F75" s="23">
        <v>45100</v>
      </c>
    </row>
    <row r="76" spans="1:6" x14ac:dyDescent="0.3">
      <c r="A76" s="22" t="s">
        <v>709</v>
      </c>
      <c r="B76" s="22" t="s">
        <v>4569</v>
      </c>
      <c r="C76" s="24">
        <v>55</v>
      </c>
      <c r="D76" s="22" t="s">
        <v>129</v>
      </c>
      <c r="E76" s="22" t="s">
        <v>4496</v>
      </c>
      <c r="F76" s="23">
        <v>43973</v>
      </c>
    </row>
    <row r="77" spans="1:6" x14ac:dyDescent="0.3">
      <c r="A77" s="22" t="s">
        <v>2207</v>
      </c>
      <c r="B77" s="22" t="s">
        <v>4570</v>
      </c>
      <c r="C77" s="24">
        <v>38</v>
      </c>
      <c r="D77" s="22" t="s">
        <v>129</v>
      </c>
      <c r="E77" s="22" t="s">
        <v>4494</v>
      </c>
      <c r="F77" s="23">
        <v>43964</v>
      </c>
    </row>
    <row r="78" spans="1:6" x14ac:dyDescent="0.3">
      <c r="A78" s="22" t="s">
        <v>731</v>
      </c>
      <c r="B78" s="22" t="s">
        <v>4571</v>
      </c>
      <c r="C78" s="24">
        <v>48</v>
      </c>
      <c r="D78" s="22" t="s">
        <v>151</v>
      </c>
      <c r="E78" s="22" t="s">
        <v>4502</v>
      </c>
      <c r="F78" s="23">
        <v>44443</v>
      </c>
    </row>
    <row r="79" spans="1:6" x14ac:dyDescent="0.3">
      <c r="A79" s="22" t="s">
        <v>395</v>
      </c>
      <c r="B79" s="22" t="s">
        <v>4572</v>
      </c>
      <c r="C79" s="24">
        <v>31</v>
      </c>
      <c r="D79" s="22" t="s">
        <v>116</v>
      </c>
      <c r="E79" s="22" t="s">
        <v>4494</v>
      </c>
      <c r="F79" s="23">
        <v>45133</v>
      </c>
    </row>
    <row r="80" spans="1:6" x14ac:dyDescent="0.3">
      <c r="A80" s="22" t="s">
        <v>754</v>
      </c>
      <c r="B80" s="22" t="s">
        <v>4573</v>
      </c>
      <c r="C80" s="24">
        <v>60</v>
      </c>
      <c r="D80" s="22" t="s">
        <v>129</v>
      </c>
      <c r="E80" s="22" t="s">
        <v>4496</v>
      </c>
      <c r="F80" s="23">
        <v>44271</v>
      </c>
    </row>
    <row r="81" spans="1:6" x14ac:dyDescent="0.3">
      <c r="A81" s="22" t="s">
        <v>573</v>
      </c>
      <c r="B81" s="22" t="s">
        <v>4574</v>
      </c>
      <c r="C81" s="24">
        <v>30</v>
      </c>
      <c r="D81" s="22" t="s">
        <v>105</v>
      </c>
      <c r="E81" s="22" t="s">
        <v>4502</v>
      </c>
      <c r="F81" s="23">
        <v>43901</v>
      </c>
    </row>
    <row r="82" spans="1:6" x14ac:dyDescent="0.3">
      <c r="A82" s="22" t="s">
        <v>458</v>
      </c>
      <c r="B82" s="22" t="s">
        <v>4575</v>
      </c>
      <c r="C82" s="24">
        <v>25</v>
      </c>
      <c r="D82" s="22" t="s">
        <v>129</v>
      </c>
      <c r="E82" s="22" t="s">
        <v>4494</v>
      </c>
      <c r="F82" s="23">
        <v>44331</v>
      </c>
    </row>
    <row r="83" spans="1:6" x14ac:dyDescent="0.3">
      <c r="A83" s="22" t="s">
        <v>392</v>
      </c>
      <c r="B83" s="22" t="s">
        <v>4576</v>
      </c>
      <c r="C83" s="24">
        <v>36</v>
      </c>
      <c r="D83" s="22" t="s">
        <v>151</v>
      </c>
      <c r="E83" s="22" t="s">
        <v>4502</v>
      </c>
      <c r="F83" s="23">
        <v>44152</v>
      </c>
    </row>
    <row r="84" spans="1:6" x14ac:dyDescent="0.3">
      <c r="A84" s="22" t="s">
        <v>1734</v>
      </c>
      <c r="B84" s="22" t="s">
        <v>4577</v>
      </c>
      <c r="C84" s="24">
        <v>31</v>
      </c>
      <c r="D84" s="22" t="s">
        <v>134</v>
      </c>
      <c r="E84" s="22" t="s">
        <v>4496</v>
      </c>
      <c r="F84" s="23">
        <v>44248</v>
      </c>
    </row>
    <row r="85" spans="1:6" x14ac:dyDescent="0.3">
      <c r="A85" s="22" t="s">
        <v>403</v>
      </c>
      <c r="B85" s="22" t="s">
        <v>4578</v>
      </c>
      <c r="C85" s="24">
        <v>28</v>
      </c>
      <c r="D85" s="22" t="s">
        <v>111</v>
      </c>
      <c r="E85" s="22" t="s">
        <v>4494</v>
      </c>
      <c r="F85" s="23">
        <v>44116</v>
      </c>
    </row>
    <row r="86" spans="1:6" x14ac:dyDescent="0.3">
      <c r="A86" s="22" t="s">
        <v>810</v>
      </c>
      <c r="B86" s="22" t="s">
        <v>4579</v>
      </c>
      <c r="C86" s="24">
        <v>26</v>
      </c>
      <c r="D86" s="22" t="s">
        <v>111</v>
      </c>
      <c r="E86" s="22" t="s">
        <v>4494</v>
      </c>
      <c r="F86" s="23">
        <v>45149</v>
      </c>
    </row>
    <row r="87" spans="1:6" x14ac:dyDescent="0.3">
      <c r="A87" s="22" t="s">
        <v>219</v>
      </c>
      <c r="B87" s="22" t="s">
        <v>4580</v>
      </c>
      <c r="C87" s="24">
        <v>56</v>
      </c>
      <c r="D87" s="22" t="s">
        <v>151</v>
      </c>
      <c r="E87" s="22" t="s">
        <v>4496</v>
      </c>
      <c r="F87" s="23">
        <v>45039</v>
      </c>
    </row>
    <row r="88" spans="1:6" x14ac:dyDescent="0.3">
      <c r="A88" s="22" t="s">
        <v>635</v>
      </c>
      <c r="B88" s="22" t="s">
        <v>4581</v>
      </c>
      <c r="C88" s="24">
        <v>49</v>
      </c>
      <c r="D88" s="22" t="s">
        <v>105</v>
      </c>
      <c r="E88" s="22" t="s">
        <v>4502</v>
      </c>
      <c r="F88" s="23">
        <v>44621</v>
      </c>
    </row>
    <row r="89" spans="1:6" x14ac:dyDescent="0.3">
      <c r="A89" s="22" t="s">
        <v>301</v>
      </c>
      <c r="B89" s="22" t="s">
        <v>4582</v>
      </c>
      <c r="C89" s="24">
        <v>24</v>
      </c>
      <c r="D89" s="22" t="s">
        <v>111</v>
      </c>
      <c r="E89" s="22" t="s">
        <v>4494</v>
      </c>
      <c r="F89" s="23">
        <v>44693</v>
      </c>
    </row>
    <row r="90" spans="1:6" x14ac:dyDescent="0.3">
      <c r="A90" s="22" t="s">
        <v>1367</v>
      </c>
      <c r="B90" s="22" t="s">
        <v>4583</v>
      </c>
      <c r="C90" s="24">
        <v>43</v>
      </c>
      <c r="D90" s="22" t="s">
        <v>129</v>
      </c>
      <c r="E90" s="22" t="s">
        <v>4502</v>
      </c>
      <c r="F90" s="23">
        <v>44513</v>
      </c>
    </row>
    <row r="91" spans="1:6" x14ac:dyDescent="0.3">
      <c r="A91" s="22" t="s">
        <v>833</v>
      </c>
      <c r="B91" s="22" t="s">
        <v>4584</v>
      </c>
      <c r="C91" s="24">
        <v>26</v>
      </c>
      <c r="D91" s="22" t="s">
        <v>134</v>
      </c>
      <c r="E91" s="22" t="s">
        <v>4496</v>
      </c>
      <c r="F91" s="23">
        <v>44137</v>
      </c>
    </row>
    <row r="92" spans="1:6" x14ac:dyDescent="0.3">
      <c r="A92" s="22" t="s">
        <v>1375</v>
      </c>
      <c r="B92" s="22" t="s">
        <v>4585</v>
      </c>
      <c r="C92" s="24">
        <v>55</v>
      </c>
      <c r="D92" s="22" t="s">
        <v>116</v>
      </c>
      <c r="E92" s="22" t="s">
        <v>4494</v>
      </c>
      <c r="F92" s="23">
        <v>45178</v>
      </c>
    </row>
    <row r="93" spans="1:6" x14ac:dyDescent="0.3">
      <c r="A93" s="22" t="s">
        <v>500</v>
      </c>
      <c r="B93" s="22" t="s">
        <v>4586</v>
      </c>
      <c r="C93" s="24">
        <v>28</v>
      </c>
      <c r="D93" s="22" t="s">
        <v>134</v>
      </c>
      <c r="E93" s="22" t="s">
        <v>4502</v>
      </c>
      <c r="F93" s="23">
        <v>44731</v>
      </c>
    </row>
    <row r="94" spans="1:6" x14ac:dyDescent="0.3">
      <c r="A94" s="22" t="s">
        <v>1208</v>
      </c>
      <c r="B94" s="22" t="s">
        <v>4587</v>
      </c>
      <c r="C94" s="24">
        <v>36</v>
      </c>
      <c r="D94" s="22" t="s">
        <v>105</v>
      </c>
      <c r="E94" s="22" t="s">
        <v>4494</v>
      </c>
      <c r="F94" s="23">
        <v>44743</v>
      </c>
    </row>
    <row r="95" spans="1:6" x14ac:dyDescent="0.3">
      <c r="A95" s="22" t="s">
        <v>386</v>
      </c>
      <c r="B95" s="22" t="s">
        <v>4588</v>
      </c>
      <c r="C95" s="24">
        <v>60</v>
      </c>
      <c r="D95" s="22" t="s">
        <v>105</v>
      </c>
      <c r="E95" s="22" t="s">
        <v>4502</v>
      </c>
      <c r="F95" s="23">
        <v>44915</v>
      </c>
    </row>
    <row r="96" spans="1:6" x14ac:dyDescent="0.3">
      <c r="A96" s="22" t="s">
        <v>268</v>
      </c>
      <c r="B96" s="22" t="s">
        <v>4589</v>
      </c>
      <c r="C96" s="24">
        <v>54</v>
      </c>
      <c r="D96" s="22" t="s">
        <v>129</v>
      </c>
      <c r="E96" s="22" t="s">
        <v>4502</v>
      </c>
      <c r="F96" s="23">
        <v>44622</v>
      </c>
    </row>
    <row r="97" spans="1:6" x14ac:dyDescent="0.3">
      <c r="A97" s="22" t="s">
        <v>482</v>
      </c>
      <c r="B97" s="22" t="s">
        <v>4590</v>
      </c>
      <c r="C97" s="24">
        <v>27</v>
      </c>
      <c r="D97" s="22" t="s">
        <v>116</v>
      </c>
      <c r="E97" s="22" t="s">
        <v>4496</v>
      </c>
      <c r="F97" s="23">
        <v>44445</v>
      </c>
    </row>
    <row r="98" spans="1:6" x14ac:dyDescent="0.3">
      <c r="A98" s="22" t="s">
        <v>763</v>
      </c>
      <c r="B98" s="22" t="s">
        <v>4591</v>
      </c>
      <c r="C98" s="24">
        <v>65</v>
      </c>
      <c r="D98" s="22" t="s">
        <v>129</v>
      </c>
      <c r="E98" s="22" t="s">
        <v>4494</v>
      </c>
      <c r="F98" s="23">
        <v>43899</v>
      </c>
    </row>
    <row r="99" spans="1:6" x14ac:dyDescent="0.3">
      <c r="A99" s="22" t="s">
        <v>113</v>
      </c>
      <c r="B99" s="22" t="s">
        <v>4592</v>
      </c>
      <c r="C99" s="24">
        <v>52</v>
      </c>
      <c r="D99" s="22" t="s">
        <v>116</v>
      </c>
      <c r="E99" s="22" t="s">
        <v>4494</v>
      </c>
      <c r="F99" s="23">
        <v>44406</v>
      </c>
    </row>
    <row r="100" spans="1:6" x14ac:dyDescent="0.3">
      <c r="A100" s="22" t="s">
        <v>2947</v>
      </c>
      <c r="B100" s="22" t="s">
        <v>4593</v>
      </c>
      <c r="C100" s="24">
        <v>54</v>
      </c>
      <c r="D100" s="22" t="s">
        <v>134</v>
      </c>
      <c r="E100" s="22" t="s">
        <v>4502</v>
      </c>
      <c r="F100" s="23">
        <v>44938</v>
      </c>
    </row>
    <row r="101" spans="1:6" x14ac:dyDescent="0.3">
      <c r="A101" s="22" t="s">
        <v>2650</v>
      </c>
      <c r="B101" s="22" t="s">
        <v>4594</v>
      </c>
      <c r="C101" s="24">
        <v>60</v>
      </c>
      <c r="D101" s="22" t="s">
        <v>151</v>
      </c>
      <c r="E101" s="22" t="s">
        <v>4496</v>
      </c>
      <c r="F101" s="23">
        <v>45072</v>
      </c>
    </row>
    <row r="102" spans="1:6" x14ac:dyDescent="0.3">
      <c r="A102" s="22" t="s">
        <v>200</v>
      </c>
      <c r="B102" s="22" t="s">
        <v>4595</v>
      </c>
      <c r="C102" s="24">
        <v>40</v>
      </c>
      <c r="D102" s="22" t="s">
        <v>151</v>
      </c>
      <c r="E102" s="22" t="s">
        <v>4502</v>
      </c>
      <c r="F102" s="23">
        <v>44021</v>
      </c>
    </row>
    <row r="103" spans="1:6" x14ac:dyDescent="0.3">
      <c r="A103" s="22" t="s">
        <v>462</v>
      </c>
      <c r="B103" s="22" t="s">
        <v>4596</v>
      </c>
      <c r="C103" s="24">
        <v>62</v>
      </c>
      <c r="D103" s="22" t="s">
        <v>111</v>
      </c>
      <c r="E103" s="22" t="s">
        <v>4502</v>
      </c>
      <c r="F103" s="23">
        <v>45092</v>
      </c>
    </row>
    <row r="104" spans="1:6" x14ac:dyDescent="0.3">
      <c r="A104" s="22" t="s">
        <v>1439</v>
      </c>
      <c r="B104" s="22" t="s">
        <v>4597</v>
      </c>
      <c r="C104" s="24">
        <v>54</v>
      </c>
      <c r="D104" s="22" t="s">
        <v>151</v>
      </c>
      <c r="E104" s="22" t="s">
        <v>4496</v>
      </c>
      <c r="F104" s="23">
        <v>45080</v>
      </c>
    </row>
    <row r="105" spans="1:6" x14ac:dyDescent="0.3">
      <c r="A105" s="22" t="s">
        <v>594</v>
      </c>
      <c r="B105" s="22" t="s">
        <v>4598</v>
      </c>
      <c r="C105" s="24">
        <v>43</v>
      </c>
      <c r="D105" s="22" t="s">
        <v>151</v>
      </c>
      <c r="E105" s="22" t="s">
        <v>4496</v>
      </c>
      <c r="F105" s="23">
        <v>44018</v>
      </c>
    </row>
    <row r="106" spans="1:6" x14ac:dyDescent="0.3">
      <c r="A106" s="22" t="s">
        <v>2125</v>
      </c>
      <c r="B106" s="22" t="s">
        <v>4599</v>
      </c>
      <c r="C106" s="24">
        <v>51</v>
      </c>
      <c r="D106" s="22" t="s">
        <v>111</v>
      </c>
      <c r="E106" s="22" t="s">
        <v>4502</v>
      </c>
      <c r="F106" s="23">
        <v>44060</v>
      </c>
    </row>
    <row r="107" spans="1:6" x14ac:dyDescent="0.3">
      <c r="A107" s="22" t="s">
        <v>529</v>
      </c>
      <c r="B107" s="22" t="s">
        <v>4600</v>
      </c>
      <c r="C107" s="24">
        <v>22</v>
      </c>
      <c r="D107" s="22" t="s">
        <v>105</v>
      </c>
      <c r="E107" s="22" t="s">
        <v>4494</v>
      </c>
      <c r="F107" s="23">
        <v>45192</v>
      </c>
    </row>
    <row r="108" spans="1:6" x14ac:dyDescent="0.3">
      <c r="A108" s="22" t="s">
        <v>196</v>
      </c>
      <c r="B108" s="22" t="s">
        <v>4601</v>
      </c>
      <c r="C108" s="24">
        <v>50</v>
      </c>
      <c r="D108" s="22" t="s">
        <v>105</v>
      </c>
      <c r="E108" s="22" t="s">
        <v>4494</v>
      </c>
      <c r="F108" s="23">
        <v>44007</v>
      </c>
    </row>
    <row r="109" spans="1:6" x14ac:dyDescent="0.3">
      <c r="A109" s="22" t="s">
        <v>408</v>
      </c>
      <c r="B109" s="22" t="s">
        <v>4602</v>
      </c>
      <c r="C109" s="24">
        <v>59</v>
      </c>
      <c r="D109" s="22" t="s">
        <v>134</v>
      </c>
      <c r="E109" s="22" t="s">
        <v>4496</v>
      </c>
      <c r="F109" s="23">
        <v>44382</v>
      </c>
    </row>
    <row r="110" spans="1:6" x14ac:dyDescent="0.3">
      <c r="A110" s="22" t="s">
        <v>1979</v>
      </c>
      <c r="B110" s="22" t="s">
        <v>4603</v>
      </c>
      <c r="C110" s="24">
        <v>42</v>
      </c>
      <c r="D110" s="22" t="s">
        <v>105</v>
      </c>
      <c r="E110" s="22" t="s">
        <v>4494</v>
      </c>
      <c r="F110" s="23">
        <v>44698</v>
      </c>
    </row>
    <row r="111" spans="1:6" x14ac:dyDescent="0.3">
      <c r="A111" s="22" t="s">
        <v>873</v>
      </c>
      <c r="B111" s="22" t="s">
        <v>4524</v>
      </c>
      <c r="C111" s="24">
        <v>31</v>
      </c>
      <c r="D111" s="22" t="s">
        <v>105</v>
      </c>
      <c r="E111" s="22" t="s">
        <v>4496</v>
      </c>
      <c r="F111" s="23">
        <v>44346</v>
      </c>
    </row>
    <row r="112" spans="1:6" x14ac:dyDescent="0.3">
      <c r="A112" s="22" t="s">
        <v>543</v>
      </c>
      <c r="B112" s="22" t="s">
        <v>4604</v>
      </c>
      <c r="C112" s="24">
        <v>64</v>
      </c>
      <c r="D112" s="22" t="s">
        <v>111</v>
      </c>
      <c r="E112" s="22" t="s">
        <v>4502</v>
      </c>
      <c r="F112" s="23">
        <v>44309</v>
      </c>
    </row>
    <row r="113" spans="1:6" x14ac:dyDescent="0.3">
      <c r="A113" s="22" t="s">
        <v>278</v>
      </c>
      <c r="B113" s="22" t="s">
        <v>4605</v>
      </c>
      <c r="C113" s="24">
        <v>64</v>
      </c>
      <c r="D113" s="22" t="s">
        <v>151</v>
      </c>
      <c r="E113" s="22" t="s">
        <v>4494</v>
      </c>
      <c r="F113" s="23">
        <v>44015</v>
      </c>
    </row>
    <row r="114" spans="1:6" x14ac:dyDescent="0.3">
      <c r="A114" s="22" t="s">
        <v>505</v>
      </c>
      <c r="B114" s="22" t="s">
        <v>4606</v>
      </c>
      <c r="C114" s="24">
        <v>30</v>
      </c>
      <c r="D114" s="22" t="s">
        <v>116</v>
      </c>
      <c r="E114" s="22" t="s">
        <v>4494</v>
      </c>
      <c r="F114" s="23">
        <v>44490</v>
      </c>
    </row>
    <row r="115" spans="1:6" x14ac:dyDescent="0.3">
      <c r="A115" s="22" t="s">
        <v>534</v>
      </c>
      <c r="B115" s="22" t="s">
        <v>4607</v>
      </c>
      <c r="C115" s="24">
        <v>42</v>
      </c>
      <c r="D115" s="22" t="s">
        <v>134</v>
      </c>
      <c r="E115" s="22" t="s">
        <v>4496</v>
      </c>
      <c r="F115" s="23">
        <v>44907</v>
      </c>
    </row>
    <row r="116" spans="1:6" x14ac:dyDescent="0.3">
      <c r="A116" s="22" t="s">
        <v>861</v>
      </c>
      <c r="B116" s="22" t="s">
        <v>4530</v>
      </c>
      <c r="C116" s="24">
        <v>65</v>
      </c>
      <c r="D116" s="22" t="s">
        <v>129</v>
      </c>
      <c r="E116" s="22" t="s">
        <v>4502</v>
      </c>
      <c r="F116" s="23">
        <v>44381</v>
      </c>
    </row>
    <row r="117" spans="1:6" x14ac:dyDescent="0.3">
      <c r="A117" s="22" t="s">
        <v>2746</v>
      </c>
      <c r="B117" s="22" t="s">
        <v>4608</v>
      </c>
      <c r="C117" s="24">
        <v>53</v>
      </c>
      <c r="D117" s="22" t="s">
        <v>4609</v>
      </c>
      <c r="E117" s="22" t="s">
        <v>4494</v>
      </c>
      <c r="F117" s="23">
        <v>44050</v>
      </c>
    </row>
    <row r="118" spans="1:6" x14ac:dyDescent="0.3">
      <c r="A118" s="22" t="s">
        <v>590</v>
      </c>
      <c r="B118" s="22" t="s">
        <v>4610</v>
      </c>
      <c r="C118" s="24">
        <v>34</v>
      </c>
      <c r="D118" s="22" t="s">
        <v>116</v>
      </c>
      <c r="E118" s="22" t="s">
        <v>4502</v>
      </c>
      <c r="F118" s="23">
        <v>44581</v>
      </c>
    </row>
    <row r="119" spans="1:6" x14ac:dyDescent="0.3">
      <c r="A119" s="22" t="s">
        <v>240</v>
      </c>
      <c r="B119" s="22" t="s">
        <v>4611</v>
      </c>
      <c r="C119" s="24">
        <v>26</v>
      </c>
      <c r="D119" s="22" t="s">
        <v>151</v>
      </c>
      <c r="E119" s="22" t="s">
        <v>4494</v>
      </c>
      <c r="F119" s="23">
        <v>44916</v>
      </c>
    </row>
    <row r="120" spans="1:6" x14ac:dyDescent="0.3">
      <c r="A120" s="22" t="s">
        <v>618</v>
      </c>
      <c r="B120" s="22" t="s">
        <v>4612</v>
      </c>
      <c r="C120" s="24">
        <v>43</v>
      </c>
      <c r="D120" s="22" t="s">
        <v>134</v>
      </c>
      <c r="E120" s="22" t="s">
        <v>4502</v>
      </c>
      <c r="F120" s="23">
        <v>44360</v>
      </c>
    </row>
    <row r="121" spans="1:6" x14ac:dyDescent="0.3">
      <c r="A121" s="22" t="s">
        <v>1984</v>
      </c>
      <c r="B121" s="22" t="s">
        <v>4613</v>
      </c>
      <c r="C121" s="24">
        <v>29</v>
      </c>
      <c r="D121" s="22" t="s">
        <v>129</v>
      </c>
      <c r="E121" s="22" t="s">
        <v>4494</v>
      </c>
      <c r="F121" s="23">
        <v>44871</v>
      </c>
    </row>
    <row r="122" spans="1:6" x14ac:dyDescent="0.3">
      <c r="A122" s="22" t="s">
        <v>706</v>
      </c>
      <c r="B122" s="22" t="s">
        <v>4614</v>
      </c>
      <c r="C122" s="24">
        <v>55</v>
      </c>
      <c r="D122" s="22" t="s">
        <v>116</v>
      </c>
      <c r="E122" s="22" t="s">
        <v>4502</v>
      </c>
      <c r="F122" s="23">
        <v>45119</v>
      </c>
    </row>
    <row r="123" spans="1:6" x14ac:dyDescent="0.3">
      <c r="A123" s="22" t="s">
        <v>1952</v>
      </c>
      <c r="B123" s="22" t="s">
        <v>4615</v>
      </c>
      <c r="C123" s="24">
        <v>44</v>
      </c>
      <c r="D123" s="22" t="s">
        <v>129</v>
      </c>
      <c r="E123" s="22" t="s">
        <v>4494</v>
      </c>
      <c r="F123" s="23">
        <v>44686</v>
      </c>
    </row>
    <row r="124" spans="1:6" x14ac:dyDescent="0.3">
      <c r="A124" s="22" t="s">
        <v>1333</v>
      </c>
      <c r="B124" s="22" t="s">
        <v>4616</v>
      </c>
      <c r="C124" s="24">
        <v>44</v>
      </c>
      <c r="D124" s="22" t="s">
        <v>111</v>
      </c>
      <c r="E124" s="22" t="s">
        <v>4496</v>
      </c>
      <c r="F124" s="23">
        <v>44589</v>
      </c>
    </row>
    <row r="125" spans="1:6" x14ac:dyDescent="0.3">
      <c r="A125" s="22" t="s">
        <v>658</v>
      </c>
      <c r="B125" s="22" t="s">
        <v>4617</v>
      </c>
      <c r="C125" s="24">
        <v>57</v>
      </c>
      <c r="D125" s="22" t="s">
        <v>105</v>
      </c>
      <c r="E125" s="22" t="s">
        <v>4494</v>
      </c>
      <c r="F125" s="23">
        <v>44818</v>
      </c>
    </row>
    <row r="126" spans="1:6" x14ac:dyDescent="0.3">
      <c r="A126" s="22" t="s">
        <v>719</v>
      </c>
      <c r="B126" s="22" t="s">
        <v>4618</v>
      </c>
      <c r="C126" s="24">
        <v>45</v>
      </c>
      <c r="D126" s="22" t="s">
        <v>116</v>
      </c>
      <c r="E126" s="22" t="s">
        <v>4494</v>
      </c>
      <c r="F126" s="23">
        <v>44263</v>
      </c>
    </row>
    <row r="127" spans="1:6" x14ac:dyDescent="0.3">
      <c r="A127" s="22" t="s">
        <v>1362</v>
      </c>
      <c r="B127" s="22" t="s">
        <v>4619</v>
      </c>
      <c r="C127" s="24">
        <v>37</v>
      </c>
      <c r="D127" s="22" t="s">
        <v>129</v>
      </c>
      <c r="E127" s="22" t="s">
        <v>4494</v>
      </c>
      <c r="F127" s="23">
        <v>44561</v>
      </c>
    </row>
    <row r="128" spans="1:6" x14ac:dyDescent="0.3">
      <c r="A128" s="22" t="s">
        <v>1508</v>
      </c>
      <c r="B128" s="22" t="s">
        <v>4525</v>
      </c>
      <c r="C128" s="24">
        <v>36</v>
      </c>
      <c r="D128" s="22" t="s">
        <v>134</v>
      </c>
      <c r="E128" s="22" t="s">
        <v>4502</v>
      </c>
      <c r="F128" s="23">
        <v>45036</v>
      </c>
    </row>
    <row r="129" spans="1:6" x14ac:dyDescent="0.3">
      <c r="A129" s="22" t="s">
        <v>1454</v>
      </c>
      <c r="B129" s="22" t="s">
        <v>4620</v>
      </c>
      <c r="C129" s="24">
        <v>35</v>
      </c>
      <c r="D129" s="22" t="s">
        <v>151</v>
      </c>
      <c r="E129" s="22" t="s">
        <v>4494</v>
      </c>
      <c r="F129" s="23">
        <v>44602</v>
      </c>
    </row>
    <row r="130" spans="1:6" x14ac:dyDescent="0.3">
      <c r="A130" s="22" t="s">
        <v>361</v>
      </c>
      <c r="B130" s="22" t="s">
        <v>4621</v>
      </c>
      <c r="C130" s="24">
        <v>29</v>
      </c>
      <c r="D130" s="22" t="s">
        <v>4622</v>
      </c>
      <c r="E130" s="22" t="s">
        <v>4494</v>
      </c>
      <c r="F130" s="23">
        <v>44930</v>
      </c>
    </row>
    <row r="131" spans="1:6" x14ac:dyDescent="0.3">
      <c r="A131" s="22" t="s">
        <v>1253</v>
      </c>
      <c r="B131" s="22" t="s">
        <v>4623</v>
      </c>
      <c r="C131" s="24">
        <v>41</v>
      </c>
      <c r="D131" s="22" t="s">
        <v>134</v>
      </c>
      <c r="E131" s="22" t="s">
        <v>4496</v>
      </c>
      <c r="F131" s="23">
        <v>44897</v>
      </c>
    </row>
    <row r="132" spans="1:6" x14ac:dyDescent="0.3">
      <c r="A132" s="22" t="s">
        <v>448</v>
      </c>
      <c r="B132" s="22" t="s">
        <v>4624</v>
      </c>
      <c r="C132" s="24">
        <v>28</v>
      </c>
      <c r="D132" s="22" t="s">
        <v>4499</v>
      </c>
      <c r="E132" s="22" t="s">
        <v>4502</v>
      </c>
      <c r="F132" s="23">
        <v>44158</v>
      </c>
    </row>
    <row r="133" spans="1:6" x14ac:dyDescent="0.3">
      <c r="A133" s="22" t="s">
        <v>979</v>
      </c>
      <c r="B133" s="22" t="s">
        <v>4625</v>
      </c>
      <c r="C133" s="24">
        <v>41</v>
      </c>
      <c r="D133" s="22" t="s">
        <v>116</v>
      </c>
      <c r="E133" s="22" t="s">
        <v>4494</v>
      </c>
      <c r="F133" s="23">
        <v>44754</v>
      </c>
    </row>
    <row r="134" spans="1:6" x14ac:dyDescent="0.3">
      <c r="A134" s="22" t="s">
        <v>425</v>
      </c>
      <c r="B134" s="22" t="s">
        <v>4626</v>
      </c>
      <c r="C134" s="24">
        <v>26</v>
      </c>
      <c r="D134" s="22" t="s">
        <v>111</v>
      </c>
      <c r="E134" s="22" t="s">
        <v>4494</v>
      </c>
      <c r="F134" s="23">
        <v>43837</v>
      </c>
    </row>
    <row r="135" spans="1:6" x14ac:dyDescent="0.3">
      <c r="A135" s="22" t="s">
        <v>876</v>
      </c>
      <c r="B135" s="22" t="s">
        <v>4627</v>
      </c>
      <c r="C135" s="24">
        <v>40</v>
      </c>
      <c r="D135" s="22" t="s">
        <v>116</v>
      </c>
      <c r="E135" s="22" t="s">
        <v>4494</v>
      </c>
      <c r="F135" s="23">
        <v>45111</v>
      </c>
    </row>
    <row r="136" spans="1:6" x14ac:dyDescent="0.3">
      <c r="A136" s="22" t="s">
        <v>772</v>
      </c>
      <c r="B136" s="22" t="s">
        <v>4628</v>
      </c>
      <c r="C136" s="24">
        <v>24</v>
      </c>
      <c r="D136" s="22" t="s">
        <v>105</v>
      </c>
      <c r="E136" s="22" t="s">
        <v>4502</v>
      </c>
      <c r="F136" s="23">
        <v>44673</v>
      </c>
    </row>
    <row r="137" spans="1:6" x14ac:dyDescent="0.3">
      <c r="A137" s="22" t="s">
        <v>1270</v>
      </c>
      <c r="B137" s="22" t="s">
        <v>4629</v>
      </c>
      <c r="C137" s="24">
        <v>26</v>
      </c>
      <c r="D137" s="22" t="s">
        <v>111</v>
      </c>
      <c r="E137" s="22" t="s">
        <v>4502</v>
      </c>
      <c r="F137" s="23">
        <v>44122</v>
      </c>
    </row>
    <row r="138" spans="1:6" x14ac:dyDescent="0.3">
      <c r="A138" s="22" t="s">
        <v>584</v>
      </c>
      <c r="B138" s="22" t="s">
        <v>4588</v>
      </c>
      <c r="C138" s="24">
        <v>41</v>
      </c>
      <c r="D138" s="22" t="s">
        <v>129</v>
      </c>
      <c r="E138" s="22" t="s">
        <v>4494</v>
      </c>
      <c r="F138" s="23">
        <v>44946</v>
      </c>
    </row>
    <row r="139" spans="1:6" x14ac:dyDescent="0.3">
      <c r="A139" s="22" t="s">
        <v>1035</v>
      </c>
      <c r="B139" s="22" t="s">
        <v>4630</v>
      </c>
      <c r="C139" s="24">
        <v>24</v>
      </c>
      <c r="D139" s="22" t="s">
        <v>111</v>
      </c>
      <c r="E139" s="22" t="s">
        <v>4494</v>
      </c>
      <c r="F139" s="23">
        <v>43955</v>
      </c>
    </row>
    <row r="140" spans="1:6" x14ac:dyDescent="0.3">
      <c r="A140" s="22" t="s">
        <v>411</v>
      </c>
      <c r="B140" s="22" t="s">
        <v>4631</v>
      </c>
      <c r="C140" s="24">
        <v>65</v>
      </c>
      <c r="D140" s="22" t="s">
        <v>151</v>
      </c>
      <c r="E140" s="22" t="s">
        <v>4502</v>
      </c>
      <c r="F140" s="23">
        <v>43997</v>
      </c>
    </row>
    <row r="141" spans="1:6" x14ac:dyDescent="0.3">
      <c r="A141" s="22" t="s">
        <v>3596</v>
      </c>
      <c r="B141" s="22" t="s">
        <v>4632</v>
      </c>
      <c r="C141" s="24">
        <v>39</v>
      </c>
      <c r="D141" s="22" t="s">
        <v>151</v>
      </c>
      <c r="E141" s="22" t="s">
        <v>4502</v>
      </c>
      <c r="F141" s="23">
        <v>43854</v>
      </c>
    </row>
    <row r="142" spans="1:6" x14ac:dyDescent="0.3">
      <c r="A142" s="22" t="s">
        <v>879</v>
      </c>
      <c r="B142" s="22" t="s">
        <v>4633</v>
      </c>
      <c r="C142" s="24">
        <v>22</v>
      </c>
      <c r="D142" s="22" t="s">
        <v>151</v>
      </c>
      <c r="E142" s="22" t="s">
        <v>4496</v>
      </c>
      <c r="F142" s="23">
        <v>45069</v>
      </c>
    </row>
    <row r="143" spans="1:6" x14ac:dyDescent="0.3">
      <c r="A143" s="22" t="s">
        <v>204</v>
      </c>
      <c r="B143" s="22" t="s">
        <v>4576</v>
      </c>
      <c r="C143" s="24">
        <v>55</v>
      </c>
      <c r="D143" s="22" t="s">
        <v>4634</v>
      </c>
      <c r="E143" s="22" t="s">
        <v>4496</v>
      </c>
      <c r="F143" s="23">
        <v>44597</v>
      </c>
    </row>
    <row r="144" spans="1:6" x14ac:dyDescent="0.3">
      <c r="A144" s="22" t="s">
        <v>215</v>
      </c>
      <c r="B144" s="22" t="s">
        <v>4635</v>
      </c>
      <c r="C144" s="24">
        <v>52</v>
      </c>
      <c r="D144" s="22" t="s">
        <v>111</v>
      </c>
      <c r="E144" s="22" t="s">
        <v>4502</v>
      </c>
      <c r="F144" s="23">
        <v>44194</v>
      </c>
    </row>
    <row r="145" spans="1:6" x14ac:dyDescent="0.3">
      <c r="A145" s="22" t="s">
        <v>1659</v>
      </c>
      <c r="B145" s="22" t="s">
        <v>4636</v>
      </c>
      <c r="C145" s="24">
        <v>49</v>
      </c>
      <c r="D145" s="22" t="s">
        <v>111</v>
      </c>
      <c r="E145" s="22" t="s">
        <v>4494</v>
      </c>
      <c r="F145" s="23">
        <v>44931</v>
      </c>
    </row>
    <row r="146" spans="1:6" x14ac:dyDescent="0.3">
      <c r="A146" s="22" t="s">
        <v>473</v>
      </c>
      <c r="B146" s="22" t="s">
        <v>4637</v>
      </c>
      <c r="C146" s="24">
        <v>44</v>
      </c>
      <c r="D146" s="22" t="s">
        <v>134</v>
      </c>
      <c r="E146" s="22" t="s">
        <v>4502</v>
      </c>
      <c r="F146" s="23">
        <v>44009</v>
      </c>
    </row>
    <row r="147" spans="1:6" x14ac:dyDescent="0.3">
      <c r="A147" s="22" t="s">
        <v>537</v>
      </c>
      <c r="B147" s="22" t="s">
        <v>4638</v>
      </c>
      <c r="C147" s="24">
        <v>22</v>
      </c>
      <c r="D147" s="22" t="s">
        <v>151</v>
      </c>
      <c r="E147" s="22" t="s">
        <v>4494</v>
      </c>
      <c r="F147" s="23">
        <v>44681</v>
      </c>
    </row>
    <row r="148" spans="1:6" x14ac:dyDescent="0.3">
      <c r="A148" s="22" t="s">
        <v>144</v>
      </c>
      <c r="B148" s="22" t="s">
        <v>4639</v>
      </c>
      <c r="C148" s="24">
        <v>56</v>
      </c>
      <c r="D148" s="22" t="s">
        <v>105</v>
      </c>
      <c r="E148" s="22" t="s">
        <v>4494</v>
      </c>
      <c r="F148" s="23">
        <v>44644</v>
      </c>
    </row>
    <row r="149" spans="1:6" x14ac:dyDescent="0.3">
      <c r="A149" s="22" t="s">
        <v>1221</v>
      </c>
      <c r="B149" s="22" t="s">
        <v>4640</v>
      </c>
      <c r="C149" s="24">
        <v>32</v>
      </c>
      <c r="D149" s="22" t="s">
        <v>111</v>
      </c>
      <c r="E149" s="22" t="s">
        <v>4494</v>
      </c>
      <c r="F149" s="23">
        <v>44014</v>
      </c>
    </row>
    <row r="150" spans="1:6" x14ac:dyDescent="0.3">
      <c r="A150" s="22" t="s">
        <v>491</v>
      </c>
      <c r="B150" s="22" t="s">
        <v>4641</v>
      </c>
      <c r="C150" s="24">
        <v>44</v>
      </c>
      <c r="D150" s="22" t="s">
        <v>3140</v>
      </c>
      <c r="E150" s="22" t="s">
        <v>4494</v>
      </c>
      <c r="F150" s="23">
        <v>44390</v>
      </c>
    </row>
    <row r="151" spans="1:6" x14ac:dyDescent="0.3">
      <c r="A151" s="22" t="s">
        <v>520</v>
      </c>
      <c r="B151" s="22" t="s">
        <v>4631</v>
      </c>
      <c r="C151" s="24">
        <v>53</v>
      </c>
      <c r="D151" s="22" t="s">
        <v>105</v>
      </c>
      <c r="E151" s="22" t="s">
        <v>4502</v>
      </c>
      <c r="F151" s="23">
        <v>45208</v>
      </c>
    </row>
    <row r="152" spans="1:6" x14ac:dyDescent="0.3">
      <c r="A152" s="22" t="s">
        <v>858</v>
      </c>
      <c r="B152" s="22" t="s">
        <v>4642</v>
      </c>
      <c r="C152" s="24">
        <v>53</v>
      </c>
      <c r="D152" s="22" t="s">
        <v>129</v>
      </c>
      <c r="E152" s="22" t="s">
        <v>4494</v>
      </c>
      <c r="F152" s="23">
        <v>43999</v>
      </c>
    </row>
    <row r="153" spans="1:6" x14ac:dyDescent="0.3">
      <c r="A153" s="22" t="s">
        <v>271</v>
      </c>
      <c r="B153" s="22" t="s">
        <v>4643</v>
      </c>
      <c r="C153" s="24">
        <v>64</v>
      </c>
      <c r="D153" s="22" t="s">
        <v>134</v>
      </c>
      <c r="E153" s="22" t="s">
        <v>4502</v>
      </c>
      <c r="F153" s="23">
        <v>44209</v>
      </c>
    </row>
    <row r="154" spans="1:6" x14ac:dyDescent="0.3">
      <c r="A154" s="22" t="s">
        <v>982</v>
      </c>
      <c r="B154" s="22" t="s">
        <v>4644</v>
      </c>
      <c r="C154" s="24">
        <v>35</v>
      </c>
      <c r="D154" s="22" t="s">
        <v>129</v>
      </c>
      <c r="E154" s="22" t="s">
        <v>4494</v>
      </c>
      <c r="F154" s="23">
        <v>44787</v>
      </c>
    </row>
    <row r="155" spans="1:6" x14ac:dyDescent="0.3">
      <c r="A155" s="22" t="s">
        <v>1192</v>
      </c>
      <c r="B155" s="22" t="s">
        <v>4645</v>
      </c>
      <c r="C155" s="24">
        <v>36</v>
      </c>
      <c r="D155" s="22" t="s">
        <v>105</v>
      </c>
      <c r="E155" s="22" t="s">
        <v>4494</v>
      </c>
      <c r="F155" s="23">
        <v>44370</v>
      </c>
    </row>
    <row r="156" spans="1:6" x14ac:dyDescent="0.3">
      <c r="A156" s="22" t="s">
        <v>847</v>
      </c>
      <c r="B156" s="22" t="s">
        <v>4646</v>
      </c>
      <c r="C156" s="24">
        <v>40</v>
      </c>
      <c r="D156" s="22" t="s">
        <v>105</v>
      </c>
      <c r="E156" s="22" t="s">
        <v>4496</v>
      </c>
      <c r="F156" s="23">
        <v>44693</v>
      </c>
    </row>
    <row r="157" spans="1:6" x14ac:dyDescent="0.3">
      <c r="A157" s="22" t="s">
        <v>1606</v>
      </c>
      <c r="B157" s="22" t="s">
        <v>4647</v>
      </c>
      <c r="C157" s="24">
        <v>33</v>
      </c>
      <c r="D157" s="22" t="s">
        <v>129</v>
      </c>
      <c r="E157" s="22" t="s">
        <v>4494</v>
      </c>
      <c r="F157" s="23">
        <v>45229</v>
      </c>
    </row>
    <row r="158" spans="1:6" x14ac:dyDescent="0.3">
      <c r="A158" s="22" t="s">
        <v>1012</v>
      </c>
      <c r="B158" s="22" t="s">
        <v>4648</v>
      </c>
      <c r="C158" s="24">
        <v>52</v>
      </c>
      <c r="D158" s="22" t="s">
        <v>105</v>
      </c>
      <c r="E158" s="22" t="s">
        <v>4496</v>
      </c>
      <c r="F158" s="23">
        <v>44896</v>
      </c>
    </row>
    <row r="159" spans="1:6" x14ac:dyDescent="0.3">
      <c r="A159" s="22" t="s">
        <v>1719</v>
      </c>
      <c r="B159" s="22" t="s">
        <v>4649</v>
      </c>
      <c r="C159" s="24">
        <v>42</v>
      </c>
      <c r="D159" s="22" t="s">
        <v>105</v>
      </c>
      <c r="E159" s="22" t="s">
        <v>4496</v>
      </c>
      <c r="F159" s="23">
        <v>44617</v>
      </c>
    </row>
    <row r="160" spans="1:6" x14ac:dyDescent="0.3">
      <c r="A160" s="22" t="s">
        <v>189</v>
      </c>
      <c r="B160" s="22" t="s">
        <v>4650</v>
      </c>
      <c r="C160" s="24">
        <v>32</v>
      </c>
      <c r="D160" s="22" t="s">
        <v>4622</v>
      </c>
      <c r="E160" s="22" t="s">
        <v>4494</v>
      </c>
      <c r="F160" s="23">
        <v>44432</v>
      </c>
    </row>
    <row r="161" spans="1:6" x14ac:dyDescent="0.3">
      <c r="A161" s="22" t="s">
        <v>928</v>
      </c>
      <c r="B161" s="22" t="s">
        <v>4651</v>
      </c>
      <c r="C161" s="24">
        <v>27</v>
      </c>
      <c r="D161" s="22" t="s">
        <v>151</v>
      </c>
      <c r="E161" s="22" t="s">
        <v>4494</v>
      </c>
      <c r="F161" s="23">
        <v>44481</v>
      </c>
    </row>
    <row r="162" spans="1:6" x14ac:dyDescent="0.3">
      <c r="A162" s="22" t="s">
        <v>348</v>
      </c>
      <c r="B162" s="22" t="s">
        <v>4652</v>
      </c>
      <c r="C162" s="24">
        <v>38</v>
      </c>
      <c r="D162" s="22" t="s">
        <v>111</v>
      </c>
      <c r="E162" s="22" t="s">
        <v>4494</v>
      </c>
      <c r="F162" s="23">
        <v>43880</v>
      </c>
    </row>
    <row r="163" spans="1:6" x14ac:dyDescent="0.3">
      <c r="A163" s="22" t="s">
        <v>703</v>
      </c>
      <c r="B163" s="22" t="s">
        <v>4653</v>
      </c>
      <c r="C163" s="24">
        <v>35</v>
      </c>
      <c r="D163" s="22" t="s">
        <v>129</v>
      </c>
      <c r="E163" s="22" t="s">
        <v>4496</v>
      </c>
      <c r="F163" s="23">
        <v>44741</v>
      </c>
    </row>
    <row r="164" spans="1:6" x14ac:dyDescent="0.3">
      <c r="A164" s="22" t="s">
        <v>645</v>
      </c>
      <c r="B164" s="22" t="s">
        <v>4520</v>
      </c>
      <c r="C164" s="24">
        <v>49</v>
      </c>
      <c r="D164" s="22" t="s">
        <v>105</v>
      </c>
      <c r="E164" s="22" t="s">
        <v>4494</v>
      </c>
      <c r="F164" s="23">
        <v>44971</v>
      </c>
    </row>
    <row r="165" spans="1:6" x14ac:dyDescent="0.3">
      <c r="A165" s="22" t="s">
        <v>439</v>
      </c>
      <c r="B165" s="22" t="s">
        <v>4505</v>
      </c>
      <c r="C165" s="24">
        <v>60</v>
      </c>
      <c r="D165" s="22" t="s">
        <v>111</v>
      </c>
      <c r="E165" s="22" t="s">
        <v>4494</v>
      </c>
      <c r="F165" s="23">
        <v>44739</v>
      </c>
    </row>
    <row r="166" spans="1:6" x14ac:dyDescent="0.3">
      <c r="A166" s="22" t="s">
        <v>599</v>
      </c>
      <c r="B166" s="22" t="s">
        <v>4539</v>
      </c>
      <c r="C166" s="24">
        <v>29</v>
      </c>
      <c r="D166" s="22" t="s">
        <v>105</v>
      </c>
      <c r="E166" s="22" t="s">
        <v>4494</v>
      </c>
      <c r="F166" s="23">
        <v>44046</v>
      </c>
    </row>
    <row r="167" spans="1:6" x14ac:dyDescent="0.3">
      <c r="A167" s="22" t="s">
        <v>953</v>
      </c>
      <c r="B167" s="22" t="s">
        <v>4654</v>
      </c>
      <c r="C167" s="24">
        <v>31</v>
      </c>
      <c r="D167" s="22" t="s">
        <v>151</v>
      </c>
      <c r="E167" s="22" t="s">
        <v>4494</v>
      </c>
      <c r="F167" s="23">
        <v>44331</v>
      </c>
    </row>
    <row r="168" spans="1:6" x14ac:dyDescent="0.3">
      <c r="A168" s="22" t="s">
        <v>897</v>
      </c>
      <c r="B168" s="22" t="s">
        <v>4655</v>
      </c>
      <c r="C168" s="24">
        <v>43</v>
      </c>
      <c r="D168" s="22" t="s">
        <v>116</v>
      </c>
      <c r="E168" s="22" t="s">
        <v>4494</v>
      </c>
      <c r="F168" s="23">
        <v>44891</v>
      </c>
    </row>
    <row r="169" spans="1:6" x14ac:dyDescent="0.3">
      <c r="A169" s="22" t="s">
        <v>337</v>
      </c>
      <c r="B169" s="22" t="s">
        <v>4656</v>
      </c>
      <c r="C169" s="24">
        <v>25</v>
      </c>
      <c r="D169" s="22" t="s">
        <v>105</v>
      </c>
      <c r="E169" s="22" t="s">
        <v>4494</v>
      </c>
      <c r="F169" s="23">
        <v>44406</v>
      </c>
    </row>
    <row r="170" spans="1:6" x14ac:dyDescent="0.3">
      <c r="A170" s="22" t="s">
        <v>850</v>
      </c>
      <c r="B170" s="22" t="s">
        <v>4657</v>
      </c>
      <c r="C170" s="24">
        <v>42</v>
      </c>
      <c r="D170" s="22" t="s">
        <v>134</v>
      </c>
      <c r="E170" s="22" t="s">
        <v>4502</v>
      </c>
      <c r="F170" s="23">
        <v>45072</v>
      </c>
    </row>
    <row r="171" spans="1:6" x14ac:dyDescent="0.3">
      <c r="A171" s="22" t="s">
        <v>435</v>
      </c>
      <c r="B171" s="22" t="s">
        <v>4658</v>
      </c>
      <c r="C171" s="24">
        <v>22</v>
      </c>
      <c r="D171" s="22" t="s">
        <v>129</v>
      </c>
      <c r="E171" s="22" t="s">
        <v>4502</v>
      </c>
      <c r="F171" s="23">
        <v>45110</v>
      </c>
    </row>
    <row r="172" spans="1:6" x14ac:dyDescent="0.3">
      <c r="A172" s="22" t="s">
        <v>817</v>
      </c>
      <c r="B172" s="22" t="s">
        <v>4659</v>
      </c>
      <c r="C172" s="24">
        <v>30</v>
      </c>
      <c r="D172" s="22" t="s">
        <v>111</v>
      </c>
      <c r="E172" s="22" t="s">
        <v>4496</v>
      </c>
      <c r="F172" s="23">
        <v>44540</v>
      </c>
    </row>
    <row r="173" spans="1:6" x14ac:dyDescent="0.3">
      <c r="A173" s="22" t="s">
        <v>576</v>
      </c>
      <c r="B173" s="22" t="s">
        <v>4660</v>
      </c>
      <c r="C173" s="24">
        <v>65</v>
      </c>
      <c r="D173" s="22" t="s">
        <v>105</v>
      </c>
      <c r="E173" s="22" t="s">
        <v>4494</v>
      </c>
      <c r="F173" s="23">
        <v>44918</v>
      </c>
    </row>
    <row r="174" spans="1:6" x14ac:dyDescent="0.3">
      <c r="A174" s="22" t="s">
        <v>757</v>
      </c>
      <c r="B174" s="22" t="s">
        <v>4661</v>
      </c>
      <c r="C174" s="24">
        <v>65</v>
      </c>
      <c r="D174" s="22" t="s">
        <v>129</v>
      </c>
      <c r="E174" s="22" t="s">
        <v>4494</v>
      </c>
      <c r="F174" s="23">
        <v>44342</v>
      </c>
    </row>
    <row r="175" spans="1:6" x14ac:dyDescent="0.3">
      <c r="A175" s="22" t="s">
        <v>1442</v>
      </c>
      <c r="B175" s="22" t="s">
        <v>4662</v>
      </c>
      <c r="C175" s="24">
        <v>54</v>
      </c>
      <c r="D175" s="22" t="s">
        <v>105</v>
      </c>
      <c r="E175" s="22" t="s">
        <v>4494</v>
      </c>
      <c r="F175" s="23">
        <v>44609</v>
      </c>
    </row>
    <row r="176" spans="1:6" x14ac:dyDescent="0.3">
      <c r="A176" s="22" t="s">
        <v>318</v>
      </c>
      <c r="B176" s="22" t="s">
        <v>4663</v>
      </c>
      <c r="C176" s="24">
        <v>55</v>
      </c>
      <c r="D176" s="22" t="s">
        <v>116</v>
      </c>
      <c r="E176" s="22" t="s">
        <v>4496</v>
      </c>
      <c r="F176" s="23">
        <v>44423</v>
      </c>
    </row>
    <row r="177" spans="1:6" x14ac:dyDescent="0.3">
      <c r="A177" s="22" t="s">
        <v>296</v>
      </c>
      <c r="B177" s="22" t="s">
        <v>4664</v>
      </c>
      <c r="C177" s="24">
        <v>34</v>
      </c>
      <c r="D177" s="22" t="s">
        <v>134</v>
      </c>
      <c r="E177" s="22" t="s">
        <v>4502</v>
      </c>
      <c r="F177" s="23">
        <v>44091</v>
      </c>
    </row>
    <row r="178" spans="1:6" x14ac:dyDescent="0.3">
      <c r="A178" s="22" t="s">
        <v>246</v>
      </c>
      <c r="B178" s="22" t="s">
        <v>4591</v>
      </c>
      <c r="C178" s="24">
        <v>36</v>
      </c>
      <c r="D178" s="22" t="s">
        <v>129</v>
      </c>
      <c r="E178" s="22" t="s">
        <v>4502</v>
      </c>
      <c r="F178" s="23">
        <v>44589</v>
      </c>
    </row>
    <row r="179" spans="1:6" x14ac:dyDescent="0.3">
      <c r="A179" s="22" t="s">
        <v>742</v>
      </c>
      <c r="B179" s="22" t="s">
        <v>4665</v>
      </c>
      <c r="C179" s="24">
        <v>25</v>
      </c>
      <c r="D179" s="22" t="s">
        <v>151</v>
      </c>
      <c r="E179" s="22" t="s">
        <v>4494</v>
      </c>
      <c r="F179" s="23">
        <v>45164</v>
      </c>
    </row>
    <row r="180" spans="1:6" x14ac:dyDescent="0.3">
      <c r="A180" s="22" t="s">
        <v>1654</v>
      </c>
      <c r="B180" s="22" t="s">
        <v>4666</v>
      </c>
      <c r="C180" s="24">
        <v>54</v>
      </c>
      <c r="D180" s="22" t="s">
        <v>129</v>
      </c>
      <c r="E180" s="22" t="s">
        <v>4502</v>
      </c>
      <c r="F180" s="23">
        <v>44959</v>
      </c>
    </row>
    <row r="181" spans="1:6" x14ac:dyDescent="0.3">
      <c r="A181" s="22" t="s">
        <v>122</v>
      </c>
      <c r="B181" s="22" t="s">
        <v>4667</v>
      </c>
      <c r="C181" s="24">
        <v>36</v>
      </c>
      <c r="D181" s="22" t="s">
        <v>111</v>
      </c>
      <c r="E181" s="22" t="s">
        <v>4494</v>
      </c>
      <c r="F181" s="23">
        <v>45172</v>
      </c>
    </row>
    <row r="182" spans="1:6" x14ac:dyDescent="0.3">
      <c r="A182" s="22" t="s">
        <v>445</v>
      </c>
      <c r="B182" s="22" t="s">
        <v>4668</v>
      </c>
      <c r="C182" s="24">
        <v>38</v>
      </c>
      <c r="D182" s="22" t="s">
        <v>116</v>
      </c>
      <c r="E182" s="22" t="s">
        <v>4502</v>
      </c>
      <c r="F182" s="23">
        <v>44245</v>
      </c>
    </row>
    <row r="183" spans="1:6" x14ac:dyDescent="0.3">
      <c r="A183" s="22" t="s">
        <v>181</v>
      </c>
      <c r="B183" s="22" t="s">
        <v>4669</v>
      </c>
      <c r="C183" s="24">
        <v>54</v>
      </c>
      <c r="D183" s="22" t="s">
        <v>129</v>
      </c>
      <c r="E183" s="22" t="s">
        <v>4494</v>
      </c>
      <c r="F183" s="23">
        <v>43942</v>
      </c>
    </row>
    <row r="184" spans="1:6" x14ac:dyDescent="0.3">
      <c r="A184" s="22" t="s">
        <v>906</v>
      </c>
      <c r="B184" s="22" t="s">
        <v>4670</v>
      </c>
      <c r="C184" s="24">
        <v>27</v>
      </c>
      <c r="D184" s="22" t="s">
        <v>129</v>
      </c>
      <c r="E184" s="22" t="s">
        <v>4502</v>
      </c>
      <c r="F184" s="23">
        <v>43936</v>
      </c>
    </row>
    <row r="185" spans="1:6" x14ac:dyDescent="0.3">
      <c r="A185" s="22" t="s">
        <v>170</v>
      </c>
      <c r="B185" s="22" t="s">
        <v>4671</v>
      </c>
      <c r="C185" s="24">
        <v>63</v>
      </c>
      <c r="D185" s="22" t="s">
        <v>105</v>
      </c>
      <c r="E185" s="22" t="s">
        <v>4494</v>
      </c>
      <c r="F185" s="23">
        <v>44642</v>
      </c>
    </row>
    <row r="186" spans="1:6" x14ac:dyDescent="0.3">
      <c r="A186" s="22" t="s">
        <v>769</v>
      </c>
      <c r="B186" s="22" t="s">
        <v>4672</v>
      </c>
      <c r="C186" s="24">
        <v>43</v>
      </c>
      <c r="D186" s="22" t="s">
        <v>151</v>
      </c>
      <c r="E186" s="22" t="s">
        <v>4502</v>
      </c>
      <c r="F186" s="23">
        <v>44140</v>
      </c>
    </row>
    <row r="187" spans="1:6" x14ac:dyDescent="0.3">
      <c r="A187" s="22" t="s">
        <v>249</v>
      </c>
      <c r="B187" s="22" t="s">
        <v>4661</v>
      </c>
      <c r="C187" s="24">
        <v>42</v>
      </c>
      <c r="D187" s="22" t="s">
        <v>134</v>
      </c>
      <c r="E187" s="22" t="s">
        <v>4494</v>
      </c>
      <c r="F187" s="23">
        <v>45162</v>
      </c>
    </row>
    <row r="188" spans="1:6" x14ac:dyDescent="0.3">
      <c r="A188" s="22" t="s">
        <v>511</v>
      </c>
      <c r="B188" s="22" t="s">
        <v>4673</v>
      </c>
      <c r="C188" s="24">
        <v>51</v>
      </c>
      <c r="D188" s="22" t="s">
        <v>111</v>
      </c>
      <c r="E188" s="22" t="s">
        <v>4502</v>
      </c>
      <c r="F188" s="23">
        <v>43918</v>
      </c>
    </row>
    <row r="189" spans="1:6" x14ac:dyDescent="0.3">
      <c r="A189" s="22" t="s">
        <v>2036</v>
      </c>
      <c r="B189" s="22" t="s">
        <v>4674</v>
      </c>
      <c r="C189" s="24">
        <v>54</v>
      </c>
      <c r="D189" s="22" t="s">
        <v>134</v>
      </c>
      <c r="E189" s="22" t="s">
        <v>4494</v>
      </c>
      <c r="F189" s="23">
        <v>44476</v>
      </c>
    </row>
    <row r="190" spans="1:6" x14ac:dyDescent="0.3">
      <c r="A190" s="22" t="s">
        <v>364</v>
      </c>
      <c r="B190" s="22" t="s">
        <v>4675</v>
      </c>
      <c r="C190" s="24">
        <v>41</v>
      </c>
      <c r="D190" s="22" t="s">
        <v>111</v>
      </c>
      <c r="E190" s="22" t="s">
        <v>4494</v>
      </c>
      <c r="F190" s="23">
        <v>44392</v>
      </c>
    </row>
    <row r="191" spans="1:6" x14ac:dyDescent="0.3">
      <c r="A191" s="22" t="s">
        <v>1230</v>
      </c>
      <c r="B191" s="22" t="s">
        <v>4676</v>
      </c>
      <c r="C191" s="24">
        <v>52</v>
      </c>
      <c r="D191" s="22" t="s">
        <v>151</v>
      </c>
      <c r="E191" s="22" t="s">
        <v>4494</v>
      </c>
      <c r="F191" s="23">
        <v>44668</v>
      </c>
    </row>
    <row r="192" spans="1:6" x14ac:dyDescent="0.3">
      <c r="A192" s="22" t="s">
        <v>355</v>
      </c>
      <c r="B192" s="22" t="s">
        <v>4677</v>
      </c>
      <c r="C192" s="24">
        <v>43</v>
      </c>
      <c r="D192" s="22" t="s">
        <v>151</v>
      </c>
      <c r="E192" s="22" t="s">
        <v>4502</v>
      </c>
      <c r="F192" s="23">
        <v>44080</v>
      </c>
    </row>
    <row r="193" spans="1:6" x14ac:dyDescent="0.3">
      <c r="A193" s="22" t="s">
        <v>554</v>
      </c>
      <c r="B193" s="22" t="s">
        <v>4678</v>
      </c>
      <c r="C193" s="24">
        <v>55</v>
      </c>
      <c r="D193" s="22" t="s">
        <v>134</v>
      </c>
      <c r="E193" s="22" t="s">
        <v>4494</v>
      </c>
      <c r="F193" s="23">
        <v>44663</v>
      </c>
    </row>
    <row r="194" spans="1:6" x14ac:dyDescent="0.3">
      <c r="A194" s="22" t="s">
        <v>377</v>
      </c>
      <c r="B194" s="22" t="s">
        <v>4679</v>
      </c>
      <c r="C194" s="24">
        <v>42</v>
      </c>
      <c r="D194" s="22" t="s">
        <v>134</v>
      </c>
      <c r="E194" s="22" t="s">
        <v>4494</v>
      </c>
      <c r="F194" s="23">
        <v>43886</v>
      </c>
    </row>
    <row r="195" spans="1:6" x14ac:dyDescent="0.3">
      <c r="A195" s="22" t="s">
        <v>307</v>
      </c>
      <c r="B195" s="22" t="s">
        <v>4530</v>
      </c>
      <c r="C195" s="24">
        <v>55</v>
      </c>
      <c r="D195" s="22" t="s">
        <v>116</v>
      </c>
      <c r="E195" s="22" t="s">
        <v>4502</v>
      </c>
      <c r="F195" s="23">
        <v>43869</v>
      </c>
    </row>
    <row r="196" spans="1:6" x14ac:dyDescent="0.3">
      <c r="A196" s="22" t="s">
        <v>1396</v>
      </c>
      <c r="B196" s="22" t="s">
        <v>4680</v>
      </c>
      <c r="C196" s="24">
        <v>28</v>
      </c>
      <c r="D196" s="22" t="s">
        <v>134</v>
      </c>
      <c r="E196" s="22" t="s">
        <v>4494</v>
      </c>
      <c r="F196" s="23">
        <v>44056</v>
      </c>
    </row>
    <row r="197" spans="1:6" x14ac:dyDescent="0.3">
      <c r="A197" s="22" t="s">
        <v>972</v>
      </c>
      <c r="B197" s="22" t="s">
        <v>4681</v>
      </c>
      <c r="C197" s="24">
        <v>26</v>
      </c>
      <c r="D197" s="22" t="s">
        <v>111</v>
      </c>
      <c r="E197" s="22" t="s">
        <v>4494</v>
      </c>
      <c r="F197" s="23">
        <v>44738</v>
      </c>
    </row>
    <row r="198" spans="1:6" x14ac:dyDescent="0.3">
      <c r="A198" s="22" t="s">
        <v>608</v>
      </c>
      <c r="B198" s="22" t="s">
        <v>4682</v>
      </c>
      <c r="C198" s="24">
        <v>55</v>
      </c>
      <c r="D198" s="22" t="s">
        <v>134</v>
      </c>
      <c r="E198" s="22" t="s">
        <v>4494</v>
      </c>
      <c r="F198" s="23">
        <v>44715</v>
      </c>
    </row>
    <row r="199" spans="1:6" x14ac:dyDescent="0.3">
      <c r="A199" s="22" t="s">
        <v>868</v>
      </c>
      <c r="B199" s="22" t="s">
        <v>4683</v>
      </c>
      <c r="C199" s="24">
        <v>22</v>
      </c>
      <c r="D199" s="22" t="s">
        <v>111</v>
      </c>
      <c r="E199" s="22" t="s">
        <v>4496</v>
      </c>
      <c r="F199" s="23">
        <v>44907</v>
      </c>
    </row>
    <row r="200" spans="1:6" x14ac:dyDescent="0.3">
      <c r="A200" s="22" t="s">
        <v>1478</v>
      </c>
      <c r="B200" s="22" t="s">
        <v>4684</v>
      </c>
      <c r="C200" s="24">
        <v>31</v>
      </c>
      <c r="D200" s="22" t="s">
        <v>151</v>
      </c>
      <c r="E200" s="22" t="s">
        <v>4502</v>
      </c>
      <c r="F200" s="23">
        <v>44821</v>
      </c>
    </row>
    <row r="201" spans="1:6" x14ac:dyDescent="0.3">
      <c r="A201" s="22" t="s">
        <v>369</v>
      </c>
      <c r="B201" s="22" t="s">
        <v>4628</v>
      </c>
      <c r="C201" s="24">
        <v>46</v>
      </c>
      <c r="D201" s="22" t="s">
        <v>4622</v>
      </c>
      <c r="E201" s="22" t="s">
        <v>4496</v>
      </c>
      <c r="F201" s="23">
        <v>44396</v>
      </c>
    </row>
    <row r="202" spans="1:6" x14ac:dyDescent="0.3">
      <c r="A202" s="22" t="s">
        <v>1372</v>
      </c>
      <c r="B202" s="22" t="s">
        <v>4685</v>
      </c>
      <c r="C202" s="24">
        <v>31</v>
      </c>
      <c r="D202" s="22" t="s">
        <v>151</v>
      </c>
      <c r="E202" s="22" t="s">
        <v>4494</v>
      </c>
      <c r="F202" s="23">
        <v>44629</v>
      </c>
    </row>
    <row r="203" spans="1:6" x14ac:dyDescent="0.3">
      <c r="A203" s="22" t="s">
        <v>107</v>
      </c>
      <c r="B203" s="22" t="s">
        <v>4686</v>
      </c>
      <c r="C203" s="24">
        <v>39</v>
      </c>
      <c r="D203" s="22" t="s">
        <v>111</v>
      </c>
      <c r="E203" s="22" t="s">
        <v>4494</v>
      </c>
      <c r="F203" s="23">
        <v>44149</v>
      </c>
    </row>
    <row r="204" spans="1:6" x14ac:dyDescent="0.3">
      <c r="A204" s="22" t="s">
        <v>326</v>
      </c>
      <c r="B204" s="22" t="s">
        <v>4687</v>
      </c>
      <c r="C204" s="24">
        <v>55</v>
      </c>
      <c r="D204" s="22" t="s">
        <v>111</v>
      </c>
      <c r="E204" s="22" t="s">
        <v>4502</v>
      </c>
      <c r="F204" s="23">
        <v>44912</v>
      </c>
    </row>
    <row r="205" spans="1:6" x14ac:dyDescent="0.3">
      <c r="A205" s="22" t="s">
        <v>148</v>
      </c>
      <c r="B205" s="22" t="s">
        <v>4688</v>
      </c>
      <c r="C205" s="24">
        <v>60</v>
      </c>
      <c r="D205" s="22" t="s">
        <v>151</v>
      </c>
      <c r="E205" s="22" t="s">
        <v>4494</v>
      </c>
      <c r="F205" s="23">
        <v>44738</v>
      </c>
    </row>
    <row r="206" spans="1:6" x14ac:dyDescent="0.3">
      <c r="A206" s="22" t="s">
        <v>1497</v>
      </c>
      <c r="B206" s="22" t="s">
        <v>4534</v>
      </c>
      <c r="C206" s="24">
        <v>29</v>
      </c>
      <c r="D206" s="22" t="s">
        <v>105</v>
      </c>
      <c r="E206" s="22" t="s">
        <v>4496</v>
      </c>
      <c r="F206" s="23">
        <v>45075</v>
      </c>
    </row>
    <row r="207" spans="1:6" x14ac:dyDescent="0.3">
      <c r="A207" s="22" t="s">
        <v>1484</v>
      </c>
      <c r="B207" s="22" t="s">
        <v>4571</v>
      </c>
      <c r="C207" s="24">
        <v>40</v>
      </c>
      <c r="D207" s="22" t="s">
        <v>129</v>
      </c>
      <c r="E207" s="22" t="s">
        <v>4494</v>
      </c>
      <c r="F207" s="23">
        <v>45127</v>
      </c>
    </row>
    <row r="208" spans="1:6" x14ac:dyDescent="0.3">
      <c r="A208" s="22" t="s">
        <v>3276</v>
      </c>
      <c r="B208" s="22" t="s">
        <v>4689</v>
      </c>
      <c r="C208" s="24">
        <v>34</v>
      </c>
      <c r="D208" s="22" t="s">
        <v>151</v>
      </c>
      <c r="E208" s="22" t="s">
        <v>4502</v>
      </c>
      <c r="F208" s="23">
        <v>43954</v>
      </c>
    </row>
    <row r="209" spans="1:6" x14ac:dyDescent="0.3">
      <c r="A209" s="22" t="s">
        <v>416</v>
      </c>
      <c r="B209" s="22" t="s">
        <v>4690</v>
      </c>
      <c r="C209" s="24">
        <v>49</v>
      </c>
      <c r="D209" s="22" t="s">
        <v>129</v>
      </c>
      <c r="E209" s="22" t="s">
        <v>4494</v>
      </c>
      <c r="F209" s="23">
        <v>45082</v>
      </c>
    </row>
    <row r="210" spans="1:6" x14ac:dyDescent="0.3">
      <c r="A210" s="22" t="s">
        <v>1154</v>
      </c>
      <c r="B210" s="22" t="s">
        <v>4691</v>
      </c>
      <c r="C210" s="24">
        <v>31</v>
      </c>
      <c r="D210" s="22" t="s">
        <v>105</v>
      </c>
      <c r="E210" s="22" t="s">
        <v>4494</v>
      </c>
      <c r="F210" s="23">
        <v>44258</v>
      </c>
    </row>
    <row r="211" spans="1:6" x14ac:dyDescent="0.3">
      <c r="A211" s="22" t="s">
        <v>551</v>
      </c>
      <c r="B211" s="22" t="s">
        <v>4692</v>
      </c>
      <c r="C211" s="24">
        <v>48</v>
      </c>
      <c r="D211" s="22" t="s">
        <v>105</v>
      </c>
      <c r="E211" s="22" t="s">
        <v>4496</v>
      </c>
      <c r="F211" s="23">
        <v>44968</v>
      </c>
    </row>
    <row r="212" spans="1:6" x14ac:dyDescent="0.3">
      <c r="A212" s="22" t="s">
        <v>1903</v>
      </c>
      <c r="B212" s="22" t="s">
        <v>4693</v>
      </c>
      <c r="C212" s="24">
        <v>36</v>
      </c>
      <c r="D212" s="22" t="s">
        <v>134</v>
      </c>
      <c r="E212" s="22" t="s">
        <v>4494</v>
      </c>
      <c r="F212" s="23">
        <v>44251</v>
      </c>
    </row>
    <row r="213" spans="1:6" x14ac:dyDescent="0.3">
      <c r="A213" s="22" t="s">
        <v>1007</v>
      </c>
      <c r="B213" s="22" t="s">
        <v>4694</v>
      </c>
      <c r="C213" s="24">
        <v>46</v>
      </c>
      <c r="D213" s="22" t="s">
        <v>111</v>
      </c>
      <c r="E213" s="22" t="s">
        <v>4502</v>
      </c>
      <c r="F213" s="23">
        <v>44594</v>
      </c>
    </row>
    <row r="214" spans="1:6" x14ac:dyDescent="0.3">
      <c r="A214" s="22" t="s">
        <v>1641</v>
      </c>
      <c r="B214" s="22" t="s">
        <v>4530</v>
      </c>
      <c r="C214" s="24">
        <v>37</v>
      </c>
      <c r="D214" s="22" t="s">
        <v>129</v>
      </c>
      <c r="E214" s="22" t="s">
        <v>4494</v>
      </c>
      <c r="F214" s="23">
        <v>44431</v>
      </c>
    </row>
    <row r="215" spans="1:6" x14ac:dyDescent="0.3">
      <c r="A215" s="22" t="s">
        <v>1326</v>
      </c>
      <c r="B215" s="22" t="s">
        <v>4695</v>
      </c>
      <c r="C215" s="24">
        <v>22</v>
      </c>
      <c r="D215" s="22" t="s">
        <v>129</v>
      </c>
      <c r="E215" s="22" t="s">
        <v>4494</v>
      </c>
      <c r="F215" s="23">
        <v>44453</v>
      </c>
    </row>
    <row r="216" spans="1:6" x14ac:dyDescent="0.3">
      <c r="A216" s="22" t="s">
        <v>1114</v>
      </c>
      <c r="B216" s="22" t="s">
        <v>4696</v>
      </c>
      <c r="C216" s="24">
        <v>52</v>
      </c>
      <c r="D216" s="22" t="s">
        <v>151</v>
      </c>
      <c r="E216" s="22" t="s">
        <v>4494</v>
      </c>
      <c r="F216" s="23">
        <v>45105</v>
      </c>
    </row>
    <row r="217" spans="1:6" x14ac:dyDescent="0.3">
      <c r="A217" s="22" t="s">
        <v>497</v>
      </c>
      <c r="B217" s="22" t="s">
        <v>4697</v>
      </c>
      <c r="C217" s="24">
        <v>50</v>
      </c>
      <c r="D217" s="22" t="s">
        <v>129</v>
      </c>
      <c r="E217" s="22" t="s">
        <v>4494</v>
      </c>
      <c r="F217" s="23">
        <v>44204</v>
      </c>
    </row>
    <row r="218" spans="1:6" x14ac:dyDescent="0.3">
      <c r="A218" s="22" t="s">
        <v>1281</v>
      </c>
      <c r="B218" s="22" t="s">
        <v>4698</v>
      </c>
      <c r="C218" s="24">
        <v>59</v>
      </c>
      <c r="D218" s="22" t="s">
        <v>105</v>
      </c>
      <c r="E218" s="22" t="s">
        <v>4502</v>
      </c>
      <c r="F218" s="23">
        <v>44877</v>
      </c>
    </row>
    <row r="219" spans="1:6" x14ac:dyDescent="0.3">
      <c r="A219" s="22" t="s">
        <v>830</v>
      </c>
      <c r="B219" s="22" t="s">
        <v>4699</v>
      </c>
      <c r="C219" s="24">
        <v>39</v>
      </c>
      <c r="D219" s="22" t="s">
        <v>129</v>
      </c>
      <c r="E219" s="22" t="s">
        <v>4494</v>
      </c>
      <c r="F219" s="23">
        <v>44849</v>
      </c>
    </row>
    <row r="220" spans="1:6" x14ac:dyDescent="0.3">
      <c r="A220" s="22" t="s">
        <v>428</v>
      </c>
      <c r="B220" s="22" t="s">
        <v>4700</v>
      </c>
      <c r="C220" s="24">
        <v>38</v>
      </c>
      <c r="D220" s="22" t="s">
        <v>111</v>
      </c>
      <c r="E220" s="22" t="s">
        <v>4496</v>
      </c>
      <c r="F220" s="23">
        <v>44321</v>
      </c>
    </row>
    <row r="221" spans="1:6" x14ac:dyDescent="0.3">
      <c r="A221" s="22" t="s">
        <v>2227</v>
      </c>
      <c r="B221" s="22" t="s">
        <v>4701</v>
      </c>
      <c r="C221" s="24">
        <v>34</v>
      </c>
      <c r="D221" s="22" t="s">
        <v>111</v>
      </c>
      <c r="E221" s="22" t="s">
        <v>4494</v>
      </c>
      <c r="F221" s="23">
        <v>43978</v>
      </c>
    </row>
    <row r="222" spans="1:6" x14ac:dyDescent="0.3">
      <c r="A222" s="22" t="s">
        <v>1147</v>
      </c>
      <c r="B222" s="22" t="s">
        <v>4702</v>
      </c>
      <c r="C222" s="24">
        <v>29</v>
      </c>
      <c r="D222" s="22" t="s">
        <v>116</v>
      </c>
      <c r="E222" s="22" t="s">
        <v>4502</v>
      </c>
      <c r="F222" s="23">
        <v>44061</v>
      </c>
    </row>
    <row r="223" spans="1:6" x14ac:dyDescent="0.3">
      <c r="A223" s="22" t="s">
        <v>264</v>
      </c>
      <c r="B223" s="22" t="s">
        <v>4703</v>
      </c>
      <c r="C223" s="24">
        <v>37</v>
      </c>
      <c r="D223" s="22" t="s">
        <v>111</v>
      </c>
      <c r="E223" s="22" t="s">
        <v>4494</v>
      </c>
      <c r="F223" s="23">
        <v>43877</v>
      </c>
    </row>
    <row r="224" spans="1:6" x14ac:dyDescent="0.3">
      <c r="A224" s="22" t="s">
        <v>1350</v>
      </c>
      <c r="B224" s="22" t="s">
        <v>4704</v>
      </c>
      <c r="C224" s="24">
        <v>46</v>
      </c>
      <c r="D224" s="22" t="s">
        <v>134</v>
      </c>
      <c r="E224" s="22" t="s">
        <v>4494</v>
      </c>
      <c r="F224" s="23">
        <v>44743</v>
      </c>
    </row>
    <row r="225" spans="1:6" x14ac:dyDescent="0.3">
      <c r="A225" s="22" t="s">
        <v>517</v>
      </c>
      <c r="B225" s="22" t="s">
        <v>4705</v>
      </c>
      <c r="C225" s="24">
        <v>24</v>
      </c>
      <c r="D225" s="22" t="s">
        <v>111</v>
      </c>
      <c r="E225" s="22" t="s">
        <v>4496</v>
      </c>
      <c r="F225" s="23">
        <v>44558</v>
      </c>
    </row>
    <row r="226" spans="1:6" x14ac:dyDescent="0.3">
      <c r="A226" s="22" t="s">
        <v>1117</v>
      </c>
      <c r="B226" s="22" t="s">
        <v>4558</v>
      </c>
      <c r="C226" s="24">
        <v>26</v>
      </c>
      <c r="D226" s="22" t="s">
        <v>111</v>
      </c>
      <c r="E226" s="22" t="s">
        <v>4502</v>
      </c>
      <c r="F226" s="23">
        <v>44213</v>
      </c>
    </row>
    <row r="227" spans="1:6" x14ac:dyDescent="0.3">
      <c r="A227" s="22" t="s">
        <v>288</v>
      </c>
      <c r="B227" s="22" t="s">
        <v>4706</v>
      </c>
      <c r="C227" s="24">
        <v>52</v>
      </c>
      <c r="D227" s="22" t="s">
        <v>111</v>
      </c>
      <c r="E227" s="22" t="s">
        <v>4496</v>
      </c>
      <c r="F227" s="23">
        <v>44650</v>
      </c>
    </row>
    <row r="228" spans="1:6" x14ac:dyDescent="0.3">
      <c r="A228" s="22" t="s">
        <v>1549</v>
      </c>
      <c r="B228" s="22" t="s">
        <v>4590</v>
      </c>
      <c r="C228" s="24">
        <v>44</v>
      </c>
      <c r="D228" s="22" t="s">
        <v>134</v>
      </c>
      <c r="E228" s="22" t="s">
        <v>4502</v>
      </c>
      <c r="F228" s="23">
        <v>44121</v>
      </c>
    </row>
    <row r="229" spans="1:6" x14ac:dyDescent="0.3">
      <c r="A229" s="22" t="s">
        <v>604</v>
      </c>
      <c r="B229" s="22" t="s">
        <v>4707</v>
      </c>
      <c r="C229" s="24">
        <v>37</v>
      </c>
      <c r="D229" s="22" t="s">
        <v>105</v>
      </c>
      <c r="E229" s="22" t="s">
        <v>4496</v>
      </c>
      <c r="F229" s="23">
        <v>43952</v>
      </c>
    </row>
    <row r="230" spans="1:6" x14ac:dyDescent="0.3">
      <c r="A230" s="22" t="s">
        <v>1906</v>
      </c>
      <c r="B230" s="22" t="s">
        <v>4708</v>
      </c>
      <c r="C230" s="24">
        <v>25</v>
      </c>
      <c r="D230" s="22" t="s">
        <v>151</v>
      </c>
      <c r="E230" s="22" t="s">
        <v>4502</v>
      </c>
      <c r="F230" s="23">
        <v>44453</v>
      </c>
    </row>
    <row r="231" spans="1:6" x14ac:dyDescent="0.3">
      <c r="A231" s="22" t="s">
        <v>383</v>
      </c>
      <c r="B231" s="22" t="s">
        <v>4709</v>
      </c>
      <c r="C231" s="24">
        <v>33</v>
      </c>
      <c r="D231" s="22" t="s">
        <v>105</v>
      </c>
      <c r="E231" s="22" t="s">
        <v>4496</v>
      </c>
      <c r="F231" s="23">
        <v>43963</v>
      </c>
    </row>
    <row r="232" spans="1:6" x14ac:dyDescent="0.3">
      <c r="A232" s="22" t="s">
        <v>838</v>
      </c>
      <c r="B232" s="22" t="s">
        <v>4710</v>
      </c>
      <c r="C232" s="24">
        <v>61</v>
      </c>
      <c r="D232" s="22" t="s">
        <v>111</v>
      </c>
      <c r="E232" s="22" t="s">
        <v>4494</v>
      </c>
      <c r="F232" s="23">
        <v>45030</v>
      </c>
    </row>
    <row r="233" spans="1:6" x14ac:dyDescent="0.3">
      <c r="A233" s="22" t="s">
        <v>734</v>
      </c>
      <c r="B233" s="22" t="s">
        <v>4711</v>
      </c>
      <c r="C233" s="24">
        <v>38</v>
      </c>
      <c r="D233" s="22" t="s">
        <v>151</v>
      </c>
      <c r="E233" s="22" t="s">
        <v>4494</v>
      </c>
      <c r="F233" s="23">
        <v>44364</v>
      </c>
    </row>
    <row r="234" spans="1:6" x14ac:dyDescent="0.3">
      <c r="A234" s="22" t="s">
        <v>1466</v>
      </c>
      <c r="B234" s="22" t="s">
        <v>4676</v>
      </c>
      <c r="C234" s="24">
        <v>65</v>
      </c>
      <c r="D234" s="22" t="s">
        <v>129</v>
      </c>
      <c r="E234" s="22" t="s">
        <v>4502</v>
      </c>
      <c r="F234" s="23">
        <v>43850</v>
      </c>
    </row>
    <row r="235" spans="1:6" x14ac:dyDescent="0.3">
      <c r="A235" s="22" t="s">
        <v>292</v>
      </c>
      <c r="B235" s="22" t="s">
        <v>4712</v>
      </c>
      <c r="C235" s="24">
        <v>34</v>
      </c>
      <c r="D235" s="22" t="s">
        <v>134</v>
      </c>
      <c r="E235" s="22" t="s">
        <v>4494</v>
      </c>
      <c r="F235" s="23">
        <v>44175</v>
      </c>
    </row>
    <row r="236" spans="1:6" x14ac:dyDescent="0.3">
      <c r="A236" s="22" t="s">
        <v>1473</v>
      </c>
      <c r="B236" s="22" t="s">
        <v>4596</v>
      </c>
      <c r="C236" s="24">
        <v>31</v>
      </c>
      <c r="D236" s="22" t="s">
        <v>111</v>
      </c>
      <c r="E236" s="22" t="s">
        <v>4494</v>
      </c>
      <c r="F236" s="23">
        <v>43903</v>
      </c>
    </row>
    <row r="237" spans="1:6" x14ac:dyDescent="0.3">
      <c r="A237" s="22" t="s">
        <v>1328</v>
      </c>
      <c r="B237" s="22" t="s">
        <v>4713</v>
      </c>
      <c r="C237" s="24">
        <v>28</v>
      </c>
      <c r="D237" s="22" t="s">
        <v>151</v>
      </c>
      <c r="E237" s="22" t="s">
        <v>4502</v>
      </c>
      <c r="F237" s="23">
        <v>43949</v>
      </c>
    </row>
    <row r="238" spans="1:6" x14ac:dyDescent="0.3">
      <c r="A238" s="22" t="s">
        <v>1461</v>
      </c>
      <c r="B238" s="22" t="s">
        <v>4714</v>
      </c>
      <c r="C238" s="24">
        <v>49</v>
      </c>
      <c r="D238" s="22" t="s">
        <v>129</v>
      </c>
      <c r="E238" s="22" t="s">
        <v>4494</v>
      </c>
      <c r="F238" s="23">
        <v>44068</v>
      </c>
    </row>
    <row r="239" spans="1:6" x14ac:dyDescent="0.3">
      <c r="A239" s="22" t="s">
        <v>892</v>
      </c>
      <c r="B239" s="22" t="s">
        <v>4550</v>
      </c>
      <c r="C239" s="24">
        <v>49</v>
      </c>
      <c r="D239" s="22" t="s">
        <v>116</v>
      </c>
      <c r="E239" s="22" t="s">
        <v>4494</v>
      </c>
      <c r="F239" s="23">
        <v>44377</v>
      </c>
    </row>
    <row r="240" spans="1:6" x14ac:dyDescent="0.3">
      <c r="A240" s="22" t="s">
        <v>526</v>
      </c>
      <c r="B240" s="22" t="s">
        <v>4715</v>
      </c>
      <c r="C240" s="24">
        <v>61</v>
      </c>
      <c r="D240" s="22" t="s">
        <v>129</v>
      </c>
      <c r="E240" s="22" t="s">
        <v>4494</v>
      </c>
      <c r="F240" s="23">
        <v>43981</v>
      </c>
    </row>
    <row r="241" spans="1:6" x14ac:dyDescent="0.3">
      <c r="A241" s="22" t="s">
        <v>623</v>
      </c>
      <c r="B241" s="22" t="s">
        <v>4716</v>
      </c>
      <c r="C241" s="24">
        <v>35</v>
      </c>
      <c r="D241" s="22" t="s">
        <v>111</v>
      </c>
      <c r="E241" s="22" t="s">
        <v>4496</v>
      </c>
      <c r="F241" s="23">
        <v>44337</v>
      </c>
    </row>
    <row r="242" spans="1:6" x14ac:dyDescent="0.3">
      <c r="A242" s="22" t="s">
        <v>227</v>
      </c>
      <c r="B242" s="22" t="s">
        <v>4717</v>
      </c>
      <c r="C242" s="24">
        <v>47</v>
      </c>
      <c r="D242" s="22" t="s">
        <v>105</v>
      </c>
      <c r="E242" s="22" t="s">
        <v>4496</v>
      </c>
      <c r="F242" s="23">
        <v>44195</v>
      </c>
    </row>
    <row r="243" spans="1:6" x14ac:dyDescent="0.3">
      <c r="A243" s="22" t="s">
        <v>805</v>
      </c>
      <c r="B243" s="22" t="s">
        <v>4616</v>
      </c>
      <c r="C243" s="24">
        <v>59</v>
      </c>
      <c r="D243" s="22" t="s">
        <v>111</v>
      </c>
      <c r="E243" s="22" t="s">
        <v>4502</v>
      </c>
      <c r="F243" s="23">
        <v>44474</v>
      </c>
    </row>
    <row r="244" spans="1:6" x14ac:dyDescent="0.3">
      <c r="A244" s="22" t="s">
        <v>101</v>
      </c>
      <c r="B244" s="22" t="s">
        <v>4657</v>
      </c>
      <c r="C244" s="24">
        <v>44</v>
      </c>
      <c r="D244" s="22" t="s">
        <v>105</v>
      </c>
      <c r="E244" s="22" t="s">
        <v>4502</v>
      </c>
      <c r="F244" s="23">
        <v>43861</v>
      </c>
    </row>
    <row r="245" spans="1:6" x14ac:dyDescent="0.3">
      <c r="A245" s="22" t="s">
        <v>1520</v>
      </c>
      <c r="B245" s="22" t="s">
        <v>4718</v>
      </c>
      <c r="C245" s="24">
        <v>61</v>
      </c>
      <c r="D245" s="22" t="s">
        <v>134</v>
      </c>
      <c r="E245" s="22" t="s">
        <v>4494</v>
      </c>
      <c r="F245" s="23">
        <v>44483</v>
      </c>
    </row>
    <row r="246" spans="1:6" x14ac:dyDescent="0.3">
      <c r="A246" s="22" t="s">
        <v>1002</v>
      </c>
      <c r="B246" s="22" t="s">
        <v>4719</v>
      </c>
      <c r="C246" s="24">
        <v>65</v>
      </c>
      <c r="D246" s="22" t="s">
        <v>151</v>
      </c>
      <c r="E246" s="22" t="s">
        <v>4494</v>
      </c>
      <c r="F246" s="23">
        <v>44851</v>
      </c>
    </row>
    <row r="247" spans="1:6" x14ac:dyDescent="0.3">
      <c r="A247" s="22" t="s">
        <v>745</v>
      </c>
      <c r="B247" s="22" t="s">
        <v>4720</v>
      </c>
      <c r="C247" s="24">
        <v>29</v>
      </c>
      <c r="D247" s="22" t="s">
        <v>116</v>
      </c>
      <c r="E247" s="22" t="s">
        <v>4502</v>
      </c>
      <c r="F247" s="23">
        <v>44477</v>
      </c>
    </row>
    <row r="248" spans="1:6" x14ac:dyDescent="0.3">
      <c r="A248" s="22" t="s">
        <v>965</v>
      </c>
      <c r="B248" s="22" t="s">
        <v>4721</v>
      </c>
      <c r="C248" s="24">
        <v>35</v>
      </c>
      <c r="D248" s="22" t="s">
        <v>105</v>
      </c>
      <c r="E248" s="22" t="s">
        <v>4502</v>
      </c>
      <c r="F248" s="23">
        <v>43966</v>
      </c>
    </row>
    <row r="249" spans="1:6" x14ac:dyDescent="0.3">
      <c r="A249" s="22" t="s">
        <v>389</v>
      </c>
      <c r="B249" s="22" t="s">
        <v>4722</v>
      </c>
      <c r="C249" s="24">
        <v>57</v>
      </c>
      <c r="D249" s="22" t="s">
        <v>111</v>
      </c>
      <c r="E249" s="22" t="s">
        <v>4502</v>
      </c>
      <c r="F249" s="23">
        <v>44557</v>
      </c>
    </row>
    <row r="250" spans="1:6" x14ac:dyDescent="0.3">
      <c r="A250" s="22" t="s">
        <v>855</v>
      </c>
      <c r="B250" s="22" t="s">
        <v>4723</v>
      </c>
      <c r="C250" s="24">
        <v>44</v>
      </c>
      <c r="D250" s="22" t="s">
        <v>129</v>
      </c>
      <c r="E250" s="22" t="s">
        <v>4494</v>
      </c>
      <c r="F250" s="23">
        <v>43866</v>
      </c>
    </row>
    <row r="251" spans="1:6" x14ac:dyDescent="0.3">
      <c r="A251" s="22" t="s">
        <v>208</v>
      </c>
      <c r="B251" s="22" t="s">
        <v>4724</v>
      </c>
      <c r="C251" s="24">
        <v>31</v>
      </c>
      <c r="D251" s="22" t="s">
        <v>116</v>
      </c>
      <c r="E251" s="22" t="s">
        <v>4494</v>
      </c>
      <c r="F251" s="23">
        <v>44575</v>
      </c>
    </row>
    <row r="252" spans="1:6" x14ac:dyDescent="0.3">
      <c r="A252" s="22" t="s">
        <v>716</v>
      </c>
      <c r="B252" s="22" t="s">
        <v>4725</v>
      </c>
      <c r="C252" s="24">
        <v>44</v>
      </c>
      <c r="D252" s="22" t="s">
        <v>129</v>
      </c>
      <c r="E252" s="22" t="s">
        <v>4494</v>
      </c>
      <c r="F252" s="23">
        <v>45121</v>
      </c>
    </row>
    <row r="253" spans="1:6" x14ac:dyDescent="0.3">
      <c r="A253" s="22" t="s">
        <v>1539</v>
      </c>
      <c r="B253" s="22" t="s">
        <v>4726</v>
      </c>
      <c r="C253" s="24">
        <v>27</v>
      </c>
      <c r="D253" s="22" t="s">
        <v>134</v>
      </c>
      <c r="E253" s="22" t="s">
        <v>4494</v>
      </c>
      <c r="F253" s="23">
        <v>45004</v>
      </c>
    </row>
    <row r="254" spans="1:6" x14ac:dyDescent="0.3">
      <c r="A254" s="22" t="s">
        <v>508</v>
      </c>
      <c r="B254" s="22" t="s">
        <v>4727</v>
      </c>
      <c r="C254" s="24">
        <v>53</v>
      </c>
      <c r="D254" s="22" t="s">
        <v>116</v>
      </c>
      <c r="E254" s="22" t="s">
        <v>4502</v>
      </c>
      <c r="F254" s="23">
        <v>43892</v>
      </c>
    </row>
    <row r="255" spans="1:6" x14ac:dyDescent="0.3">
      <c r="A255" s="22" t="s">
        <v>1359</v>
      </c>
      <c r="B255" s="22" t="s">
        <v>4728</v>
      </c>
      <c r="C255" s="24">
        <v>35</v>
      </c>
      <c r="D255" s="22" t="s">
        <v>134</v>
      </c>
      <c r="E255" s="22" t="s">
        <v>4494</v>
      </c>
      <c r="F255" s="23">
        <v>44000</v>
      </c>
    </row>
    <row r="256" spans="1:6" x14ac:dyDescent="0.3">
      <c r="A256" s="22" t="s">
        <v>452</v>
      </c>
      <c r="B256" s="22" t="s">
        <v>4515</v>
      </c>
      <c r="C256" s="24">
        <v>51</v>
      </c>
      <c r="D256" s="22" t="s">
        <v>111</v>
      </c>
      <c r="E256" s="22" t="s">
        <v>4496</v>
      </c>
      <c r="F256" s="23">
        <v>44458</v>
      </c>
    </row>
    <row r="257" spans="1:6" x14ac:dyDescent="0.3">
      <c r="A257" s="22" t="s">
        <v>987</v>
      </c>
      <c r="B257" s="22" t="s">
        <v>4729</v>
      </c>
      <c r="C257" s="24">
        <v>28</v>
      </c>
      <c r="D257" s="22" t="s">
        <v>151</v>
      </c>
      <c r="E257" s="22" t="s">
        <v>4494</v>
      </c>
      <c r="F257" s="23">
        <v>44694</v>
      </c>
    </row>
    <row r="258" spans="1:6" x14ac:dyDescent="0.3">
      <c r="A258" s="22" t="s">
        <v>1766</v>
      </c>
      <c r="B258" s="22" t="s">
        <v>4730</v>
      </c>
      <c r="C258" s="24">
        <v>46</v>
      </c>
      <c r="D258" s="22" t="s">
        <v>129</v>
      </c>
      <c r="E258" s="22" t="s">
        <v>4496</v>
      </c>
      <c r="F258" s="23">
        <v>43849</v>
      </c>
    </row>
    <row r="259" spans="1:6" x14ac:dyDescent="0.3">
      <c r="A259" s="22" t="s">
        <v>329</v>
      </c>
      <c r="B259" s="22" t="s">
        <v>4731</v>
      </c>
      <c r="C259" s="24">
        <v>44</v>
      </c>
      <c r="D259" s="22" t="s">
        <v>105</v>
      </c>
      <c r="E259" s="22" t="s">
        <v>4494</v>
      </c>
      <c r="F259" s="23">
        <v>43874</v>
      </c>
    </row>
    <row r="260" spans="1:6" x14ac:dyDescent="0.3">
      <c r="A260" s="22" t="s">
        <v>193</v>
      </c>
      <c r="B260" s="22" t="s">
        <v>4732</v>
      </c>
      <c r="C260" s="24">
        <v>34</v>
      </c>
      <c r="D260" s="22" t="s">
        <v>129</v>
      </c>
      <c r="E260" s="22" t="s">
        <v>4494</v>
      </c>
      <c r="F260" s="23">
        <v>44086</v>
      </c>
    </row>
    <row r="261" spans="1:6" x14ac:dyDescent="0.3">
      <c r="A261" s="22" t="s">
        <v>140</v>
      </c>
      <c r="B261" s="22" t="s">
        <v>4733</v>
      </c>
      <c r="C261" s="24">
        <v>42</v>
      </c>
      <c r="D261" s="22" t="s">
        <v>134</v>
      </c>
      <c r="E261" s="22" t="s">
        <v>4494</v>
      </c>
      <c r="F261" s="23">
        <v>44866</v>
      </c>
    </row>
    <row r="262" spans="1:6" x14ac:dyDescent="0.3">
      <c r="A262" s="22" t="s">
        <v>311</v>
      </c>
      <c r="B262" s="22" t="s">
        <v>4734</v>
      </c>
      <c r="C262" s="24">
        <v>54</v>
      </c>
      <c r="D262" s="22" t="s">
        <v>116</v>
      </c>
      <c r="E262" s="22" t="s">
        <v>4494</v>
      </c>
      <c r="F262" s="23">
        <v>43845</v>
      </c>
    </row>
    <row r="263" spans="1:6" x14ac:dyDescent="0.3">
      <c r="A263" s="22" t="s">
        <v>844</v>
      </c>
      <c r="B263" s="22" t="s">
        <v>4735</v>
      </c>
      <c r="C263" s="24">
        <v>52</v>
      </c>
      <c r="D263" s="22" t="s">
        <v>129</v>
      </c>
      <c r="E263" s="22" t="s">
        <v>4494</v>
      </c>
      <c r="F263" s="23">
        <v>44636</v>
      </c>
    </row>
    <row r="264" spans="1:6" x14ac:dyDescent="0.3">
      <c r="A264" s="22" t="s">
        <v>322</v>
      </c>
      <c r="B264" s="22" t="s">
        <v>4736</v>
      </c>
      <c r="C264" s="24">
        <v>40</v>
      </c>
      <c r="D264" s="22" t="s">
        <v>129</v>
      </c>
      <c r="E264" s="22" t="s">
        <v>4494</v>
      </c>
      <c r="F264" s="23">
        <v>44758</v>
      </c>
    </row>
    <row r="265" spans="1:6" x14ac:dyDescent="0.3">
      <c r="A265" s="22" t="s">
        <v>682</v>
      </c>
      <c r="B265" s="22" t="s">
        <v>4737</v>
      </c>
      <c r="C265" s="24">
        <v>59</v>
      </c>
      <c r="D265" s="22" t="s">
        <v>105</v>
      </c>
      <c r="E265" s="22" t="s">
        <v>4494</v>
      </c>
      <c r="F265" s="23">
        <v>45042</v>
      </c>
    </row>
    <row r="266" spans="1:6" x14ac:dyDescent="0.3">
      <c r="A266" s="22" t="s">
        <v>185</v>
      </c>
      <c r="B266" s="22" t="s">
        <v>4738</v>
      </c>
      <c r="C266" s="24">
        <v>49</v>
      </c>
      <c r="D266" s="22" t="s">
        <v>111</v>
      </c>
      <c r="E266" s="22" t="s">
        <v>4494</v>
      </c>
      <c r="F266" s="23">
        <v>44555</v>
      </c>
    </row>
    <row r="267" spans="1:6" x14ac:dyDescent="0.3">
      <c r="A267" s="22" t="s">
        <v>1447</v>
      </c>
      <c r="B267" s="22" t="s">
        <v>4739</v>
      </c>
      <c r="C267" s="24">
        <v>65</v>
      </c>
      <c r="D267" s="22" t="s">
        <v>105</v>
      </c>
      <c r="E267" s="22" t="s">
        <v>4494</v>
      </c>
      <c r="F267" s="23">
        <v>44469</v>
      </c>
    </row>
    <row r="268" spans="1:6" x14ac:dyDescent="0.3">
      <c r="A268" s="22" t="s">
        <v>304</v>
      </c>
      <c r="B268" s="22" t="s">
        <v>4740</v>
      </c>
      <c r="C268" s="24">
        <v>27</v>
      </c>
      <c r="D268" s="22" t="s">
        <v>151</v>
      </c>
      <c r="E268" s="22" t="s">
        <v>4494</v>
      </c>
      <c r="F268" s="23">
        <v>44352</v>
      </c>
    </row>
    <row r="269" spans="1:6" x14ac:dyDescent="0.3">
      <c r="A269" s="22" t="s">
        <v>2755</v>
      </c>
      <c r="B269" s="22" t="s">
        <v>4741</v>
      </c>
      <c r="C269" s="24">
        <v>35</v>
      </c>
      <c r="D269" s="22" t="s">
        <v>111</v>
      </c>
      <c r="E269" s="22" t="s">
        <v>4494</v>
      </c>
      <c r="F269" s="23">
        <v>44991</v>
      </c>
    </row>
    <row r="270" spans="1:6" x14ac:dyDescent="0.3">
      <c r="A270" s="22" t="s">
        <v>1041</v>
      </c>
      <c r="B270" s="22" t="s">
        <v>4742</v>
      </c>
      <c r="C270" s="24">
        <v>48</v>
      </c>
      <c r="D270" s="22" t="s">
        <v>105</v>
      </c>
      <c r="E270" s="22" t="s">
        <v>4494</v>
      </c>
      <c r="F270" s="23">
        <v>44429</v>
      </c>
    </row>
    <row r="271" spans="1:6" x14ac:dyDescent="0.3">
      <c r="A271" s="22" t="s">
        <v>1109</v>
      </c>
      <c r="B271" s="22" t="s">
        <v>4743</v>
      </c>
      <c r="C271" s="24">
        <v>29</v>
      </c>
      <c r="D271" s="22" t="s">
        <v>134</v>
      </c>
      <c r="E271" s="22" t="s">
        <v>4494</v>
      </c>
      <c r="F271" s="23">
        <v>44410</v>
      </c>
    </row>
    <row r="272" spans="1:6" x14ac:dyDescent="0.3">
      <c r="A272" s="22" t="s">
        <v>778</v>
      </c>
      <c r="B272" s="22" t="s">
        <v>4588</v>
      </c>
      <c r="C272" s="24">
        <v>41</v>
      </c>
      <c r="D272" s="22" t="s">
        <v>134</v>
      </c>
      <c r="E272" s="22" t="s">
        <v>4496</v>
      </c>
      <c r="F272" s="23">
        <v>44441</v>
      </c>
    </row>
    <row r="273" spans="1:6" x14ac:dyDescent="0.3">
      <c r="A273" s="22" t="s">
        <v>1589</v>
      </c>
      <c r="B273" s="22" t="s">
        <v>4744</v>
      </c>
      <c r="C273" s="24">
        <v>47</v>
      </c>
      <c r="D273" s="22" t="s">
        <v>129</v>
      </c>
      <c r="E273" s="22" t="s">
        <v>4502</v>
      </c>
      <c r="F273" s="23">
        <v>44634</v>
      </c>
    </row>
    <row r="274" spans="1:6" x14ac:dyDescent="0.3">
      <c r="A274" s="22" t="s">
        <v>177</v>
      </c>
      <c r="B274" s="22" t="s">
        <v>4745</v>
      </c>
      <c r="C274" s="24">
        <v>32</v>
      </c>
      <c r="D274" s="22" t="s">
        <v>151</v>
      </c>
      <c r="E274" s="22" t="s">
        <v>4496</v>
      </c>
      <c r="F274" s="23">
        <v>44221</v>
      </c>
    </row>
    <row r="275" spans="1:6" x14ac:dyDescent="0.3">
      <c r="A275" s="22" t="s">
        <v>677</v>
      </c>
      <c r="B275" s="22" t="s">
        <v>4746</v>
      </c>
      <c r="C275" s="24">
        <v>36</v>
      </c>
      <c r="D275" s="22" t="s">
        <v>134</v>
      </c>
      <c r="E275" s="22" t="s">
        <v>4496</v>
      </c>
      <c r="F275" s="23">
        <v>44381</v>
      </c>
    </row>
    <row r="276" spans="1:6" x14ac:dyDescent="0.3">
      <c r="A276" s="22" t="s">
        <v>126</v>
      </c>
      <c r="B276" s="22" t="s">
        <v>4747</v>
      </c>
      <c r="C276" s="24">
        <v>36</v>
      </c>
      <c r="D276" s="22" t="s">
        <v>129</v>
      </c>
      <c r="E276" s="22" t="s">
        <v>4494</v>
      </c>
      <c r="F276" s="23">
        <v>45106</v>
      </c>
    </row>
    <row r="277" spans="1:6" x14ac:dyDescent="0.3">
      <c r="A277" s="22" t="s">
        <v>2501</v>
      </c>
      <c r="B277" s="22" t="s">
        <v>4542</v>
      </c>
      <c r="C277" s="24">
        <v>26</v>
      </c>
      <c r="D277" s="22" t="s">
        <v>111</v>
      </c>
      <c r="E277" s="22" t="s">
        <v>4494</v>
      </c>
      <c r="F277" s="23">
        <v>44272</v>
      </c>
    </row>
    <row r="278" spans="1:6" x14ac:dyDescent="0.3">
      <c r="A278" s="22" t="s">
        <v>737</v>
      </c>
      <c r="B278" s="22" t="s">
        <v>4559</v>
      </c>
      <c r="C278" s="24">
        <v>34</v>
      </c>
      <c r="D278" s="22" t="s">
        <v>111</v>
      </c>
      <c r="E278" s="22" t="s">
        <v>4496</v>
      </c>
      <c r="F278" s="23">
        <v>44958</v>
      </c>
    </row>
    <row r="279" spans="1:6" x14ac:dyDescent="0.3">
      <c r="A279" s="22" t="s">
        <v>1627</v>
      </c>
      <c r="B279" s="22" t="s">
        <v>4748</v>
      </c>
      <c r="C279" s="24">
        <v>41</v>
      </c>
      <c r="D279" s="22" t="s">
        <v>151</v>
      </c>
      <c r="E279" s="22" t="s">
        <v>4494</v>
      </c>
      <c r="F279" s="23">
        <v>43973</v>
      </c>
    </row>
    <row r="280" spans="1:6" x14ac:dyDescent="0.3">
      <c r="A280" s="22" t="s">
        <v>1056</v>
      </c>
      <c r="B280" s="22" t="s">
        <v>4729</v>
      </c>
      <c r="C280" s="24">
        <v>56</v>
      </c>
      <c r="D280" s="22" t="s">
        <v>129</v>
      </c>
      <c r="E280" s="22" t="s">
        <v>4494</v>
      </c>
      <c r="F280" s="23">
        <v>44517</v>
      </c>
    </row>
    <row r="281" spans="1:6" x14ac:dyDescent="0.3">
      <c r="A281" s="22" t="s">
        <v>156</v>
      </c>
      <c r="B281" s="22" t="s">
        <v>4749</v>
      </c>
      <c r="C281" s="24">
        <v>27</v>
      </c>
      <c r="D281" s="22" t="s">
        <v>116</v>
      </c>
      <c r="E281" s="22" t="s">
        <v>4502</v>
      </c>
      <c r="F281" s="23">
        <v>45059</v>
      </c>
    </row>
    <row r="282" spans="1:6" x14ac:dyDescent="0.3">
      <c r="A282" s="22" t="s">
        <v>136</v>
      </c>
      <c r="B282" s="22" t="s">
        <v>4514</v>
      </c>
      <c r="C282" s="24">
        <v>57</v>
      </c>
      <c r="D282" s="22" t="s">
        <v>134</v>
      </c>
      <c r="E282" s="22" t="s">
        <v>4496</v>
      </c>
      <c r="F282" s="23">
        <v>44029</v>
      </c>
    </row>
    <row r="283" spans="1:6" x14ac:dyDescent="0.3">
      <c r="A283" s="22" t="s">
        <v>333</v>
      </c>
      <c r="B283" s="22" t="s">
        <v>4750</v>
      </c>
      <c r="C283" s="24">
        <v>29</v>
      </c>
      <c r="D283" s="22" t="s">
        <v>151</v>
      </c>
      <c r="E283" s="22" t="s">
        <v>4496</v>
      </c>
      <c r="F283" s="23">
        <v>44631</v>
      </c>
    </row>
    <row r="284" spans="1:6" x14ac:dyDescent="0.3">
      <c r="A284" s="22" t="s">
        <v>255</v>
      </c>
      <c r="B284" s="22" t="s">
        <v>4751</v>
      </c>
      <c r="C284" s="24">
        <v>50</v>
      </c>
      <c r="D284" s="22" t="s">
        <v>4499</v>
      </c>
      <c r="E284" s="22" t="s">
        <v>4502</v>
      </c>
      <c r="F284" s="23">
        <v>44869</v>
      </c>
    </row>
    <row r="285" spans="1:6" x14ac:dyDescent="0.3">
      <c r="A285" s="22" t="s">
        <v>673</v>
      </c>
      <c r="B285" s="22" t="s">
        <v>4752</v>
      </c>
      <c r="C285" s="24">
        <v>65</v>
      </c>
      <c r="D285" s="22" t="s">
        <v>151</v>
      </c>
      <c r="E285" s="22" t="s">
        <v>4502</v>
      </c>
      <c r="F285" s="23">
        <v>44047</v>
      </c>
    </row>
    <row r="286" spans="1:6" x14ac:dyDescent="0.3">
      <c r="A286" s="22" t="s">
        <v>822</v>
      </c>
      <c r="B286" s="22" t="s">
        <v>4753</v>
      </c>
      <c r="C286" s="24">
        <v>22</v>
      </c>
      <c r="D286" s="22" t="s">
        <v>151</v>
      </c>
      <c r="E286" s="22" t="s">
        <v>4494</v>
      </c>
      <c r="F286" s="23">
        <v>44593</v>
      </c>
    </row>
    <row r="287" spans="1:6" x14ac:dyDescent="0.3">
      <c r="A287" s="22" t="s">
        <v>3130</v>
      </c>
      <c r="B287" s="22" t="s">
        <v>4754</v>
      </c>
      <c r="C287" s="24">
        <v>62</v>
      </c>
      <c r="D287" s="22" t="s">
        <v>116</v>
      </c>
      <c r="E287" s="22" t="s">
        <v>4494</v>
      </c>
      <c r="F287" s="23">
        <v>44489</v>
      </c>
    </row>
    <row r="288" spans="1:6" x14ac:dyDescent="0.3">
      <c r="A288" s="22" t="s">
        <v>476</v>
      </c>
      <c r="B288" s="22" t="s">
        <v>4755</v>
      </c>
      <c r="C288" s="24">
        <v>53</v>
      </c>
      <c r="D288" s="22" t="s">
        <v>111</v>
      </c>
      <c r="E288" s="22" t="s">
        <v>4502</v>
      </c>
      <c r="F288" s="23">
        <v>44738</v>
      </c>
    </row>
    <row r="289" spans="1:6" x14ac:dyDescent="0.3">
      <c r="A289" s="22" t="s">
        <v>2569</v>
      </c>
      <c r="B289" s="22" t="s">
        <v>4756</v>
      </c>
      <c r="C289" s="24">
        <v>25</v>
      </c>
      <c r="D289" s="22" t="s">
        <v>151</v>
      </c>
      <c r="E289" s="22" t="s">
        <v>4496</v>
      </c>
      <c r="F289" s="23">
        <v>44450</v>
      </c>
    </row>
    <row r="290" spans="1:6" x14ac:dyDescent="0.3">
      <c r="A290" s="22" t="s">
        <v>1634</v>
      </c>
      <c r="B290" s="22" t="s">
        <v>4757</v>
      </c>
      <c r="C290" s="24">
        <v>54</v>
      </c>
      <c r="D290" s="22" t="s">
        <v>129</v>
      </c>
      <c r="E290" s="22" t="s">
        <v>4494</v>
      </c>
      <c r="F290" s="23">
        <v>44720</v>
      </c>
    </row>
    <row r="291" spans="1:6" x14ac:dyDescent="0.3">
      <c r="A291" s="22" t="s">
        <v>1175</v>
      </c>
      <c r="B291" s="22" t="s">
        <v>4758</v>
      </c>
      <c r="C291" s="24">
        <v>63</v>
      </c>
      <c r="D291" s="22" t="s">
        <v>116</v>
      </c>
      <c r="E291" s="22" t="s">
        <v>4494</v>
      </c>
      <c r="F291" s="23">
        <v>44330</v>
      </c>
    </row>
    <row r="292" spans="1:6" x14ac:dyDescent="0.3">
      <c r="A292" s="22" t="s">
        <v>274</v>
      </c>
      <c r="B292" s="22" t="s">
        <v>4759</v>
      </c>
      <c r="C292" s="24">
        <v>29</v>
      </c>
      <c r="D292" s="22" t="s">
        <v>105</v>
      </c>
      <c r="E292" s="22" t="s">
        <v>4502</v>
      </c>
      <c r="F292" s="23">
        <v>43950</v>
      </c>
    </row>
    <row r="293" spans="1:6" x14ac:dyDescent="0.3">
      <c r="A293" s="22" t="s">
        <v>1097</v>
      </c>
      <c r="B293" s="22" t="s">
        <v>4587</v>
      </c>
      <c r="C293" s="24">
        <v>32</v>
      </c>
      <c r="D293" s="22" t="s">
        <v>134</v>
      </c>
      <c r="E293" s="22" t="s">
        <v>4494</v>
      </c>
      <c r="F293" s="23">
        <v>43968</v>
      </c>
    </row>
    <row r="294" spans="1:6" x14ac:dyDescent="0.3">
      <c r="A294" s="22" t="s">
        <v>131</v>
      </c>
      <c r="B294" s="22" t="s">
        <v>4760</v>
      </c>
      <c r="C294" s="24">
        <v>27</v>
      </c>
      <c r="D294" s="22" t="s">
        <v>134</v>
      </c>
      <c r="E294" s="22" t="s">
        <v>4494</v>
      </c>
      <c r="F294" s="23">
        <v>44335</v>
      </c>
    </row>
    <row r="295" spans="1:6" x14ac:dyDescent="0.3">
      <c r="A295" s="22" t="s">
        <v>563</v>
      </c>
      <c r="B295" s="22" t="s">
        <v>4520</v>
      </c>
      <c r="C295" s="24">
        <v>31</v>
      </c>
      <c r="D295" s="22" t="s">
        <v>116</v>
      </c>
      <c r="E295" s="22" t="s">
        <v>4496</v>
      </c>
      <c r="F295" s="23">
        <v>43885</v>
      </c>
    </row>
    <row r="296" spans="1:6" x14ac:dyDescent="0.3">
      <c r="A296" s="22" t="s">
        <v>827</v>
      </c>
      <c r="B296" s="22" t="s">
        <v>4761</v>
      </c>
      <c r="C296" s="24">
        <v>48</v>
      </c>
      <c r="D296" s="22" t="s">
        <v>116</v>
      </c>
      <c r="E296" s="22" t="s">
        <v>4502</v>
      </c>
      <c r="F296" s="23">
        <v>43863</v>
      </c>
    </row>
    <row r="297" spans="1:6" x14ac:dyDescent="0.3">
      <c r="A297" s="22" t="s">
        <v>783</v>
      </c>
      <c r="B297" s="22" t="s">
        <v>4762</v>
      </c>
      <c r="C297" s="24">
        <v>47</v>
      </c>
      <c r="D297" s="22" t="s">
        <v>116</v>
      </c>
      <c r="E297" s="22" t="s">
        <v>4496</v>
      </c>
      <c r="F297" s="23">
        <v>44784</v>
      </c>
    </row>
    <row r="298" spans="1:6" x14ac:dyDescent="0.3">
      <c r="A298" s="22" t="s">
        <v>921</v>
      </c>
      <c r="B298" s="22" t="s">
        <v>4763</v>
      </c>
      <c r="C298" s="24">
        <v>50</v>
      </c>
      <c r="D298" s="22" t="s">
        <v>151</v>
      </c>
      <c r="E298" s="22" t="s">
        <v>4494</v>
      </c>
      <c r="F298" s="23">
        <v>44027</v>
      </c>
    </row>
    <row r="299" spans="1:6" x14ac:dyDescent="0.3">
      <c r="A299" s="22" t="s">
        <v>540</v>
      </c>
      <c r="B299" s="22" t="s">
        <v>4764</v>
      </c>
      <c r="C299" s="24">
        <v>44</v>
      </c>
      <c r="D299" s="22" t="s">
        <v>116</v>
      </c>
      <c r="E299" s="22" t="s">
        <v>4494</v>
      </c>
      <c r="F299" s="23">
        <v>43840</v>
      </c>
    </row>
    <row r="300" spans="1:6" x14ac:dyDescent="0.3">
      <c r="A300" s="22" t="s">
        <v>1027</v>
      </c>
      <c r="B300" s="22" t="s">
        <v>4677</v>
      </c>
      <c r="C300" s="24">
        <v>51</v>
      </c>
      <c r="D300" s="22" t="s">
        <v>129</v>
      </c>
      <c r="E300" s="22" t="s">
        <v>4496</v>
      </c>
      <c r="F300" s="23">
        <v>44675</v>
      </c>
    </row>
    <row r="301" spans="1:6" x14ac:dyDescent="0.3">
      <c r="A301" s="22" t="s">
        <v>2105</v>
      </c>
      <c r="B301" s="22" t="s">
        <v>4765</v>
      </c>
      <c r="C301" s="24">
        <v>38</v>
      </c>
      <c r="D301" s="22" t="s">
        <v>129</v>
      </c>
      <c r="E301" s="22" t="s">
        <v>4494</v>
      </c>
      <c r="F301" s="23">
        <v>43932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4472C4"/>
    <pageSetUpPr fitToPage="1"/>
  </sheetPr>
  <dimension ref="A1:F6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12" customWidth="1"/>
    <col min="2" max="2" width="22" customWidth="1"/>
    <col min="3" max="3" width="13" customWidth="1"/>
    <col min="4" max="4" width="11" customWidth="1"/>
    <col min="5" max="5" width="12" customWidth="1"/>
    <col min="6" max="6" width="11" customWidth="1"/>
  </cols>
  <sheetData>
    <row r="1" spans="1:6" x14ac:dyDescent="0.3">
      <c r="A1" s="11" t="s">
        <v>86</v>
      </c>
      <c r="B1" s="11" t="s">
        <v>4766</v>
      </c>
      <c r="C1" s="11" t="s">
        <v>4767</v>
      </c>
      <c r="D1" s="11" t="s">
        <v>4768</v>
      </c>
      <c r="E1" s="11" t="s">
        <v>89</v>
      </c>
      <c r="F1" s="11" t="s">
        <v>4769</v>
      </c>
    </row>
    <row r="2" spans="1:6" x14ac:dyDescent="0.3">
      <c r="A2" s="22" t="s">
        <v>455</v>
      </c>
      <c r="B2" s="22" t="s">
        <v>4770</v>
      </c>
      <c r="C2" s="22" t="s">
        <v>4771</v>
      </c>
      <c r="D2" s="24">
        <v>2405</v>
      </c>
      <c r="E2" s="24">
        <v>5330</v>
      </c>
      <c r="F2" s="22" t="b">
        <f>TRUE()</f>
        <v>1</v>
      </c>
    </row>
    <row r="3" spans="1:6" x14ac:dyDescent="0.3">
      <c r="A3" s="22" t="s">
        <v>157</v>
      </c>
      <c r="B3" s="22" t="s">
        <v>4772</v>
      </c>
      <c r="C3" s="22" t="s">
        <v>4771</v>
      </c>
      <c r="D3" s="24">
        <v>1052</v>
      </c>
      <c r="E3" s="24">
        <v>2600</v>
      </c>
      <c r="F3" s="22" t="b">
        <f>TRUE()</f>
        <v>1</v>
      </c>
    </row>
    <row r="4" spans="1:6" x14ac:dyDescent="0.3">
      <c r="A4" s="22" t="s">
        <v>216</v>
      </c>
      <c r="B4" s="22" t="s">
        <v>4773</v>
      </c>
      <c r="C4" s="22" t="s">
        <v>4771</v>
      </c>
      <c r="D4" s="24">
        <v>1665</v>
      </c>
      <c r="E4" s="24">
        <v>3570</v>
      </c>
      <c r="F4" s="22" t="b">
        <f>TRUE()</f>
        <v>1</v>
      </c>
    </row>
    <row r="5" spans="1:6" x14ac:dyDescent="0.3">
      <c r="A5" s="22" t="s">
        <v>293</v>
      </c>
      <c r="B5" s="22" t="s">
        <v>4774</v>
      </c>
      <c r="C5" s="22" t="s">
        <v>4771</v>
      </c>
      <c r="D5" s="24">
        <v>1559</v>
      </c>
      <c r="E5" s="24">
        <v>3870</v>
      </c>
      <c r="F5" s="22" t="b">
        <f>TRUE()</f>
        <v>1</v>
      </c>
    </row>
    <row r="6" spans="1:6" x14ac:dyDescent="0.3">
      <c r="A6" s="22" t="s">
        <v>338</v>
      </c>
      <c r="B6" s="22" t="s">
        <v>4775</v>
      </c>
      <c r="C6" s="22" t="s">
        <v>4771</v>
      </c>
      <c r="D6" s="24">
        <v>128</v>
      </c>
      <c r="E6" s="24">
        <v>300</v>
      </c>
      <c r="F6" s="22" t="b">
        <f>TRUE()</f>
        <v>1</v>
      </c>
    </row>
    <row r="7" spans="1:6" x14ac:dyDescent="0.3">
      <c r="A7" s="22" t="s">
        <v>521</v>
      </c>
      <c r="B7" s="22" t="s">
        <v>4776</v>
      </c>
      <c r="C7" s="22" t="s">
        <v>4771</v>
      </c>
      <c r="D7" s="24">
        <v>2865</v>
      </c>
      <c r="E7" s="24">
        <v>3970</v>
      </c>
      <c r="F7" s="22" t="b">
        <f>TRUE()</f>
        <v>1</v>
      </c>
    </row>
    <row r="8" spans="1:6" x14ac:dyDescent="0.3">
      <c r="A8" s="22" t="s">
        <v>137</v>
      </c>
      <c r="B8" s="22" t="s">
        <v>4777</v>
      </c>
      <c r="C8" s="22" t="s">
        <v>4771</v>
      </c>
      <c r="D8" s="24">
        <v>861</v>
      </c>
      <c r="E8" s="24">
        <v>1430</v>
      </c>
      <c r="F8" s="22" t="b">
        <f>TRUE()</f>
        <v>1</v>
      </c>
    </row>
    <row r="9" spans="1:6" x14ac:dyDescent="0.3">
      <c r="A9" s="22" t="s">
        <v>334</v>
      </c>
      <c r="B9" s="22" t="s">
        <v>4778</v>
      </c>
      <c r="C9" s="22" t="s">
        <v>4771</v>
      </c>
      <c r="D9" s="24">
        <v>1259</v>
      </c>
      <c r="E9" s="24">
        <v>2660</v>
      </c>
      <c r="F9" s="22" t="b">
        <f>FALSE()</f>
        <v>0</v>
      </c>
    </row>
    <row r="10" spans="1:6" x14ac:dyDescent="0.3">
      <c r="A10" s="22" t="s">
        <v>319</v>
      </c>
      <c r="B10" s="22" t="s">
        <v>4779</v>
      </c>
      <c r="C10" s="22" t="s">
        <v>4771</v>
      </c>
      <c r="D10" s="24">
        <v>517</v>
      </c>
      <c r="E10" s="24">
        <v>1220</v>
      </c>
      <c r="F10" s="22" t="b">
        <f>TRUE()</f>
        <v>1</v>
      </c>
    </row>
    <row r="11" spans="1:6" x14ac:dyDescent="0.3">
      <c r="A11" s="22" t="s">
        <v>153</v>
      </c>
      <c r="B11" s="22" t="s">
        <v>4780</v>
      </c>
      <c r="C11" s="22" t="s">
        <v>4771</v>
      </c>
      <c r="D11" s="24">
        <v>1149</v>
      </c>
      <c r="E11" s="24">
        <v>2640</v>
      </c>
      <c r="F11" s="22" t="b">
        <f>TRUE()</f>
        <v>1</v>
      </c>
    </row>
    <row r="12" spans="1:6" x14ac:dyDescent="0.3">
      <c r="A12" s="22" t="s">
        <v>591</v>
      </c>
      <c r="B12" s="22" t="s">
        <v>4781</v>
      </c>
      <c r="C12" s="22" t="s">
        <v>4782</v>
      </c>
      <c r="D12" s="24">
        <v>1748</v>
      </c>
      <c r="E12" s="24">
        <v>3450</v>
      </c>
      <c r="F12" s="22" t="b">
        <f>TRUE()</f>
        <v>1</v>
      </c>
    </row>
    <row r="13" spans="1:6" x14ac:dyDescent="0.3">
      <c r="A13" s="22" t="s">
        <v>123</v>
      </c>
      <c r="B13" s="22" t="s">
        <v>4783</v>
      </c>
      <c r="C13" s="22" t="s">
        <v>4782</v>
      </c>
      <c r="D13" s="24">
        <v>1886</v>
      </c>
      <c r="E13" s="24">
        <v>3160</v>
      </c>
      <c r="F13" s="22" t="b">
        <f>TRUE()</f>
        <v>1</v>
      </c>
    </row>
    <row r="14" spans="1:6" x14ac:dyDescent="0.3">
      <c r="A14" s="22" t="s">
        <v>279</v>
      </c>
      <c r="B14" s="22" t="s">
        <v>4784</v>
      </c>
      <c r="C14" s="22" t="s">
        <v>4782</v>
      </c>
      <c r="D14" s="24">
        <v>2611</v>
      </c>
      <c r="E14" s="24">
        <v>3640</v>
      </c>
      <c r="F14" s="22" t="b">
        <f>TRUE()</f>
        <v>1</v>
      </c>
    </row>
    <row r="15" spans="1:6" x14ac:dyDescent="0.3">
      <c r="A15" s="22" t="s">
        <v>102</v>
      </c>
      <c r="B15" s="22" t="s">
        <v>4785</v>
      </c>
      <c r="C15" s="22" t="s">
        <v>4782</v>
      </c>
      <c r="D15" s="24">
        <v>2509</v>
      </c>
      <c r="E15" s="24">
        <v>3620</v>
      </c>
      <c r="F15" s="22" t="b">
        <f>TRUE()</f>
        <v>1</v>
      </c>
    </row>
    <row r="16" spans="1:6" x14ac:dyDescent="0.3">
      <c r="A16" s="22" t="s">
        <v>197</v>
      </c>
      <c r="B16" s="22" t="s">
        <v>4786</v>
      </c>
      <c r="C16" s="22" t="s">
        <v>4782</v>
      </c>
      <c r="D16" s="24">
        <v>1962</v>
      </c>
      <c r="E16" s="24">
        <v>2720</v>
      </c>
      <c r="F16" s="22" t="b">
        <f>TRUE()</f>
        <v>1</v>
      </c>
    </row>
    <row r="17" spans="1:6" x14ac:dyDescent="0.3">
      <c r="A17" s="22" t="s">
        <v>352</v>
      </c>
      <c r="B17" s="22" t="s">
        <v>4787</v>
      </c>
      <c r="C17" s="22" t="s">
        <v>4782</v>
      </c>
      <c r="D17" s="24">
        <v>396</v>
      </c>
      <c r="E17" s="24">
        <v>620</v>
      </c>
      <c r="F17" s="22" t="b">
        <f>TRUE()</f>
        <v>1</v>
      </c>
    </row>
    <row r="18" spans="1:6" x14ac:dyDescent="0.3">
      <c r="A18" s="22" t="s">
        <v>442</v>
      </c>
      <c r="B18" s="22" t="s">
        <v>4788</v>
      </c>
      <c r="C18" s="22" t="s">
        <v>4782</v>
      </c>
      <c r="D18" s="24">
        <v>1075</v>
      </c>
      <c r="E18" s="24">
        <v>2510</v>
      </c>
      <c r="F18" s="22" t="b">
        <f>FALSE()</f>
        <v>0</v>
      </c>
    </row>
    <row r="19" spans="1:6" x14ac:dyDescent="0.3">
      <c r="A19" s="22" t="s">
        <v>935</v>
      </c>
      <c r="B19" s="22" t="s">
        <v>4789</v>
      </c>
      <c r="C19" s="22" t="s">
        <v>4782</v>
      </c>
      <c r="D19" s="24">
        <v>2629</v>
      </c>
      <c r="E19" s="24">
        <v>3560</v>
      </c>
      <c r="F19" s="22" t="b">
        <f>TRUE()</f>
        <v>1</v>
      </c>
    </row>
    <row r="20" spans="1:6" x14ac:dyDescent="0.3">
      <c r="A20" s="22" t="s">
        <v>190</v>
      </c>
      <c r="B20" s="22" t="s">
        <v>4790</v>
      </c>
      <c r="C20" s="22" t="s">
        <v>4782</v>
      </c>
      <c r="D20" s="24">
        <v>1173</v>
      </c>
      <c r="E20" s="24">
        <v>2480</v>
      </c>
      <c r="F20" s="22" t="b">
        <f>TRUE()</f>
        <v>1</v>
      </c>
    </row>
    <row r="21" spans="1:6" x14ac:dyDescent="0.3">
      <c r="A21" s="22" t="s">
        <v>108</v>
      </c>
      <c r="B21" s="22" t="s">
        <v>4791</v>
      </c>
      <c r="C21" s="22" t="s">
        <v>4782</v>
      </c>
      <c r="D21" s="24">
        <v>391</v>
      </c>
      <c r="E21" s="24">
        <v>820</v>
      </c>
      <c r="F21" s="22" t="b">
        <f>TRUE()</f>
        <v>1</v>
      </c>
    </row>
    <row r="22" spans="1:6" x14ac:dyDescent="0.3">
      <c r="A22" s="22" t="s">
        <v>231</v>
      </c>
      <c r="B22" s="22" t="s">
        <v>4792</v>
      </c>
      <c r="C22" s="22" t="s">
        <v>4793</v>
      </c>
      <c r="D22" s="24">
        <v>1435</v>
      </c>
      <c r="E22" s="24">
        <v>2760</v>
      </c>
      <c r="F22" s="22" t="b">
        <f>TRUE()</f>
        <v>1</v>
      </c>
    </row>
    <row r="23" spans="1:6" x14ac:dyDescent="0.3">
      <c r="A23" s="22" t="s">
        <v>289</v>
      </c>
      <c r="B23" s="22" t="s">
        <v>4794</v>
      </c>
      <c r="C23" s="22" t="s">
        <v>4793</v>
      </c>
      <c r="D23" s="24">
        <v>1412</v>
      </c>
      <c r="E23" s="24">
        <v>2270</v>
      </c>
      <c r="F23" s="22" t="b">
        <f>TRUE()</f>
        <v>1</v>
      </c>
    </row>
    <row r="24" spans="1:6" x14ac:dyDescent="0.3">
      <c r="A24" s="22" t="s">
        <v>459</v>
      </c>
      <c r="B24" s="22" t="s">
        <v>4795</v>
      </c>
      <c r="C24" s="22" t="s">
        <v>4793</v>
      </c>
      <c r="D24" s="24">
        <v>1182</v>
      </c>
      <c r="E24" s="24">
        <v>2380</v>
      </c>
      <c r="F24" s="22" t="b">
        <f>TRUE()</f>
        <v>1</v>
      </c>
    </row>
    <row r="25" spans="1:6" x14ac:dyDescent="0.3">
      <c r="A25" s="22" t="s">
        <v>149</v>
      </c>
      <c r="B25" s="22" t="s">
        <v>4796</v>
      </c>
      <c r="C25" s="22" t="s">
        <v>4793</v>
      </c>
      <c r="D25" s="24">
        <v>1203</v>
      </c>
      <c r="E25" s="24">
        <v>2270</v>
      </c>
      <c r="F25" s="22" t="b">
        <f>TRUE()</f>
        <v>1</v>
      </c>
    </row>
    <row r="26" spans="1:6" x14ac:dyDescent="0.3">
      <c r="A26" s="22" t="s">
        <v>436</v>
      </c>
      <c r="B26" s="22" t="s">
        <v>4797</v>
      </c>
      <c r="C26" s="22" t="s">
        <v>4793</v>
      </c>
      <c r="D26" s="24">
        <v>2911</v>
      </c>
      <c r="E26" s="24">
        <v>4060</v>
      </c>
      <c r="F26" s="22" t="b">
        <f>TRUE()</f>
        <v>1</v>
      </c>
    </row>
    <row r="27" spans="1:6" x14ac:dyDescent="0.3">
      <c r="A27" s="22" t="s">
        <v>315</v>
      </c>
      <c r="B27" s="22" t="s">
        <v>4798</v>
      </c>
      <c r="C27" s="22" t="s">
        <v>4793</v>
      </c>
      <c r="D27" s="24">
        <v>2027</v>
      </c>
      <c r="E27" s="24">
        <v>4070</v>
      </c>
      <c r="F27" s="22" t="b">
        <f>TRUE()</f>
        <v>1</v>
      </c>
    </row>
    <row r="28" spans="1:6" x14ac:dyDescent="0.3">
      <c r="A28" s="22" t="s">
        <v>275</v>
      </c>
      <c r="B28" s="22" t="s">
        <v>4799</v>
      </c>
      <c r="C28" s="22" t="s">
        <v>4793</v>
      </c>
      <c r="D28" s="24">
        <v>2436</v>
      </c>
      <c r="E28" s="24">
        <v>3780</v>
      </c>
      <c r="F28" s="22" t="b">
        <f>TRUE()</f>
        <v>1</v>
      </c>
    </row>
    <row r="29" spans="1:6" x14ac:dyDescent="0.3">
      <c r="A29" s="22" t="s">
        <v>119</v>
      </c>
      <c r="B29" s="22" t="s">
        <v>4800</v>
      </c>
      <c r="C29" s="22" t="s">
        <v>4793</v>
      </c>
      <c r="D29" s="24">
        <v>2214</v>
      </c>
      <c r="E29" s="24">
        <v>3660</v>
      </c>
      <c r="F29" s="22" t="b">
        <f>FALSE()</f>
        <v>0</v>
      </c>
    </row>
    <row r="30" spans="1:6" x14ac:dyDescent="0.3">
      <c r="A30" s="22" t="s">
        <v>419</v>
      </c>
      <c r="B30" s="22" t="s">
        <v>4801</v>
      </c>
      <c r="C30" s="22" t="s">
        <v>4793</v>
      </c>
      <c r="D30" s="24">
        <v>1010</v>
      </c>
      <c r="E30" s="24">
        <v>2210</v>
      </c>
      <c r="F30" s="22" t="b">
        <f>TRUE()</f>
        <v>1</v>
      </c>
    </row>
    <row r="31" spans="1:6" x14ac:dyDescent="0.3">
      <c r="A31" s="22" t="s">
        <v>145</v>
      </c>
      <c r="B31" s="22" t="s">
        <v>4802</v>
      </c>
      <c r="C31" s="22" t="s">
        <v>4793</v>
      </c>
      <c r="D31" s="24">
        <v>434</v>
      </c>
      <c r="E31" s="24">
        <v>970</v>
      </c>
      <c r="F31" s="22" t="b">
        <f>TRUE()</f>
        <v>1</v>
      </c>
    </row>
    <row r="32" spans="1:6" x14ac:dyDescent="0.3">
      <c r="A32" s="22" t="s">
        <v>265</v>
      </c>
      <c r="B32" s="22" t="s">
        <v>4803</v>
      </c>
      <c r="C32" s="22" t="s">
        <v>4804</v>
      </c>
      <c r="D32" s="24">
        <v>2135</v>
      </c>
      <c r="E32" s="24">
        <v>3730</v>
      </c>
      <c r="F32" s="22" t="b">
        <f>TRUE()</f>
        <v>1</v>
      </c>
    </row>
    <row r="33" spans="1:6" x14ac:dyDescent="0.3">
      <c r="A33" s="22" t="s">
        <v>127</v>
      </c>
      <c r="B33" s="22" t="s">
        <v>4805</v>
      </c>
      <c r="C33" s="22" t="s">
        <v>4804</v>
      </c>
      <c r="D33" s="24">
        <v>288</v>
      </c>
      <c r="E33" s="24">
        <v>370</v>
      </c>
      <c r="F33" s="22" t="b">
        <f>TRUE()</f>
        <v>1</v>
      </c>
    </row>
    <row r="34" spans="1:6" x14ac:dyDescent="0.3">
      <c r="A34" s="22" t="s">
        <v>356</v>
      </c>
      <c r="B34" s="22" t="s">
        <v>4806</v>
      </c>
      <c r="C34" s="22" t="s">
        <v>4804</v>
      </c>
      <c r="D34" s="24">
        <v>1143</v>
      </c>
      <c r="E34" s="24">
        <v>2030</v>
      </c>
      <c r="F34" s="22" t="b">
        <f>TRUE()</f>
        <v>1</v>
      </c>
    </row>
    <row r="35" spans="1:6" x14ac:dyDescent="0.3">
      <c r="A35" s="22" t="s">
        <v>577</v>
      </c>
      <c r="B35" s="22" t="s">
        <v>4807</v>
      </c>
      <c r="C35" s="22" t="s">
        <v>4804</v>
      </c>
      <c r="D35" s="24">
        <v>2459</v>
      </c>
      <c r="E35" s="24">
        <v>5080</v>
      </c>
      <c r="F35" s="22" t="b">
        <f>TRUE()</f>
        <v>1</v>
      </c>
    </row>
    <row r="36" spans="1:6" x14ac:dyDescent="0.3">
      <c r="A36" s="22" t="s">
        <v>674</v>
      </c>
      <c r="B36" s="22" t="s">
        <v>4808</v>
      </c>
      <c r="C36" s="22" t="s">
        <v>4804</v>
      </c>
      <c r="D36" s="24">
        <v>464</v>
      </c>
      <c r="E36" s="24">
        <v>1090</v>
      </c>
      <c r="F36" s="22" t="b">
        <f>TRUE()</f>
        <v>1</v>
      </c>
    </row>
    <row r="37" spans="1:6" x14ac:dyDescent="0.3">
      <c r="A37" s="22" t="s">
        <v>162</v>
      </c>
      <c r="B37" s="22" t="s">
        <v>4809</v>
      </c>
      <c r="C37" s="22" t="s">
        <v>4804</v>
      </c>
      <c r="D37" s="24">
        <v>1556</v>
      </c>
      <c r="E37" s="24">
        <v>3250</v>
      </c>
      <c r="F37" s="22" t="b">
        <f>TRUE()</f>
        <v>1</v>
      </c>
    </row>
    <row r="38" spans="1:6" x14ac:dyDescent="0.3">
      <c r="A38" s="22" t="s">
        <v>234</v>
      </c>
      <c r="B38" s="22" t="s">
        <v>4810</v>
      </c>
      <c r="C38" s="22" t="s">
        <v>4804</v>
      </c>
      <c r="D38" s="24">
        <v>329</v>
      </c>
      <c r="E38" s="24">
        <v>660</v>
      </c>
      <c r="F38" s="22" t="b">
        <f>TRUE()</f>
        <v>1</v>
      </c>
    </row>
    <row r="39" spans="1:6" x14ac:dyDescent="0.3">
      <c r="A39" s="22" t="s">
        <v>141</v>
      </c>
      <c r="B39" s="22" t="s">
        <v>4811</v>
      </c>
      <c r="C39" s="22" t="s">
        <v>4804</v>
      </c>
      <c r="D39" s="24">
        <v>2549</v>
      </c>
      <c r="E39" s="24">
        <v>5490</v>
      </c>
      <c r="F39" s="22" t="b">
        <f>TRUE()</f>
        <v>1</v>
      </c>
    </row>
    <row r="40" spans="1:6" x14ac:dyDescent="0.3">
      <c r="A40" s="22" t="s">
        <v>323</v>
      </c>
      <c r="B40" s="22" t="s">
        <v>4812</v>
      </c>
      <c r="C40" s="22" t="s">
        <v>4804</v>
      </c>
      <c r="D40" s="24">
        <v>1850</v>
      </c>
      <c r="E40" s="24">
        <v>4610</v>
      </c>
      <c r="F40" s="22" t="b">
        <f>TRUE()</f>
        <v>1</v>
      </c>
    </row>
    <row r="41" spans="1:6" x14ac:dyDescent="0.3">
      <c r="A41" s="22" t="s">
        <v>186</v>
      </c>
      <c r="B41" s="22" t="s">
        <v>4813</v>
      </c>
      <c r="C41" s="22" t="s">
        <v>4804</v>
      </c>
      <c r="D41" s="24">
        <v>519</v>
      </c>
      <c r="E41" s="24">
        <v>1080</v>
      </c>
      <c r="F41" s="22" t="b">
        <f>TRUE()</f>
        <v>1</v>
      </c>
    </row>
    <row r="42" spans="1:6" x14ac:dyDescent="0.3">
      <c r="A42" s="22" t="s">
        <v>308</v>
      </c>
      <c r="B42" s="22" t="s">
        <v>4814</v>
      </c>
      <c r="C42" s="22" t="s">
        <v>4815</v>
      </c>
      <c r="D42" s="24">
        <v>647</v>
      </c>
      <c r="E42" s="24">
        <v>1540</v>
      </c>
      <c r="F42" s="22" t="b">
        <f>FALSE()</f>
        <v>0</v>
      </c>
    </row>
    <row r="43" spans="1:6" x14ac:dyDescent="0.3">
      <c r="A43" s="22" t="s">
        <v>488</v>
      </c>
      <c r="B43" s="22" t="s">
        <v>4816</v>
      </c>
      <c r="C43" s="22" t="s">
        <v>4815</v>
      </c>
      <c r="D43" s="24">
        <v>1219</v>
      </c>
      <c r="E43" s="24">
        <v>2290</v>
      </c>
      <c r="F43" s="22" t="b">
        <f>TRUE()</f>
        <v>1</v>
      </c>
    </row>
    <row r="44" spans="1:6" x14ac:dyDescent="0.3">
      <c r="A44" s="22" t="s">
        <v>205</v>
      </c>
      <c r="B44" s="22" t="s">
        <v>4817</v>
      </c>
      <c r="C44" s="22" t="s">
        <v>4815</v>
      </c>
      <c r="D44" s="24">
        <v>1728</v>
      </c>
      <c r="E44" s="24">
        <v>3350</v>
      </c>
      <c r="F44" s="22" t="b">
        <f>TRUE()</f>
        <v>1</v>
      </c>
    </row>
    <row r="45" spans="1:6" x14ac:dyDescent="0.3">
      <c r="A45" s="22" t="s">
        <v>201</v>
      </c>
      <c r="B45" s="22" t="s">
        <v>4818</v>
      </c>
      <c r="C45" s="22" t="s">
        <v>4815</v>
      </c>
      <c r="D45" s="24">
        <v>1222</v>
      </c>
      <c r="E45" s="24">
        <v>1650</v>
      </c>
      <c r="F45" s="22" t="b">
        <f>TRUE()</f>
        <v>1</v>
      </c>
    </row>
    <row r="46" spans="1:6" x14ac:dyDescent="0.3">
      <c r="A46" s="22" t="s">
        <v>330</v>
      </c>
      <c r="B46" s="22" t="s">
        <v>4819</v>
      </c>
      <c r="C46" s="22" t="s">
        <v>4815</v>
      </c>
      <c r="D46" s="24">
        <v>1626</v>
      </c>
      <c r="E46" s="24">
        <v>3020</v>
      </c>
      <c r="F46" s="22" t="b">
        <f>TRUE()</f>
        <v>1</v>
      </c>
    </row>
    <row r="47" spans="1:6" x14ac:dyDescent="0.3">
      <c r="A47" s="22" t="s">
        <v>212</v>
      </c>
      <c r="B47" s="22" t="s">
        <v>4820</v>
      </c>
      <c r="C47" s="22" t="s">
        <v>4815</v>
      </c>
      <c r="D47" s="24">
        <v>2768</v>
      </c>
      <c r="E47" s="24">
        <v>4880</v>
      </c>
      <c r="F47" s="22" t="b">
        <f>TRUE()</f>
        <v>1</v>
      </c>
    </row>
    <row r="48" spans="1:6" x14ac:dyDescent="0.3">
      <c r="A48" s="22" t="s">
        <v>178</v>
      </c>
      <c r="B48" s="22" t="s">
        <v>4821</v>
      </c>
      <c r="C48" s="22" t="s">
        <v>4815</v>
      </c>
      <c r="D48" s="24">
        <v>2420</v>
      </c>
      <c r="E48" s="24">
        <v>3450</v>
      </c>
      <c r="F48" s="22" t="b">
        <f>TRUE()</f>
        <v>1</v>
      </c>
    </row>
    <row r="49" spans="1:6" x14ac:dyDescent="0.3">
      <c r="A49" s="22" t="s">
        <v>220</v>
      </c>
      <c r="B49" s="22" t="s">
        <v>4822</v>
      </c>
      <c r="C49" s="22" t="s">
        <v>4815</v>
      </c>
      <c r="D49" s="24">
        <v>2237</v>
      </c>
      <c r="E49" s="24">
        <v>5100</v>
      </c>
      <c r="F49" s="22" t="b">
        <f>TRUE()</f>
        <v>1</v>
      </c>
    </row>
    <row r="50" spans="1:6" x14ac:dyDescent="0.3">
      <c r="A50" s="22" t="s">
        <v>479</v>
      </c>
      <c r="B50" s="22" t="s">
        <v>4823</v>
      </c>
      <c r="C50" s="22" t="s">
        <v>4815</v>
      </c>
      <c r="D50" s="24">
        <v>675</v>
      </c>
      <c r="E50" s="24">
        <v>960</v>
      </c>
      <c r="F50" s="22" t="b">
        <f>TRUE()</f>
        <v>1</v>
      </c>
    </row>
    <row r="51" spans="1:6" x14ac:dyDescent="0.3">
      <c r="A51" s="22" t="s">
        <v>283</v>
      </c>
      <c r="B51" s="22" t="s">
        <v>4824</v>
      </c>
      <c r="C51" s="22" t="s">
        <v>4815</v>
      </c>
      <c r="D51" s="24">
        <v>2617</v>
      </c>
      <c r="E51" s="24">
        <v>6080</v>
      </c>
      <c r="F51" s="22" t="b">
        <f>TRUE()</f>
        <v>1</v>
      </c>
    </row>
    <row r="52" spans="1:6" x14ac:dyDescent="0.3">
      <c r="A52" s="22" t="s">
        <v>182</v>
      </c>
      <c r="B52" s="22" t="s">
        <v>4825</v>
      </c>
      <c r="C52" s="22" t="s">
        <v>4826</v>
      </c>
      <c r="D52" s="24">
        <v>2467</v>
      </c>
      <c r="E52" s="24">
        <v>3450</v>
      </c>
      <c r="F52" s="22" t="b">
        <f>TRUE()</f>
        <v>1</v>
      </c>
    </row>
    <row r="53" spans="1:6" x14ac:dyDescent="0.3">
      <c r="A53" s="22" t="s">
        <v>449</v>
      </c>
      <c r="B53" s="22" t="s">
        <v>4827</v>
      </c>
      <c r="C53" s="22" t="s">
        <v>4826</v>
      </c>
      <c r="D53" s="24">
        <v>2265</v>
      </c>
      <c r="E53" s="24">
        <v>5410</v>
      </c>
      <c r="F53" s="22" t="b">
        <f>TRUE()</f>
        <v>1</v>
      </c>
    </row>
    <row r="54" spans="1:6" x14ac:dyDescent="0.3">
      <c r="A54" s="22" t="s">
        <v>114</v>
      </c>
      <c r="B54" s="22" t="s">
        <v>4828</v>
      </c>
      <c r="C54" s="22" t="s">
        <v>4826</v>
      </c>
      <c r="D54" s="24">
        <v>302</v>
      </c>
      <c r="E54" s="24">
        <v>470</v>
      </c>
      <c r="F54" s="22" t="b">
        <f>FALSE()</f>
        <v>0</v>
      </c>
    </row>
    <row r="55" spans="1:6" x14ac:dyDescent="0.3">
      <c r="A55" s="22" t="s">
        <v>209</v>
      </c>
      <c r="B55" s="22" t="s">
        <v>4829</v>
      </c>
      <c r="C55" s="22" t="s">
        <v>4826</v>
      </c>
      <c r="D55" s="24">
        <v>516</v>
      </c>
      <c r="E55" s="24">
        <v>1010</v>
      </c>
      <c r="F55" s="22" t="b">
        <f>TRUE()</f>
        <v>1</v>
      </c>
    </row>
    <row r="56" spans="1:6" x14ac:dyDescent="0.3">
      <c r="A56" s="22" t="s">
        <v>224</v>
      </c>
      <c r="B56" s="22" t="s">
        <v>4830</v>
      </c>
      <c r="C56" s="22" t="s">
        <v>4826</v>
      </c>
      <c r="D56" s="24">
        <v>2028</v>
      </c>
      <c r="E56" s="24">
        <v>2860</v>
      </c>
      <c r="F56" s="22" t="b">
        <f>TRUE()</f>
        <v>1</v>
      </c>
    </row>
    <row r="57" spans="1:6" x14ac:dyDescent="0.3">
      <c r="A57" s="22" t="s">
        <v>695</v>
      </c>
      <c r="B57" s="22" t="s">
        <v>4831</v>
      </c>
      <c r="C57" s="22" t="s">
        <v>4826</v>
      </c>
      <c r="D57" s="24">
        <v>2827</v>
      </c>
      <c r="E57" s="24">
        <v>6940</v>
      </c>
      <c r="F57" s="22" t="b">
        <f>TRUE()</f>
        <v>1</v>
      </c>
    </row>
    <row r="58" spans="1:6" x14ac:dyDescent="0.3">
      <c r="A58" s="22" t="s">
        <v>132</v>
      </c>
      <c r="B58" s="22" t="s">
        <v>4832</v>
      </c>
      <c r="C58" s="22" t="s">
        <v>4826</v>
      </c>
      <c r="D58" s="24">
        <v>705</v>
      </c>
      <c r="E58" s="24">
        <v>960</v>
      </c>
      <c r="F58" s="22" t="b">
        <f>TRUE()</f>
        <v>1</v>
      </c>
    </row>
    <row r="59" spans="1:6" x14ac:dyDescent="0.3">
      <c r="A59" s="22" t="s">
        <v>171</v>
      </c>
      <c r="B59" s="22" t="s">
        <v>4833</v>
      </c>
      <c r="C59" s="22" t="s">
        <v>4826</v>
      </c>
      <c r="D59" s="24">
        <v>974</v>
      </c>
      <c r="E59" s="24">
        <v>2400</v>
      </c>
      <c r="F59" s="22" t="b">
        <f>TRUE()</f>
        <v>1</v>
      </c>
    </row>
    <row r="60" spans="1:6" x14ac:dyDescent="0.3">
      <c r="A60" s="22" t="s">
        <v>605</v>
      </c>
      <c r="B60" s="22" t="s">
        <v>4834</v>
      </c>
      <c r="C60" s="22" t="s">
        <v>4826</v>
      </c>
      <c r="D60" s="24">
        <v>1860</v>
      </c>
      <c r="E60" s="24">
        <v>3780</v>
      </c>
      <c r="F60" s="22" t="b">
        <f>TRUE()</f>
        <v>1</v>
      </c>
    </row>
    <row r="61" spans="1:6" x14ac:dyDescent="0.3">
      <c r="A61" s="22" t="s">
        <v>167</v>
      </c>
      <c r="B61" s="22" t="s">
        <v>4835</v>
      </c>
      <c r="C61" s="22" t="s">
        <v>4826</v>
      </c>
      <c r="D61" s="24">
        <v>147</v>
      </c>
      <c r="E61" s="24">
        <v>190</v>
      </c>
      <c r="F61" s="22" t="b">
        <f>TRUE()</f>
        <v>1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  <pageSetUpPr fitToPage="1"/>
  </sheetPr>
  <dimension ref="A1:E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" width="8" customWidth="1"/>
    <col min="2" max="2" width="17" customWidth="1"/>
    <col min="3" max="3" width="8" customWidth="1"/>
    <col min="4" max="4" width="12" customWidth="1"/>
    <col min="5" max="5" width="14" customWidth="1"/>
  </cols>
  <sheetData>
    <row r="1" spans="1:5" x14ac:dyDescent="0.3">
      <c r="A1" s="11" t="s">
        <v>4836</v>
      </c>
      <c r="B1" s="11" t="s">
        <v>4837</v>
      </c>
      <c r="C1" s="11" t="s">
        <v>4838</v>
      </c>
      <c r="D1" s="11" t="s">
        <v>4839</v>
      </c>
      <c r="E1" s="11" t="s">
        <v>4840</v>
      </c>
    </row>
    <row r="2" spans="1:5" x14ac:dyDescent="0.3">
      <c r="A2" s="22" t="s">
        <v>4841</v>
      </c>
      <c r="B2" s="22" t="s">
        <v>4842</v>
      </c>
      <c r="C2" s="22" t="s">
        <v>4843</v>
      </c>
      <c r="D2" s="23">
        <v>44207</v>
      </c>
      <c r="E2" s="22"/>
    </row>
    <row r="3" spans="1:5" x14ac:dyDescent="0.3">
      <c r="A3" s="22" t="s">
        <v>4844</v>
      </c>
      <c r="B3" s="22" t="s">
        <v>4845</v>
      </c>
      <c r="C3" s="22" t="s">
        <v>4843</v>
      </c>
      <c r="D3" s="23">
        <v>44028</v>
      </c>
      <c r="E3" s="22"/>
    </row>
    <row r="4" spans="1:5" x14ac:dyDescent="0.3">
      <c r="A4" s="22" t="s">
        <v>4846</v>
      </c>
      <c r="B4" s="22" t="s">
        <v>4847</v>
      </c>
      <c r="C4" s="22" t="s">
        <v>4843</v>
      </c>
      <c r="D4" s="23">
        <v>43651</v>
      </c>
      <c r="E4" s="22"/>
    </row>
    <row r="5" spans="1:5" x14ac:dyDescent="0.3">
      <c r="A5" s="22" t="s">
        <v>4848</v>
      </c>
      <c r="B5" s="22" t="s">
        <v>4849</v>
      </c>
      <c r="C5" s="22" t="s">
        <v>4843</v>
      </c>
      <c r="D5" s="23">
        <v>44907</v>
      </c>
      <c r="E5" s="22"/>
    </row>
    <row r="6" spans="1:5" x14ac:dyDescent="0.3">
      <c r="A6" s="22" t="s">
        <v>4850</v>
      </c>
      <c r="B6" s="22" t="s">
        <v>4851</v>
      </c>
      <c r="C6" s="22" t="s">
        <v>4843</v>
      </c>
      <c r="D6" s="23">
        <v>43588</v>
      </c>
      <c r="E6" s="22" t="s">
        <v>4841</v>
      </c>
    </row>
    <row r="7" spans="1:5" x14ac:dyDescent="0.3">
      <c r="A7" s="22" t="s">
        <v>4852</v>
      </c>
      <c r="B7" s="22" t="s">
        <v>4760</v>
      </c>
      <c r="C7" s="22" t="s">
        <v>4843</v>
      </c>
      <c r="D7" s="23">
        <v>44131</v>
      </c>
      <c r="E7" s="22" t="s">
        <v>4841</v>
      </c>
    </row>
    <row r="8" spans="1:5" x14ac:dyDescent="0.3">
      <c r="A8" s="22" t="s">
        <v>103</v>
      </c>
      <c r="B8" s="22" t="s">
        <v>4853</v>
      </c>
      <c r="C8" s="22" t="s">
        <v>4843</v>
      </c>
      <c r="D8" s="23">
        <v>43493</v>
      </c>
      <c r="E8" s="22" t="s">
        <v>4841</v>
      </c>
    </row>
    <row r="9" spans="1:5" x14ac:dyDescent="0.3">
      <c r="A9" s="22" t="s">
        <v>109</v>
      </c>
      <c r="B9" s="22" t="s">
        <v>4749</v>
      </c>
      <c r="C9" s="22" t="s">
        <v>4843</v>
      </c>
      <c r="D9" s="23">
        <v>44693</v>
      </c>
      <c r="E9" s="22" t="s">
        <v>4841</v>
      </c>
    </row>
    <row r="10" spans="1:5" x14ac:dyDescent="0.3">
      <c r="A10" s="22" t="s">
        <v>115</v>
      </c>
      <c r="B10" s="22" t="s">
        <v>4854</v>
      </c>
      <c r="C10" s="22" t="s">
        <v>4855</v>
      </c>
      <c r="D10" s="23">
        <v>44804</v>
      </c>
      <c r="E10" s="22" t="s">
        <v>4844</v>
      </c>
    </row>
    <row r="11" spans="1:5" x14ac:dyDescent="0.3">
      <c r="A11" s="22" t="s">
        <v>120</v>
      </c>
      <c r="B11" s="22" t="s">
        <v>4856</v>
      </c>
      <c r="C11" s="22" t="s">
        <v>4855</v>
      </c>
      <c r="D11" s="23">
        <v>43904</v>
      </c>
      <c r="E11" s="22" t="s">
        <v>4844</v>
      </c>
    </row>
    <row r="12" spans="1:5" x14ac:dyDescent="0.3">
      <c r="A12" s="22" t="s">
        <v>124</v>
      </c>
      <c r="B12" s="22" t="s">
        <v>4857</v>
      </c>
      <c r="C12" s="22" t="s">
        <v>4855</v>
      </c>
      <c r="D12" s="23">
        <v>44622</v>
      </c>
      <c r="E12" s="22" t="s">
        <v>4844</v>
      </c>
    </row>
    <row r="13" spans="1:5" x14ac:dyDescent="0.3">
      <c r="A13" s="22" t="s">
        <v>128</v>
      </c>
      <c r="B13" s="22" t="s">
        <v>4858</v>
      </c>
      <c r="C13" s="22" t="s">
        <v>4855</v>
      </c>
      <c r="D13" s="23">
        <v>44890</v>
      </c>
      <c r="E13" s="22" t="s">
        <v>4844</v>
      </c>
    </row>
    <row r="14" spans="1:5" x14ac:dyDescent="0.3">
      <c r="A14" s="22" t="s">
        <v>133</v>
      </c>
      <c r="B14" s="22" t="s">
        <v>4859</v>
      </c>
      <c r="C14" s="22" t="s">
        <v>4855</v>
      </c>
      <c r="D14" s="23">
        <v>45215</v>
      </c>
      <c r="E14" s="22" t="s">
        <v>4844</v>
      </c>
    </row>
    <row r="15" spans="1:5" x14ac:dyDescent="0.3">
      <c r="A15" s="22" t="s">
        <v>138</v>
      </c>
      <c r="B15" s="22" t="s">
        <v>4860</v>
      </c>
      <c r="C15" s="22" t="s">
        <v>4855</v>
      </c>
      <c r="D15" s="23">
        <v>44469</v>
      </c>
      <c r="E15" s="22" t="s">
        <v>4844</v>
      </c>
    </row>
    <row r="16" spans="1:5" x14ac:dyDescent="0.3">
      <c r="A16" s="22" t="s">
        <v>142</v>
      </c>
      <c r="B16" s="22" t="s">
        <v>4861</v>
      </c>
      <c r="C16" s="22" t="s">
        <v>4855</v>
      </c>
      <c r="D16" s="23">
        <v>45231</v>
      </c>
      <c r="E16" s="22" t="s">
        <v>4844</v>
      </c>
    </row>
    <row r="17" spans="1:5" x14ac:dyDescent="0.3">
      <c r="A17" s="22" t="s">
        <v>146</v>
      </c>
      <c r="B17" s="22" t="s">
        <v>4862</v>
      </c>
      <c r="C17" s="22" t="s">
        <v>4855</v>
      </c>
      <c r="D17" s="23">
        <v>43614</v>
      </c>
      <c r="E17" s="22" t="s">
        <v>4844</v>
      </c>
    </row>
    <row r="18" spans="1:5" x14ac:dyDescent="0.3">
      <c r="A18" s="22" t="s">
        <v>150</v>
      </c>
      <c r="B18" s="22" t="s">
        <v>4863</v>
      </c>
      <c r="C18" s="22" t="s">
        <v>4864</v>
      </c>
      <c r="D18" s="23">
        <v>43685</v>
      </c>
      <c r="E18" s="22" t="s">
        <v>4846</v>
      </c>
    </row>
    <row r="19" spans="1:5" x14ac:dyDescent="0.3">
      <c r="A19" s="22" t="s">
        <v>154</v>
      </c>
      <c r="B19" s="22" t="s">
        <v>4865</v>
      </c>
      <c r="C19" s="22" t="s">
        <v>4864</v>
      </c>
      <c r="D19" s="23">
        <v>43428</v>
      </c>
      <c r="E19" s="22" t="s">
        <v>4846</v>
      </c>
    </row>
    <row r="20" spans="1:5" x14ac:dyDescent="0.3">
      <c r="A20" s="22" t="s">
        <v>158</v>
      </c>
      <c r="B20" s="22" t="s">
        <v>4866</v>
      </c>
      <c r="C20" s="22" t="s">
        <v>4864</v>
      </c>
      <c r="D20" s="23">
        <v>43576</v>
      </c>
      <c r="E20" s="22" t="s">
        <v>4846</v>
      </c>
    </row>
    <row r="21" spans="1:5" x14ac:dyDescent="0.3">
      <c r="A21" s="22" t="s">
        <v>163</v>
      </c>
      <c r="B21" s="22" t="s">
        <v>4867</v>
      </c>
      <c r="C21" s="22" t="s">
        <v>4864</v>
      </c>
      <c r="D21" s="23">
        <v>43254</v>
      </c>
      <c r="E21" s="22" t="s">
        <v>4846</v>
      </c>
    </row>
    <row r="22" spans="1:5" x14ac:dyDescent="0.3">
      <c r="A22" s="22" t="s">
        <v>168</v>
      </c>
      <c r="B22" s="22" t="s">
        <v>4868</v>
      </c>
      <c r="C22" s="22" t="s">
        <v>4864</v>
      </c>
      <c r="D22" s="23">
        <v>43260</v>
      </c>
      <c r="E22" s="22" t="s">
        <v>4846</v>
      </c>
    </row>
    <row r="23" spans="1:5" x14ac:dyDescent="0.3">
      <c r="A23" s="22" t="s">
        <v>172</v>
      </c>
      <c r="B23" s="22" t="s">
        <v>4869</v>
      </c>
      <c r="C23" s="22" t="s">
        <v>4864</v>
      </c>
      <c r="D23" s="23">
        <v>43146</v>
      </c>
      <c r="E23" s="22" t="s">
        <v>4846</v>
      </c>
    </row>
    <row r="24" spans="1:5" x14ac:dyDescent="0.3">
      <c r="A24" s="22" t="s">
        <v>175</v>
      </c>
      <c r="B24" s="22" t="s">
        <v>4870</v>
      </c>
      <c r="C24" s="22" t="s">
        <v>4864</v>
      </c>
      <c r="D24" s="23">
        <v>44777</v>
      </c>
      <c r="E24" s="22" t="s">
        <v>4846</v>
      </c>
    </row>
    <row r="25" spans="1:5" x14ac:dyDescent="0.3">
      <c r="A25" s="22" t="s">
        <v>179</v>
      </c>
      <c r="B25" s="22" t="s">
        <v>4871</v>
      </c>
      <c r="C25" s="22" t="s">
        <v>4872</v>
      </c>
      <c r="D25" s="23">
        <v>43371</v>
      </c>
      <c r="E25" s="22" t="s">
        <v>4848</v>
      </c>
    </row>
    <row r="26" spans="1:5" x14ac:dyDescent="0.3">
      <c r="A26" s="22" t="s">
        <v>183</v>
      </c>
      <c r="B26" s="22" t="s">
        <v>4873</v>
      </c>
      <c r="C26" s="22" t="s">
        <v>4872</v>
      </c>
      <c r="D26" s="23">
        <v>43781</v>
      </c>
      <c r="E26" s="22" t="s">
        <v>4848</v>
      </c>
    </row>
    <row r="27" spans="1:5" x14ac:dyDescent="0.3">
      <c r="A27" s="22" t="s">
        <v>187</v>
      </c>
      <c r="B27" s="22" t="s">
        <v>4874</v>
      </c>
      <c r="C27" s="22" t="s">
        <v>4872</v>
      </c>
      <c r="D27" s="23">
        <v>43570</v>
      </c>
      <c r="E27" s="22" t="s">
        <v>4848</v>
      </c>
    </row>
    <row r="28" spans="1:5" x14ac:dyDescent="0.3">
      <c r="A28" s="22" t="s">
        <v>191</v>
      </c>
      <c r="B28" s="22" t="s">
        <v>4875</v>
      </c>
      <c r="C28" s="22" t="s">
        <v>4872</v>
      </c>
      <c r="D28" s="23">
        <v>45199</v>
      </c>
      <c r="E28" s="22" t="s">
        <v>4848</v>
      </c>
    </row>
    <row r="29" spans="1:5" x14ac:dyDescent="0.3">
      <c r="A29" s="22" t="s">
        <v>194</v>
      </c>
      <c r="B29" s="22" t="s">
        <v>4876</v>
      </c>
      <c r="C29" s="22" t="s">
        <v>4872</v>
      </c>
      <c r="D29" s="23">
        <v>44898</v>
      </c>
      <c r="E29" s="22" t="s">
        <v>4848</v>
      </c>
    </row>
    <row r="30" spans="1:5" x14ac:dyDescent="0.3">
      <c r="A30" s="22" t="s">
        <v>198</v>
      </c>
      <c r="B30" s="22" t="s">
        <v>4877</v>
      </c>
      <c r="C30" s="22" t="s">
        <v>4872</v>
      </c>
      <c r="D30" s="23">
        <v>45191</v>
      </c>
      <c r="E30" s="22" t="s">
        <v>4848</v>
      </c>
    </row>
    <row r="31" spans="1:5" x14ac:dyDescent="0.3">
      <c r="A31" s="22" t="s">
        <v>202</v>
      </c>
      <c r="B31" s="22" t="s">
        <v>4878</v>
      </c>
      <c r="C31" s="22" t="s">
        <v>4872</v>
      </c>
      <c r="D31" s="23">
        <v>44506</v>
      </c>
      <c r="E31" s="22" t="s">
        <v>4848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4472C4"/>
    <pageSetUpPr fitToPage="1"/>
  </sheetPr>
  <dimension ref="A1:M31"/>
  <sheetViews>
    <sheetView zoomScaleNormal="100" workbookViewId="0">
      <pane ySplit="1" topLeftCell="A2" activePane="bottomLeft" state="frozen"/>
      <selection pane="bottomLeft"/>
    </sheetView>
  </sheetViews>
  <sheetFormatPr defaultColWidth="8.6640625" defaultRowHeight="14.4" x14ac:dyDescent="0.3"/>
  <cols>
    <col min="1" max="13" width="8" customWidth="1"/>
  </cols>
  <sheetData>
    <row r="1" spans="1:13" x14ac:dyDescent="0.3">
      <c r="A1" s="11" t="s">
        <v>4836</v>
      </c>
      <c r="B1" s="11" t="s">
        <v>4879</v>
      </c>
      <c r="C1" s="11" t="s">
        <v>4880</v>
      </c>
      <c r="D1" s="11" t="s">
        <v>4881</v>
      </c>
      <c r="E1" s="11" t="s">
        <v>4882</v>
      </c>
      <c r="F1" s="11" t="s">
        <v>4883</v>
      </c>
      <c r="G1" s="11" t="s">
        <v>4884</v>
      </c>
      <c r="H1" s="11" t="s">
        <v>4885</v>
      </c>
      <c r="I1" s="11" t="s">
        <v>4886</v>
      </c>
      <c r="J1" s="11" t="s">
        <v>4887</v>
      </c>
      <c r="K1" s="11" t="s">
        <v>4888</v>
      </c>
      <c r="L1" s="11" t="s">
        <v>4889</v>
      </c>
      <c r="M1" s="11" t="s">
        <v>4890</v>
      </c>
    </row>
    <row r="2" spans="1:13" x14ac:dyDescent="0.3">
      <c r="A2" s="22" t="s">
        <v>4841</v>
      </c>
      <c r="B2" s="24">
        <v>231324</v>
      </c>
      <c r="C2" s="24">
        <v>171682</v>
      </c>
      <c r="D2" s="24">
        <v>234376</v>
      </c>
      <c r="E2" s="24">
        <v>326967</v>
      </c>
      <c r="F2" s="24">
        <v>350588</v>
      </c>
      <c r="G2" s="24">
        <v>385324</v>
      </c>
      <c r="H2" s="24">
        <v>307980</v>
      </c>
      <c r="I2" s="24">
        <v>327947</v>
      </c>
      <c r="J2" s="24">
        <v>181016</v>
      </c>
      <c r="K2" s="24">
        <v>374039</v>
      </c>
      <c r="L2" s="24">
        <v>212805</v>
      </c>
      <c r="M2" s="24">
        <v>405999</v>
      </c>
    </row>
    <row r="3" spans="1:13" x14ac:dyDescent="0.3">
      <c r="A3" s="22" t="s">
        <v>4844</v>
      </c>
      <c r="B3" s="24">
        <v>438126</v>
      </c>
      <c r="C3" s="24">
        <v>346266</v>
      </c>
      <c r="D3" s="24">
        <v>329993</v>
      </c>
      <c r="E3" s="24">
        <v>370744</v>
      </c>
      <c r="F3" s="24">
        <v>294660</v>
      </c>
      <c r="G3" s="24">
        <v>341556</v>
      </c>
      <c r="H3" s="24">
        <v>151934</v>
      </c>
      <c r="I3" s="24">
        <v>223794</v>
      </c>
      <c r="J3" s="24">
        <v>438641</v>
      </c>
      <c r="K3" s="24">
        <v>344308</v>
      </c>
      <c r="L3" s="24">
        <v>296172</v>
      </c>
      <c r="M3" s="24">
        <v>304288</v>
      </c>
    </row>
    <row r="4" spans="1:13" x14ac:dyDescent="0.3">
      <c r="A4" s="22" t="s">
        <v>4846</v>
      </c>
      <c r="B4" s="24">
        <v>358703</v>
      </c>
      <c r="C4" s="24">
        <v>320519</v>
      </c>
      <c r="D4" s="24">
        <v>327321</v>
      </c>
      <c r="E4" s="24">
        <v>298753</v>
      </c>
      <c r="F4" s="24">
        <v>254636</v>
      </c>
      <c r="G4" s="24">
        <v>351929</v>
      </c>
      <c r="H4" s="24">
        <v>264723</v>
      </c>
      <c r="I4" s="24">
        <v>216459</v>
      </c>
      <c r="J4" s="24">
        <v>391945</v>
      </c>
      <c r="K4" s="24">
        <v>362426</v>
      </c>
      <c r="L4" s="24">
        <v>289199</v>
      </c>
      <c r="M4" s="24">
        <v>301863</v>
      </c>
    </row>
    <row r="5" spans="1:13" x14ac:dyDescent="0.3">
      <c r="A5" s="22" t="s">
        <v>4848</v>
      </c>
      <c r="B5" s="24">
        <v>389594</v>
      </c>
      <c r="C5" s="24">
        <v>376422</v>
      </c>
      <c r="D5" s="24">
        <v>324156</v>
      </c>
      <c r="E5" s="24">
        <v>420255</v>
      </c>
      <c r="F5" s="24">
        <v>409107</v>
      </c>
      <c r="G5" s="24">
        <v>269954</v>
      </c>
      <c r="H5" s="24">
        <v>179097</v>
      </c>
      <c r="I5" s="24">
        <v>370568</v>
      </c>
      <c r="J5" s="24">
        <v>387395</v>
      </c>
      <c r="K5" s="24">
        <v>243454</v>
      </c>
      <c r="L5" s="24">
        <v>232530</v>
      </c>
      <c r="M5" s="24">
        <v>201999</v>
      </c>
    </row>
    <row r="6" spans="1:13" x14ac:dyDescent="0.3">
      <c r="A6" s="22" t="s">
        <v>4850</v>
      </c>
      <c r="B6" s="24">
        <v>436862</v>
      </c>
      <c r="C6" s="24">
        <v>391158</v>
      </c>
      <c r="D6" s="24">
        <v>340224</v>
      </c>
      <c r="E6" s="24">
        <v>170548</v>
      </c>
      <c r="F6" s="24">
        <v>229390</v>
      </c>
      <c r="G6" s="24">
        <v>349525</v>
      </c>
      <c r="H6" s="24">
        <v>154683</v>
      </c>
      <c r="I6" s="24">
        <v>320848</v>
      </c>
      <c r="J6" s="24">
        <v>354452</v>
      </c>
      <c r="K6" s="24">
        <v>377180</v>
      </c>
      <c r="L6" s="24">
        <v>342347</v>
      </c>
      <c r="M6" s="24">
        <v>183362</v>
      </c>
    </row>
    <row r="7" spans="1:13" x14ac:dyDescent="0.3">
      <c r="A7" s="22" t="s">
        <v>4852</v>
      </c>
      <c r="B7" s="24">
        <v>348734</v>
      </c>
      <c r="C7" s="24">
        <v>358191</v>
      </c>
      <c r="D7" s="24">
        <v>250385</v>
      </c>
      <c r="E7" s="24">
        <v>219657</v>
      </c>
      <c r="F7" s="24">
        <v>249365</v>
      </c>
      <c r="G7" s="24">
        <v>435704</v>
      </c>
      <c r="H7" s="24">
        <v>260892</v>
      </c>
      <c r="I7" s="24">
        <v>250741</v>
      </c>
      <c r="J7" s="24">
        <v>358402</v>
      </c>
      <c r="K7" s="24">
        <v>379858</v>
      </c>
      <c r="L7" s="24">
        <v>213280</v>
      </c>
      <c r="M7" s="24">
        <v>224634</v>
      </c>
    </row>
    <row r="8" spans="1:13" x14ac:dyDescent="0.3">
      <c r="A8" s="22" t="s">
        <v>103</v>
      </c>
      <c r="B8" s="24">
        <v>280057</v>
      </c>
      <c r="C8" s="24">
        <v>330342</v>
      </c>
      <c r="D8" s="24">
        <v>336856</v>
      </c>
      <c r="E8" s="24">
        <v>227425</v>
      </c>
      <c r="F8" s="24">
        <v>233647</v>
      </c>
      <c r="G8" s="24">
        <v>307088</v>
      </c>
      <c r="H8" s="24">
        <v>370724</v>
      </c>
      <c r="I8" s="24">
        <v>440008</v>
      </c>
      <c r="J8" s="24">
        <v>406347</v>
      </c>
      <c r="K8" s="24">
        <v>217357</v>
      </c>
      <c r="L8" s="24">
        <v>299289</v>
      </c>
      <c r="M8" s="24">
        <v>214568</v>
      </c>
    </row>
    <row r="9" spans="1:13" x14ac:dyDescent="0.3">
      <c r="A9" s="22" t="s">
        <v>109</v>
      </c>
      <c r="B9" s="24">
        <v>252886</v>
      </c>
      <c r="C9" s="24">
        <v>206057</v>
      </c>
      <c r="D9" s="24">
        <v>318209</v>
      </c>
      <c r="E9" s="24">
        <v>411230</v>
      </c>
      <c r="F9" s="24">
        <v>448660</v>
      </c>
      <c r="G9" s="24">
        <v>171135</v>
      </c>
      <c r="H9" s="24">
        <v>305339</v>
      </c>
      <c r="I9" s="24">
        <v>432264</v>
      </c>
      <c r="J9" s="24">
        <v>294273</v>
      </c>
      <c r="K9" s="24">
        <v>371409</v>
      </c>
      <c r="L9" s="24">
        <v>284207</v>
      </c>
      <c r="M9" s="24">
        <v>437068</v>
      </c>
    </row>
    <row r="10" spans="1:13" x14ac:dyDescent="0.3">
      <c r="A10" s="22" t="s">
        <v>115</v>
      </c>
      <c r="B10" s="24">
        <v>268752</v>
      </c>
      <c r="C10" s="24">
        <v>393256</v>
      </c>
      <c r="D10" s="24">
        <v>310649</v>
      </c>
      <c r="E10" s="24">
        <v>246237</v>
      </c>
      <c r="F10" s="24">
        <v>271287</v>
      </c>
      <c r="G10" s="24">
        <v>314545</v>
      </c>
      <c r="H10" s="24">
        <v>406506</v>
      </c>
      <c r="I10" s="24">
        <v>334930</v>
      </c>
      <c r="J10" s="24">
        <v>348625</v>
      </c>
      <c r="K10" s="24">
        <v>408928</v>
      </c>
      <c r="L10" s="24">
        <v>243749</v>
      </c>
      <c r="M10" s="24">
        <v>418409</v>
      </c>
    </row>
    <row r="11" spans="1:13" x14ac:dyDescent="0.3">
      <c r="A11" s="22" t="s">
        <v>120</v>
      </c>
      <c r="B11" s="24">
        <v>384734</v>
      </c>
      <c r="C11" s="24">
        <v>156698</v>
      </c>
      <c r="D11" s="24">
        <v>283679</v>
      </c>
      <c r="E11" s="24">
        <v>276085</v>
      </c>
      <c r="F11" s="24">
        <v>409270</v>
      </c>
      <c r="G11" s="24">
        <v>285230</v>
      </c>
      <c r="H11" s="24">
        <v>304233</v>
      </c>
      <c r="I11" s="24">
        <v>178221</v>
      </c>
      <c r="J11" s="24">
        <v>284216</v>
      </c>
      <c r="K11" s="24">
        <v>287373</v>
      </c>
      <c r="L11" s="24">
        <v>229082</v>
      </c>
      <c r="M11" s="24">
        <v>298969</v>
      </c>
    </row>
    <row r="12" spans="1:13" x14ac:dyDescent="0.3">
      <c r="A12" s="22" t="s">
        <v>124</v>
      </c>
      <c r="B12" s="24">
        <v>186029</v>
      </c>
      <c r="C12" s="24">
        <v>151419</v>
      </c>
      <c r="D12" s="24">
        <v>253251</v>
      </c>
      <c r="E12" s="24">
        <v>379757</v>
      </c>
      <c r="F12" s="24">
        <v>204209</v>
      </c>
      <c r="G12" s="24">
        <v>179396</v>
      </c>
      <c r="H12" s="24">
        <v>378008</v>
      </c>
      <c r="I12" s="24">
        <v>182649</v>
      </c>
      <c r="J12" s="24">
        <v>267772</v>
      </c>
      <c r="K12" s="24">
        <v>350352</v>
      </c>
      <c r="L12" s="24">
        <v>358042</v>
      </c>
      <c r="M12" s="24">
        <v>359960</v>
      </c>
    </row>
    <row r="13" spans="1:13" x14ac:dyDescent="0.3">
      <c r="A13" s="22" t="s">
        <v>128</v>
      </c>
      <c r="B13" s="24">
        <v>352158</v>
      </c>
      <c r="C13" s="24">
        <v>251181</v>
      </c>
      <c r="D13" s="24">
        <v>321255</v>
      </c>
      <c r="E13" s="24">
        <v>300863</v>
      </c>
      <c r="F13" s="24">
        <v>241731</v>
      </c>
      <c r="G13" s="24">
        <v>393275</v>
      </c>
      <c r="H13" s="24">
        <v>313561</v>
      </c>
      <c r="I13" s="24">
        <v>283604</v>
      </c>
      <c r="J13" s="24">
        <v>429065</v>
      </c>
      <c r="K13" s="24">
        <v>194420</v>
      </c>
      <c r="L13" s="24">
        <v>254168</v>
      </c>
      <c r="M13" s="24">
        <v>389283</v>
      </c>
    </row>
    <row r="14" spans="1:13" x14ac:dyDescent="0.3">
      <c r="A14" s="22" t="s">
        <v>133</v>
      </c>
      <c r="B14" s="24">
        <v>350003</v>
      </c>
      <c r="C14" s="24">
        <v>384951</v>
      </c>
      <c r="D14" s="24">
        <v>424777</v>
      </c>
      <c r="E14" s="24">
        <v>323282</v>
      </c>
      <c r="F14" s="24">
        <v>427290</v>
      </c>
      <c r="G14" s="24">
        <v>363819</v>
      </c>
      <c r="H14" s="24">
        <v>279496</v>
      </c>
      <c r="I14" s="24">
        <v>190932</v>
      </c>
      <c r="J14" s="24">
        <v>347420</v>
      </c>
      <c r="K14" s="24">
        <v>160215</v>
      </c>
      <c r="L14" s="24">
        <v>388600</v>
      </c>
      <c r="M14" s="24">
        <v>437901</v>
      </c>
    </row>
    <row r="15" spans="1:13" x14ac:dyDescent="0.3">
      <c r="A15" s="22" t="s">
        <v>138</v>
      </c>
      <c r="B15" s="24">
        <v>307327</v>
      </c>
      <c r="C15" s="24">
        <v>377256</v>
      </c>
      <c r="D15" s="24">
        <v>236349</v>
      </c>
      <c r="E15" s="24">
        <v>321223</v>
      </c>
      <c r="F15" s="24">
        <v>268119</v>
      </c>
      <c r="G15" s="24">
        <v>294020</v>
      </c>
      <c r="H15" s="24">
        <v>312180</v>
      </c>
      <c r="I15" s="24">
        <v>390845</v>
      </c>
      <c r="J15" s="24">
        <v>432317</v>
      </c>
      <c r="K15" s="24">
        <v>277613</v>
      </c>
      <c r="L15" s="24">
        <v>373411</v>
      </c>
      <c r="M15" s="24">
        <v>214349</v>
      </c>
    </row>
    <row r="16" spans="1:13" x14ac:dyDescent="0.3">
      <c r="A16" s="22" t="s">
        <v>142</v>
      </c>
      <c r="B16" s="24">
        <v>414207</v>
      </c>
      <c r="C16" s="24">
        <v>376391</v>
      </c>
      <c r="D16" s="24">
        <v>192739</v>
      </c>
      <c r="E16" s="24">
        <v>165892</v>
      </c>
      <c r="F16" s="24">
        <v>187659</v>
      </c>
      <c r="G16" s="24">
        <v>283837</v>
      </c>
      <c r="H16" s="24">
        <v>434871</v>
      </c>
      <c r="I16" s="24">
        <v>369518</v>
      </c>
      <c r="J16" s="24">
        <v>171986</v>
      </c>
      <c r="K16" s="24">
        <v>328460</v>
      </c>
      <c r="L16" s="24">
        <v>418857</v>
      </c>
      <c r="M16" s="24">
        <v>159947</v>
      </c>
    </row>
    <row r="17" spans="1:13" x14ac:dyDescent="0.3">
      <c r="A17" s="22" t="s">
        <v>146</v>
      </c>
      <c r="B17" s="24">
        <v>335614</v>
      </c>
      <c r="C17" s="24">
        <v>325577</v>
      </c>
      <c r="D17" s="24">
        <v>217575</v>
      </c>
      <c r="E17" s="24">
        <v>427851</v>
      </c>
      <c r="F17" s="24">
        <v>438020</v>
      </c>
      <c r="G17" s="24">
        <v>276675</v>
      </c>
      <c r="H17" s="24">
        <v>331096</v>
      </c>
      <c r="I17" s="24">
        <v>282103</v>
      </c>
      <c r="J17" s="24">
        <v>321062</v>
      </c>
      <c r="K17" s="24">
        <v>235137</v>
      </c>
      <c r="L17" s="24">
        <v>279755</v>
      </c>
      <c r="M17" s="24">
        <v>230523</v>
      </c>
    </row>
    <row r="18" spans="1:13" x14ac:dyDescent="0.3">
      <c r="A18" s="22" t="s">
        <v>150</v>
      </c>
      <c r="B18" s="24">
        <v>369725</v>
      </c>
      <c r="C18" s="24">
        <v>181516</v>
      </c>
      <c r="D18" s="24">
        <v>233993</v>
      </c>
      <c r="E18" s="24">
        <v>194261</v>
      </c>
      <c r="F18" s="24">
        <v>233332</v>
      </c>
      <c r="G18" s="24">
        <v>359011</v>
      </c>
      <c r="H18" s="24">
        <v>219264</v>
      </c>
      <c r="I18" s="24">
        <v>391688</v>
      </c>
      <c r="J18" s="24">
        <v>191502</v>
      </c>
      <c r="K18" s="24">
        <v>216536</v>
      </c>
      <c r="L18" s="24">
        <v>205649</v>
      </c>
      <c r="M18" s="24">
        <v>285932</v>
      </c>
    </row>
    <row r="19" spans="1:13" x14ac:dyDescent="0.3">
      <c r="A19" s="22" t="s">
        <v>154</v>
      </c>
      <c r="B19" s="24">
        <v>257718</v>
      </c>
      <c r="C19" s="24">
        <v>413773</v>
      </c>
      <c r="D19" s="24">
        <v>202301</v>
      </c>
      <c r="E19" s="24">
        <v>257477</v>
      </c>
      <c r="F19" s="24">
        <v>372470</v>
      </c>
      <c r="G19" s="24">
        <v>371047</v>
      </c>
      <c r="H19" s="24">
        <v>169457</v>
      </c>
      <c r="I19" s="24">
        <v>202077</v>
      </c>
      <c r="J19" s="24">
        <v>406637</v>
      </c>
      <c r="K19" s="24">
        <v>255393</v>
      </c>
      <c r="L19" s="24">
        <v>158049</v>
      </c>
      <c r="M19" s="24">
        <v>317073</v>
      </c>
    </row>
    <row r="20" spans="1:13" x14ac:dyDescent="0.3">
      <c r="A20" s="22" t="s">
        <v>158</v>
      </c>
      <c r="B20" s="24">
        <v>277098</v>
      </c>
      <c r="C20" s="24">
        <v>284984</v>
      </c>
      <c r="D20" s="24">
        <v>164922</v>
      </c>
      <c r="E20" s="24">
        <v>181579</v>
      </c>
      <c r="F20" s="24">
        <v>260717</v>
      </c>
      <c r="G20" s="24">
        <v>414136</v>
      </c>
      <c r="H20" s="24">
        <v>305447</v>
      </c>
      <c r="I20" s="24">
        <v>283691</v>
      </c>
      <c r="J20" s="24">
        <v>359591</v>
      </c>
      <c r="K20" s="24">
        <v>415531</v>
      </c>
      <c r="L20" s="24">
        <v>383485</v>
      </c>
      <c r="M20" s="24">
        <v>154976</v>
      </c>
    </row>
    <row r="21" spans="1:13" x14ac:dyDescent="0.3">
      <c r="A21" s="22" t="s">
        <v>163</v>
      </c>
      <c r="B21" s="24">
        <v>212521</v>
      </c>
      <c r="C21" s="24">
        <v>245361</v>
      </c>
      <c r="D21" s="24">
        <v>402338</v>
      </c>
      <c r="E21" s="24">
        <v>153034</v>
      </c>
      <c r="F21" s="24">
        <v>274863</v>
      </c>
      <c r="G21" s="24">
        <v>238363</v>
      </c>
      <c r="H21" s="24">
        <v>231270</v>
      </c>
      <c r="I21" s="24">
        <v>245700</v>
      </c>
      <c r="J21" s="24">
        <v>368067</v>
      </c>
      <c r="K21" s="24">
        <v>297022</v>
      </c>
      <c r="L21" s="24">
        <v>413149</v>
      </c>
      <c r="M21" s="24">
        <v>156857</v>
      </c>
    </row>
    <row r="22" spans="1:13" x14ac:dyDescent="0.3">
      <c r="A22" s="22" t="s">
        <v>168</v>
      </c>
      <c r="B22" s="24">
        <v>162799</v>
      </c>
      <c r="C22" s="24">
        <v>304758</v>
      </c>
      <c r="D22" s="24">
        <v>405377</v>
      </c>
      <c r="E22" s="24">
        <v>179658</v>
      </c>
      <c r="F22" s="24">
        <v>404994</v>
      </c>
      <c r="G22" s="24">
        <v>193255</v>
      </c>
      <c r="H22" s="24">
        <v>355444</v>
      </c>
      <c r="I22" s="24">
        <v>246543</v>
      </c>
      <c r="J22" s="24">
        <v>329852</v>
      </c>
      <c r="K22" s="24">
        <v>224665</v>
      </c>
      <c r="L22" s="24">
        <v>361938</v>
      </c>
      <c r="M22" s="24">
        <v>165860</v>
      </c>
    </row>
    <row r="23" spans="1:13" x14ac:dyDescent="0.3">
      <c r="A23" s="22" t="s">
        <v>172</v>
      </c>
      <c r="B23" s="24">
        <v>356537</v>
      </c>
      <c r="C23" s="24">
        <v>448297</v>
      </c>
      <c r="D23" s="24">
        <v>156014</v>
      </c>
      <c r="E23" s="24">
        <v>157667</v>
      </c>
      <c r="F23" s="24">
        <v>172713</v>
      </c>
      <c r="G23" s="24">
        <v>196305</v>
      </c>
      <c r="H23" s="24">
        <v>442484</v>
      </c>
      <c r="I23" s="24">
        <v>293581</v>
      </c>
      <c r="J23" s="24">
        <v>280862</v>
      </c>
      <c r="K23" s="24">
        <v>340676</v>
      </c>
      <c r="L23" s="24">
        <v>343411</v>
      </c>
      <c r="M23" s="24">
        <v>437921</v>
      </c>
    </row>
    <row r="24" spans="1:13" x14ac:dyDescent="0.3">
      <c r="A24" s="22" t="s">
        <v>175</v>
      </c>
      <c r="B24" s="24">
        <v>218099</v>
      </c>
      <c r="C24" s="24">
        <v>412956</v>
      </c>
      <c r="D24" s="24">
        <v>438770</v>
      </c>
      <c r="E24" s="24">
        <v>172679</v>
      </c>
      <c r="F24" s="24">
        <v>343868</v>
      </c>
      <c r="G24" s="24">
        <v>390384</v>
      </c>
      <c r="H24" s="24">
        <v>400933</v>
      </c>
      <c r="I24" s="24">
        <v>211614</v>
      </c>
      <c r="J24" s="24">
        <v>201857</v>
      </c>
      <c r="K24" s="24">
        <v>430835</v>
      </c>
      <c r="L24" s="24">
        <v>193076</v>
      </c>
      <c r="M24" s="24">
        <v>372598</v>
      </c>
    </row>
    <row r="25" spans="1:13" x14ac:dyDescent="0.3">
      <c r="A25" s="22" t="s">
        <v>179</v>
      </c>
      <c r="B25" s="24">
        <v>168635</v>
      </c>
      <c r="C25" s="24">
        <v>214511</v>
      </c>
      <c r="D25" s="24">
        <v>169022</v>
      </c>
      <c r="E25" s="24">
        <v>247159</v>
      </c>
      <c r="F25" s="24">
        <v>304981</v>
      </c>
      <c r="G25" s="24">
        <v>387353</v>
      </c>
      <c r="H25" s="24">
        <v>167057</v>
      </c>
      <c r="I25" s="24">
        <v>403051</v>
      </c>
      <c r="J25" s="24">
        <v>184207</v>
      </c>
      <c r="K25" s="24">
        <v>350145</v>
      </c>
      <c r="L25" s="24">
        <v>376579</v>
      </c>
      <c r="M25" s="24">
        <v>364718</v>
      </c>
    </row>
    <row r="26" spans="1:13" x14ac:dyDescent="0.3">
      <c r="A26" s="22" t="s">
        <v>183</v>
      </c>
      <c r="B26" s="24">
        <v>241742</v>
      </c>
      <c r="C26" s="24">
        <v>376544</v>
      </c>
      <c r="D26" s="24">
        <v>289689</v>
      </c>
      <c r="E26" s="24">
        <v>291365</v>
      </c>
      <c r="F26" s="24">
        <v>151669</v>
      </c>
      <c r="G26" s="24">
        <v>237046</v>
      </c>
      <c r="H26" s="24">
        <v>215592</v>
      </c>
      <c r="I26" s="24">
        <v>256462</v>
      </c>
      <c r="J26" s="24">
        <v>219765</v>
      </c>
      <c r="K26" s="24">
        <v>305885</v>
      </c>
      <c r="L26" s="24">
        <v>170489</v>
      </c>
      <c r="M26" s="24">
        <v>328169</v>
      </c>
    </row>
    <row r="27" spans="1:13" x14ac:dyDescent="0.3">
      <c r="A27" s="22" t="s">
        <v>187</v>
      </c>
      <c r="B27" s="24">
        <v>206632</v>
      </c>
      <c r="C27" s="24">
        <v>418219</v>
      </c>
      <c r="D27" s="24">
        <v>218871</v>
      </c>
      <c r="E27" s="24">
        <v>424496</v>
      </c>
      <c r="F27" s="24">
        <v>269328</v>
      </c>
      <c r="G27" s="24">
        <v>261309</v>
      </c>
      <c r="H27" s="24">
        <v>244265</v>
      </c>
      <c r="I27" s="24">
        <v>228393</v>
      </c>
      <c r="J27" s="24">
        <v>410956</v>
      </c>
      <c r="K27" s="24">
        <v>314259</v>
      </c>
      <c r="L27" s="24">
        <v>297459</v>
      </c>
      <c r="M27" s="24">
        <v>251313</v>
      </c>
    </row>
    <row r="28" spans="1:13" x14ac:dyDescent="0.3">
      <c r="A28" s="22" t="s">
        <v>191</v>
      </c>
      <c r="B28" s="24">
        <v>239781</v>
      </c>
      <c r="C28" s="24">
        <v>430605</v>
      </c>
      <c r="D28" s="24">
        <v>190908</v>
      </c>
      <c r="E28" s="24">
        <v>229129</v>
      </c>
      <c r="F28" s="24">
        <v>196262</v>
      </c>
      <c r="G28" s="24">
        <v>377844</v>
      </c>
      <c r="H28" s="24">
        <v>293147</v>
      </c>
      <c r="I28" s="24">
        <v>370985</v>
      </c>
      <c r="J28" s="24">
        <v>420128</v>
      </c>
      <c r="K28" s="24">
        <v>433140</v>
      </c>
      <c r="L28" s="24">
        <v>408093</v>
      </c>
      <c r="M28" s="24">
        <v>255969</v>
      </c>
    </row>
    <row r="29" spans="1:13" x14ac:dyDescent="0.3">
      <c r="A29" s="22" t="s">
        <v>194</v>
      </c>
      <c r="B29" s="24">
        <v>426872</v>
      </c>
      <c r="C29" s="24">
        <v>171719</v>
      </c>
      <c r="D29" s="24">
        <v>169701</v>
      </c>
      <c r="E29" s="24">
        <v>347987</v>
      </c>
      <c r="F29" s="24">
        <v>216195</v>
      </c>
      <c r="G29" s="24">
        <v>412271</v>
      </c>
      <c r="H29" s="24">
        <v>416393</v>
      </c>
      <c r="I29" s="24">
        <v>353569</v>
      </c>
      <c r="J29" s="24">
        <v>323287</v>
      </c>
      <c r="K29" s="24">
        <v>301789</v>
      </c>
      <c r="L29" s="24">
        <v>208839</v>
      </c>
      <c r="M29" s="24">
        <v>369454</v>
      </c>
    </row>
    <row r="30" spans="1:13" x14ac:dyDescent="0.3">
      <c r="A30" s="22" t="s">
        <v>198</v>
      </c>
      <c r="B30" s="24">
        <v>233369</v>
      </c>
      <c r="C30" s="24">
        <v>371909</v>
      </c>
      <c r="D30" s="24">
        <v>355248</v>
      </c>
      <c r="E30" s="24">
        <v>156409</v>
      </c>
      <c r="F30" s="24">
        <v>308725</v>
      </c>
      <c r="G30" s="24">
        <v>192883</v>
      </c>
      <c r="H30" s="24">
        <v>180902</v>
      </c>
      <c r="I30" s="24">
        <v>168654</v>
      </c>
      <c r="J30" s="24">
        <v>256191</v>
      </c>
      <c r="K30" s="24">
        <v>320737</v>
      </c>
      <c r="L30" s="24">
        <v>430108</v>
      </c>
      <c r="M30" s="24">
        <v>307413</v>
      </c>
    </row>
    <row r="31" spans="1:13" x14ac:dyDescent="0.3">
      <c r="A31" s="22" t="s">
        <v>202</v>
      </c>
      <c r="B31" s="24">
        <v>151584</v>
      </c>
      <c r="C31" s="24">
        <v>221679</v>
      </c>
      <c r="D31" s="24">
        <v>385157</v>
      </c>
      <c r="E31" s="24">
        <v>290386</v>
      </c>
      <c r="F31" s="24">
        <v>236041</v>
      </c>
      <c r="G31" s="24">
        <v>407985</v>
      </c>
      <c r="H31" s="24">
        <v>184446</v>
      </c>
      <c r="I31" s="24">
        <v>342894</v>
      </c>
      <c r="J31" s="24">
        <v>180344</v>
      </c>
      <c r="K31" s="24">
        <v>292917</v>
      </c>
      <c r="L31" s="24">
        <v>314858</v>
      </c>
      <c r="M31" s="24">
        <v>364057</v>
      </c>
    </row>
  </sheetData>
  <pageMargins left="0.75" right="0.75" top="1" bottom="1" header="0.511811023622047" footer="0.511811023622047"/>
  <pageSetup paperSize="9" fitToHeight="0" orientation="landscape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C000"/>
    <pageSetUpPr fitToPage="1"/>
  </sheetPr>
  <dimension ref="A1:F21"/>
  <sheetViews>
    <sheetView zoomScaleNormal="100" workbookViewId="0">
      <pane ySplit="4" topLeftCell="A6" activePane="bottomLeft" state="frozen"/>
      <selection pane="bottomLeft" activeCell="E13" sqref="E13"/>
    </sheetView>
  </sheetViews>
  <sheetFormatPr defaultColWidth="8.6640625"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9.77734375" customWidth="1"/>
  </cols>
  <sheetData>
    <row r="1" spans="1:6" ht="30" customHeight="1" x14ac:dyDescent="0.3">
      <c r="A1" s="4" t="s">
        <v>4891</v>
      </c>
      <c r="B1" s="4"/>
      <c r="C1" s="4"/>
      <c r="D1" s="4"/>
      <c r="E1" s="4"/>
      <c r="F1" s="4"/>
    </row>
    <row r="2" spans="1:6" x14ac:dyDescent="0.3">
      <c r="A2" s="3" t="s">
        <v>4892</v>
      </c>
      <c r="B2" s="3"/>
      <c r="C2" s="3"/>
      <c r="D2" s="3"/>
      <c r="E2" s="3"/>
      <c r="F2" s="3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4893</v>
      </c>
      <c r="B4" s="26" t="s">
        <v>4894</v>
      </c>
      <c r="C4" s="26" t="s">
        <v>21</v>
      </c>
      <c r="D4" s="26" t="s">
        <v>4895</v>
      </c>
      <c r="E4" s="26" t="s">
        <v>4896</v>
      </c>
      <c r="F4" s="26" t="s">
        <v>4897</v>
      </c>
    </row>
    <row r="5" spans="1:6" ht="42" customHeight="1" x14ac:dyDescent="0.3">
      <c r="A5" s="27" t="s">
        <v>4898</v>
      </c>
      <c r="B5" s="28" t="s">
        <v>4899</v>
      </c>
      <c r="C5" s="29">
        <v>3</v>
      </c>
      <c r="D5" s="30" t="s">
        <v>4900</v>
      </c>
      <c r="E5" s="31" t="str">
        <f>VLOOKUP("ORD-00234",Orders!A:C,3,FALSE())</f>
        <v>CUST-0173</v>
      </c>
      <c r="F5" s="32" t="s">
        <v>4901</v>
      </c>
    </row>
    <row r="6" spans="1:6" ht="42" customHeight="1" x14ac:dyDescent="0.3">
      <c r="A6" s="27" t="s">
        <v>4902</v>
      </c>
      <c r="B6" s="28" t="s">
        <v>4903</v>
      </c>
      <c r="C6" s="29">
        <v>3</v>
      </c>
      <c r="D6" s="30" t="s">
        <v>4904</v>
      </c>
      <c r="E6" s="31" t="str">
        <f>VLOOKUP(VLOOKUP("ORD-00456",Orders!A:D,4,FALSE()),Products!A:B,2,FALSE())</f>
        <v>Dumbbells 5kg</v>
      </c>
      <c r="F6" s="32" t="s">
        <v>4905</v>
      </c>
    </row>
    <row r="7" spans="1:6" ht="42" customHeight="1" x14ac:dyDescent="0.3">
      <c r="A7" s="27" t="s">
        <v>4906</v>
      </c>
      <c r="B7" s="28" t="s">
        <v>4907</v>
      </c>
      <c r="C7" s="29">
        <v>3</v>
      </c>
      <c r="D7" s="30" t="s">
        <v>4908</v>
      </c>
      <c r="E7" s="31" t="e">
        <f>INDEX(Sales_Reps!B:B,MATCH(VLOOKUP("ORD-00987",Orders!A:E,5,FALSE()),Sales_Reps!A:A,0))</f>
        <v>#N/A</v>
      </c>
      <c r="F7" s="32" t="s">
        <v>4905</v>
      </c>
    </row>
    <row r="8" spans="1:6" ht="42" customHeight="1" x14ac:dyDescent="0.3">
      <c r="A8" s="27" t="s">
        <v>4909</v>
      </c>
      <c r="B8" s="28" t="s">
        <v>4910</v>
      </c>
      <c r="C8" s="29">
        <v>4</v>
      </c>
      <c r="D8" s="30" t="s">
        <v>4911</v>
      </c>
      <c r="E8" s="31">
        <f>INDEX(Targets!B:M,MATCH("R012",Targets!A:A,0),MATCH("Mar-24",Targets!B1:M1,0))</f>
        <v>321255</v>
      </c>
      <c r="F8" s="32" t="s">
        <v>4912</v>
      </c>
    </row>
    <row r="9" spans="1:6" ht="42" customHeight="1" x14ac:dyDescent="0.3">
      <c r="A9" s="27" t="s">
        <v>4913</v>
      </c>
      <c r="B9" s="28" t="s">
        <v>4914</v>
      </c>
      <c r="C9" s="29">
        <v>4</v>
      </c>
      <c r="D9" s="30" t="s">
        <v>4915</v>
      </c>
      <c r="E9" s="31" t="str">
        <f>VLOOKUP(VLOOKUP("ORD-01500",Orders!A:D,4,FALSE()),Products!A:C,3,FALSE())</f>
        <v>Electronics</v>
      </c>
      <c r="F9" s="32" t="s">
        <v>4905</v>
      </c>
    </row>
    <row r="10" spans="1:6" ht="42" customHeight="1" x14ac:dyDescent="0.3">
      <c r="A10" s="27" t="s">
        <v>4916</v>
      </c>
      <c r="B10" s="28" t="s">
        <v>4917</v>
      </c>
      <c r="C10" s="29">
        <v>3</v>
      </c>
      <c r="D10" s="30" t="s">
        <v>4918</v>
      </c>
      <c r="E10" s="31" t="str">
        <f>VLOOKUP(VLOOKUP("ORD-00789", Orders!A:H, 8, FALSE()), B18:C21, 2, TRUE())</f>
        <v>Bronze</v>
      </c>
      <c r="F10" s="32" t="s">
        <v>4905</v>
      </c>
    </row>
    <row r="11" spans="1:6" ht="42" customHeight="1" x14ac:dyDescent="0.3">
      <c r="A11" s="27" t="s">
        <v>4919</v>
      </c>
      <c r="B11" s="28" t="s">
        <v>4920</v>
      </c>
      <c r="C11" s="29">
        <v>3</v>
      </c>
      <c r="D11" s="30" t="s">
        <v>4921</v>
      </c>
      <c r="E11" s="31" t="e">
        <f>VLOOKUP(VLOOKUP("ORD-01234", Orders!A:E, 5, FALSE()), Sales_Reps!A:C, 2, FALSE()) &amp; " (" &amp; VLOOKUP(VLOOKUP("ORD-01234", Orders!A:E, 5, FALSE()), Sales_Reps!A:C, 3, FALSE()) &amp; ")"</f>
        <v>#N/A</v>
      </c>
      <c r="F11" s="32" t="s">
        <v>4905</v>
      </c>
    </row>
    <row r="12" spans="1:6" ht="42" customHeight="1" x14ac:dyDescent="0.3">
      <c r="A12" s="27" t="s">
        <v>4922</v>
      </c>
      <c r="B12" s="28" t="s">
        <v>4923</v>
      </c>
      <c r="C12" s="29">
        <v>2</v>
      </c>
      <c r="D12" s="30" t="s">
        <v>4924</v>
      </c>
      <c r="E12" s="31" t="str">
        <f>VLOOKUP(VLOOKUP("R017", Sales_Reps!A:E, 5, FALSE()), Sales_Reps!A:B, 2, FALSE())</f>
        <v>Amit Singh</v>
      </c>
      <c r="F12" s="32" t="s">
        <v>4905</v>
      </c>
    </row>
    <row r="15" spans="1:6" x14ac:dyDescent="0.3">
      <c r="B15" s="33" t="s">
        <v>4925</v>
      </c>
    </row>
    <row r="17" spans="2:3" x14ac:dyDescent="0.3">
      <c r="B17" s="34" t="s">
        <v>4926</v>
      </c>
      <c r="C17" s="34" t="s">
        <v>4927</v>
      </c>
    </row>
    <row r="18" spans="2:3" x14ac:dyDescent="0.3">
      <c r="B18" s="35">
        <v>0</v>
      </c>
      <c r="C18" s="35" t="s">
        <v>4928</v>
      </c>
    </row>
    <row r="19" spans="2:3" x14ac:dyDescent="0.3">
      <c r="B19" s="35">
        <v>5</v>
      </c>
      <c r="C19" s="35" t="s">
        <v>4929</v>
      </c>
    </row>
    <row r="20" spans="2:3" x14ac:dyDescent="0.3">
      <c r="B20" s="35">
        <v>15</v>
      </c>
      <c r="C20" s="35" t="s">
        <v>4930</v>
      </c>
    </row>
    <row r="21" spans="2:3" x14ac:dyDescent="0.3">
      <c r="B21" s="35">
        <v>25</v>
      </c>
      <c r="C21" s="35" t="s">
        <v>4931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C000"/>
    <pageSetUpPr fitToPage="1"/>
  </sheetPr>
  <dimension ref="A1:F10"/>
  <sheetViews>
    <sheetView zoomScaleNormal="100" workbookViewId="0">
      <pane ySplit="4" topLeftCell="A5" activePane="bottomLeft" state="frozen"/>
      <selection pane="bottomLeft" activeCell="E10" sqref="E10"/>
    </sheetView>
  </sheetViews>
  <sheetFormatPr defaultColWidth="8.6640625"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6" ht="30" customHeight="1" x14ac:dyDescent="0.3">
      <c r="A1" s="4" t="s">
        <v>4932</v>
      </c>
      <c r="B1" s="4"/>
      <c r="C1" s="4"/>
      <c r="D1" s="4"/>
      <c r="E1" s="4"/>
      <c r="F1" s="4"/>
    </row>
    <row r="2" spans="1:6" x14ac:dyDescent="0.3">
      <c r="A2" s="3" t="s">
        <v>4933</v>
      </c>
      <c r="B2" s="3"/>
      <c r="C2" s="3"/>
      <c r="D2" s="3"/>
      <c r="E2" s="3"/>
      <c r="F2" s="3"/>
    </row>
    <row r="3" spans="1:6" x14ac:dyDescent="0.3">
      <c r="A3" s="25"/>
      <c r="B3" s="25"/>
      <c r="C3" s="25"/>
      <c r="D3" s="25"/>
      <c r="E3" s="25"/>
      <c r="F3" s="25"/>
    </row>
    <row r="4" spans="1:6" ht="24" customHeight="1" x14ac:dyDescent="0.3">
      <c r="A4" s="26" t="s">
        <v>4893</v>
      </c>
      <c r="B4" s="26" t="s">
        <v>4894</v>
      </c>
      <c r="C4" s="26" t="s">
        <v>21</v>
      </c>
      <c r="D4" s="26" t="s">
        <v>4895</v>
      </c>
      <c r="E4" s="26" t="s">
        <v>4896</v>
      </c>
      <c r="F4" s="26" t="s">
        <v>4897</v>
      </c>
    </row>
    <row r="5" spans="1:6" ht="42" customHeight="1" x14ac:dyDescent="0.3">
      <c r="A5" s="27" t="s">
        <v>4934</v>
      </c>
      <c r="B5" s="28" t="s">
        <v>4935</v>
      </c>
      <c r="C5" s="29">
        <v>3</v>
      </c>
      <c r="D5" s="30" t="s">
        <v>4936</v>
      </c>
      <c r="E5" s="31">
        <f>SUMPRODUCT((COUNTIF(Orders!$A$2:$A$2001,Orders!$A$2:$A$2001)&gt;1)/COUNTIF(Orders!$A$2:$A$2001,Orders!$A$2:$A$2001))</f>
        <v>20</v>
      </c>
      <c r="F5" s="32" t="s">
        <v>4912</v>
      </c>
    </row>
    <row r="6" spans="1:6" ht="42" customHeight="1" x14ac:dyDescent="0.3">
      <c r="A6" s="27" t="s">
        <v>4937</v>
      </c>
      <c r="B6" s="28" t="s">
        <v>4938</v>
      </c>
      <c r="C6" s="29">
        <v>3</v>
      </c>
      <c r="D6" s="30" t="s">
        <v>4939</v>
      </c>
      <c r="E6" s="31">
        <f>SUMPRODUCT(--(Customers!B2:B301&lt;&gt;TRIM(Customers!B2:B301)))</f>
        <v>15</v>
      </c>
      <c r="F6" s="32" t="s">
        <v>4912</v>
      </c>
    </row>
    <row r="7" spans="1:6" ht="42" customHeight="1" x14ac:dyDescent="0.3">
      <c r="A7" s="27" t="s">
        <v>4940</v>
      </c>
      <c r="B7" s="28" t="s">
        <v>4941</v>
      </c>
      <c r="C7" s="29">
        <v>3</v>
      </c>
      <c r="D7" s="30" t="s">
        <v>4942</v>
      </c>
      <c r="E7" s="31">
        <f>SUMPRODUCT(1/COUNTIF(Customers!$D$2:$D$301,Customers!$D$2:$D$301))</f>
        <v>6.0000000000000018</v>
      </c>
      <c r="F7" s="32" t="s">
        <v>4912</v>
      </c>
    </row>
    <row r="8" spans="1:6" ht="42" customHeight="1" x14ac:dyDescent="0.3">
      <c r="A8" s="27" t="s">
        <v>4943</v>
      </c>
      <c r="B8" s="28" t="s">
        <v>4944</v>
      </c>
      <c r="C8" s="29">
        <v>4</v>
      </c>
      <c r="D8" s="30" t="s">
        <v>4945</v>
      </c>
      <c r="E8" s="31">
        <f>SUMPRODUCT(--ISNA(MATCH(Orders!C2:C2001,Customers!A2:A301,0)))</f>
        <v>30</v>
      </c>
      <c r="F8" s="32" t="s">
        <v>4912</v>
      </c>
    </row>
    <row r="9" spans="1:6" ht="42" customHeight="1" x14ac:dyDescent="0.3">
      <c r="A9" s="27" t="s">
        <v>4946</v>
      </c>
      <c r="B9" s="28" t="s">
        <v>4947</v>
      </c>
      <c r="C9" s="29">
        <v>3</v>
      </c>
      <c r="D9" s="30" t="s">
        <v>4948</v>
      </c>
      <c r="E9" s="31">
        <f>SUMPRODUCT(COUNTIFS(Products!$A$2:$A$61,Orders!$D$2:$D$2001,Products!$F$2:$F$61,FALSE()))</f>
        <v>174</v>
      </c>
      <c r="F9" s="32" t="s">
        <v>4912</v>
      </c>
    </row>
    <row r="10" spans="1:6" ht="42" customHeight="1" x14ac:dyDescent="0.3">
      <c r="A10" s="27" t="s">
        <v>4949</v>
      </c>
      <c r="B10" s="28" t="s">
        <v>4950</v>
      </c>
      <c r="C10" s="29">
        <v>4</v>
      </c>
      <c r="D10" s="30" t="s">
        <v>4951</v>
      </c>
      <c r="E10" s="31">
        <f>COUNTIFS(Orders!J2:J2001, "Cancelled", Orders!H2:H2001, "&gt;20")</f>
        <v>58</v>
      </c>
      <c r="F10" s="32" t="s">
        <v>4912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C000"/>
    <pageSetUpPr fitToPage="1"/>
  </sheetPr>
  <dimension ref="A1:J34"/>
  <sheetViews>
    <sheetView zoomScaleNormal="100" workbookViewId="0">
      <pane ySplit="4" topLeftCell="A5" activePane="bottomLeft" state="frozen"/>
      <selection pane="bottomLeft" activeCell="G9" sqref="G9"/>
    </sheetView>
  </sheetViews>
  <sheetFormatPr defaultColWidth="8.6640625"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10" ht="30" customHeight="1" x14ac:dyDescent="0.3">
      <c r="A1" s="2" t="s">
        <v>4952</v>
      </c>
      <c r="B1" s="2"/>
      <c r="C1" s="2"/>
      <c r="D1" s="2"/>
      <c r="E1" s="2"/>
      <c r="F1" s="2"/>
    </row>
    <row r="2" spans="1:10" x14ac:dyDescent="0.3">
      <c r="A2" s="3" t="s">
        <v>4953</v>
      </c>
      <c r="B2" s="3"/>
      <c r="C2" s="3"/>
      <c r="D2" s="3"/>
      <c r="E2" s="3"/>
      <c r="F2" s="3"/>
    </row>
    <row r="3" spans="1:10" x14ac:dyDescent="0.3">
      <c r="A3" s="25"/>
      <c r="B3" s="25"/>
      <c r="C3" s="25"/>
      <c r="D3" s="25"/>
      <c r="E3" s="25"/>
      <c r="F3" s="25"/>
      <c r="H3" s="20" t="s">
        <v>4954</v>
      </c>
    </row>
    <row r="4" spans="1:10" ht="24" customHeight="1" x14ac:dyDescent="0.3">
      <c r="A4" s="26" t="s">
        <v>4893</v>
      </c>
      <c r="B4" s="26" t="s">
        <v>4894</v>
      </c>
      <c r="C4" s="26" t="s">
        <v>21</v>
      </c>
      <c r="D4" s="26" t="s">
        <v>4895</v>
      </c>
      <c r="E4" s="26" t="s">
        <v>4896</v>
      </c>
      <c r="F4" s="26" t="s">
        <v>4897</v>
      </c>
      <c r="H4" s="20" t="s">
        <v>4836</v>
      </c>
      <c r="I4" s="20" t="s">
        <v>4837</v>
      </c>
      <c r="J4" s="20" t="s">
        <v>4955</v>
      </c>
    </row>
    <row r="5" spans="1:10" ht="42" customHeight="1" x14ac:dyDescent="0.3">
      <c r="A5" s="27" t="s">
        <v>4956</v>
      </c>
      <c r="B5" s="28" t="s">
        <v>4957</v>
      </c>
      <c r="C5" s="29">
        <v>4</v>
      </c>
      <c r="D5" s="30" t="s">
        <v>4958</v>
      </c>
      <c r="E5" s="31">
        <f>SUMIFS(Orders!I:I,Orders!B:B,"&gt;="&amp;DATE(2024,7,1),Orders!B:B,"&lt;="&amp;DATE(2024,9,30),Orders!K:K,"Mumbai")</f>
        <v>1217239.0099999998</v>
      </c>
      <c r="F5" s="32" t="s">
        <v>4959</v>
      </c>
      <c r="H5" t="str">
        <f>Sales_Reps!A2</f>
        <v>R001</v>
      </c>
      <c r="I5" t="str">
        <f>VLOOKUP(H5,Sales_Reps!$A:$B,2,FALSE())</f>
        <v>Rajesh Malhotra</v>
      </c>
      <c r="J5">
        <f>SUMIFS(Orders!$I$2:$I$2001,Orders!$E$2:$E$2001,H5)</f>
        <v>0</v>
      </c>
    </row>
    <row r="6" spans="1:10" ht="42" customHeight="1" x14ac:dyDescent="0.3">
      <c r="A6" s="27" t="s">
        <v>4960</v>
      </c>
      <c r="B6" s="28" t="s">
        <v>4961</v>
      </c>
      <c r="C6" s="29">
        <v>3</v>
      </c>
      <c r="D6" s="30" t="s">
        <v>4962</v>
      </c>
      <c r="E6" s="31">
        <f>COUNTIFS(Orders!H:H,"&gt;15",Orders!J:J,"Completed")</f>
        <v>723</v>
      </c>
      <c r="F6" s="32" t="s">
        <v>4912</v>
      </c>
      <c r="H6" t="str">
        <f>Sales_Reps!A3</f>
        <v>R002</v>
      </c>
      <c r="I6" t="str">
        <f>VLOOKUP(H6,Sales_Reps!$A:$B,2,FALSE())</f>
        <v>Sunita Malhotra</v>
      </c>
      <c r="J6">
        <f>SUMIFS(Orders!$I$2:$I$2001,Orders!$E$2:$E$2001,H6)</f>
        <v>0</v>
      </c>
    </row>
    <row r="7" spans="1:10" ht="42" customHeight="1" x14ac:dyDescent="0.3">
      <c r="A7" s="27" t="s">
        <v>4963</v>
      </c>
      <c r="B7" s="28" t="s">
        <v>4964</v>
      </c>
      <c r="C7" s="29">
        <v>5</v>
      </c>
      <c r="D7" s="30" t="s">
        <v>4965</v>
      </c>
      <c r="E7" s="36">
        <f>AVERAGEIFS(Orders!$I$2:$I$2001,Orders!$L$2:$L$2001,"Electronics",Orders!$M$2:$M$2001,"Corporate")</f>
        <v>13981.401558441557</v>
      </c>
      <c r="F7" s="32" t="s">
        <v>4959</v>
      </c>
      <c r="H7" t="str">
        <f>Sales_Reps!A4</f>
        <v>R003</v>
      </c>
      <c r="I7" t="str">
        <f>VLOOKUP(H7,Sales_Reps!$A:$B,2,FALSE())</f>
        <v>Amit Singh</v>
      </c>
      <c r="J7">
        <f>SUMIFS(Orders!$I$2:$I$2001,Orders!$E$2:$E$2001,H7)</f>
        <v>0</v>
      </c>
    </row>
    <row r="8" spans="1:10" ht="42" customHeight="1" x14ac:dyDescent="0.3">
      <c r="A8" s="27" t="s">
        <v>4966</v>
      </c>
      <c r="B8" s="28" t="s">
        <v>4967</v>
      </c>
      <c r="C8" s="29">
        <v>4</v>
      </c>
      <c r="D8" s="30" t="s">
        <v>4968</v>
      </c>
      <c r="E8" s="31">
        <f>SUMPRODUCT(LARGE($J$5:$J$34,{1,2,3}))</f>
        <v>65598.240000000005</v>
      </c>
      <c r="F8" s="32" t="s">
        <v>4959</v>
      </c>
      <c r="G8" s="37"/>
      <c r="H8" t="str">
        <f>Sales_Reps!A5</f>
        <v>R004</v>
      </c>
      <c r="I8" t="str">
        <f>VLOOKUP(H8,Sales_Reps!$A:$B,2,FALSE())</f>
        <v>Priya Singh</v>
      </c>
      <c r="J8">
        <f>SUMIFS(Orders!$I$2:$I$2001,Orders!$E$2:$E$2001,H8)</f>
        <v>0</v>
      </c>
    </row>
    <row r="9" spans="1:10" ht="42" customHeight="1" x14ac:dyDescent="0.3">
      <c r="A9" s="27" t="s">
        <v>4969</v>
      </c>
      <c r="B9" s="28" t="s">
        <v>4970</v>
      </c>
      <c r="C9" s="29">
        <v>5</v>
      </c>
      <c r="D9" s="30" t="s">
        <v>4971</v>
      </c>
      <c r="E9" s="31" t="str">
        <f>IF(SUMIFS(Orders!$I$2:$I$2001,Orders!$E$2:$E$2001,"R015",Orders!$B$2:$B$2001,"&gt;="&amp;DATE(2024,11,1),Orders!$B$2:$B$2001,"&lt;="&amp;DATE(2024,11,30))/INDEX(Targets!$B:$M,MATCH("R015",Targets!$A:$A,0),MATCH("Nov-24",Targets!$B$1:$M$1,0))&lt;0.8,"Below",IF(SUMIFS(Orders!$I$2:$I$2001,Orders!$E$2:$E$2001,"R015",Orders!$B$2:$B$2001,"&gt;="&amp;DATE(2024,11,1),Orders!$B$2:$B$2001,"&lt;="&amp;DATE(2024,11,30))/INDEX(Targets!$B:$M,MATCH("R015",Targets!$A:$A,0),MATCH("Nov-24",Targets!$B$1:$M$1,0))&gt;1.2,"Exceeds","On Track"))</f>
        <v>Below</v>
      </c>
      <c r="F9" s="32" t="s">
        <v>4905</v>
      </c>
      <c r="G9" s="37"/>
      <c r="H9" t="str">
        <f>Sales_Reps!A6</f>
        <v>R005</v>
      </c>
      <c r="I9" t="str">
        <f>VLOOKUP(H9,Sales_Reps!$A:$B,2,FALSE())</f>
        <v>Vikram Patel</v>
      </c>
      <c r="J9">
        <f>SUMIFS(Orders!$I$2:$I$2001,Orders!$E$2:$E$2001,H9)</f>
        <v>0</v>
      </c>
    </row>
    <row r="10" spans="1:10" ht="42" customHeight="1" x14ac:dyDescent="0.3">
      <c r="A10" s="27" t="s">
        <v>4972</v>
      </c>
      <c r="B10" s="28" t="s">
        <v>4973</v>
      </c>
      <c r="C10" s="29">
        <v>4</v>
      </c>
      <c r="D10" s="30" t="s">
        <v>4974</v>
      </c>
      <c r="E10" s="31">
        <f>SUMIFS(Orders!$I$2:$I$2001,Orders!$M$2:$M$2001,"Corporate",Orders!$P$2:$P$2001,"&gt;=30",Orders!$P$2:$P$2001,"&lt;=40")</f>
        <v>982568.40000000014</v>
      </c>
      <c r="F10" s="32" t="s">
        <v>4959</v>
      </c>
      <c r="H10" t="str">
        <f>Sales_Reps!A7</f>
        <v>R006</v>
      </c>
      <c r="I10" t="str">
        <f>VLOOKUP(H10,Sales_Reps!$A:$B,2,FALSE())</f>
        <v>Neha Desai</v>
      </c>
      <c r="J10">
        <f>SUMIFS(Orders!$I$2:$I$2001,Orders!$E$2:$E$2001,H10)</f>
        <v>0</v>
      </c>
    </row>
    <row r="11" spans="1:10" x14ac:dyDescent="0.3">
      <c r="H11" t="str">
        <f>Sales_Reps!A8</f>
        <v>R007</v>
      </c>
      <c r="I11" t="str">
        <f>VLOOKUP(H11,Sales_Reps!$A:$B,2,FALSE())</f>
        <v>Suresh Menon</v>
      </c>
      <c r="J11">
        <f>SUMIFS(Orders!$I$2:$I$2001,Orders!$E$2:$E$2001,H11)</f>
        <v>24500.16</v>
      </c>
    </row>
    <row r="12" spans="1:10" x14ac:dyDescent="0.3">
      <c r="H12" t="str">
        <f>Sales_Reps!A9</f>
        <v>R008</v>
      </c>
      <c r="I12" t="str">
        <f>VLOOKUP(H12,Sales_Reps!$A:$B,2,FALSE())</f>
        <v>Kavita Patel</v>
      </c>
      <c r="J12">
        <f>SUMIFS(Orders!$I$2:$I$2001,Orders!$E$2:$E$2001,H12)</f>
        <v>1462.88</v>
      </c>
    </row>
    <row r="13" spans="1:10" x14ac:dyDescent="0.3">
      <c r="H13" t="str">
        <f>Sales_Reps!A10</f>
        <v>R009</v>
      </c>
      <c r="I13" t="str">
        <f>VLOOKUP(H13,Sales_Reps!$A:$B,2,FALSE())</f>
        <v>Manoj Patel</v>
      </c>
      <c r="J13">
        <f>SUMIFS(Orders!$I$2:$I$2001,Orders!$E$2:$E$2001,H13)</f>
        <v>3635.92</v>
      </c>
    </row>
    <row r="14" spans="1:10" x14ac:dyDescent="0.3">
      <c r="H14" t="str">
        <f>Sales_Reps!A11</f>
        <v>R010</v>
      </c>
      <c r="I14" t="str">
        <f>VLOOKUP(H14,Sales_Reps!$A:$B,2,FALSE())</f>
        <v>Divya Rao</v>
      </c>
      <c r="J14">
        <f>SUMIFS(Orders!$I$2:$I$2001,Orders!$E$2:$E$2001,H14)</f>
        <v>3085.38</v>
      </c>
    </row>
    <row r="15" spans="1:10" x14ac:dyDescent="0.3">
      <c r="H15" t="str">
        <f>Sales_Reps!A12</f>
        <v>R011</v>
      </c>
      <c r="I15" t="str">
        <f>VLOOKUP(H15,Sales_Reps!$A:$B,2,FALSE())</f>
        <v>Anil Verma</v>
      </c>
      <c r="J15">
        <f>SUMIFS(Orders!$I$2:$I$2001,Orders!$E$2:$E$2001,H15)</f>
        <v>2338.4</v>
      </c>
    </row>
    <row r="16" spans="1:10" x14ac:dyDescent="0.3">
      <c r="H16" t="str">
        <f>Sales_Reps!A13</f>
        <v>R012</v>
      </c>
      <c r="I16" t="str">
        <f>VLOOKUP(H16,Sales_Reps!$A:$B,2,FALSE())</f>
        <v>Pooja Nair</v>
      </c>
      <c r="J16">
        <f>SUMIFS(Orders!$I$2:$I$2001,Orders!$E$2:$E$2001,H16)</f>
        <v>1050.8</v>
      </c>
    </row>
    <row r="17" spans="8:10" x14ac:dyDescent="0.3">
      <c r="H17" t="str">
        <f>Sales_Reps!A14</f>
        <v>R013</v>
      </c>
      <c r="I17" t="str">
        <f>VLOOKUP(H17,Sales_Reps!$A:$B,2,FALSE())</f>
        <v>Sanjay Kapoor</v>
      </c>
      <c r="J17">
        <f>SUMIFS(Orders!$I$2:$I$2001,Orders!$E$2:$E$2001,H17)</f>
        <v>2712.96</v>
      </c>
    </row>
    <row r="18" spans="8:10" x14ac:dyDescent="0.3">
      <c r="H18" t="str">
        <f>Sales_Reps!A15</f>
        <v>R014</v>
      </c>
      <c r="I18" t="str">
        <f>VLOOKUP(H18,Sales_Reps!$A:$B,2,FALSE())</f>
        <v>Ritu Menon</v>
      </c>
      <c r="J18">
        <f>SUMIFS(Orders!$I$2:$I$2001,Orders!$E$2:$E$2001,H18)</f>
        <v>11165.44</v>
      </c>
    </row>
    <row r="19" spans="8:10" x14ac:dyDescent="0.3">
      <c r="H19" t="str">
        <f>Sales_Reps!A16</f>
        <v>R015</v>
      </c>
      <c r="I19" t="str">
        <f>VLOOKUP(H19,Sales_Reps!$A:$B,2,FALSE())</f>
        <v>Deepak Shah</v>
      </c>
      <c r="J19">
        <f>SUMIFS(Orders!$I$2:$I$2001,Orders!$E$2:$E$2001,H19)</f>
        <v>14131.26</v>
      </c>
    </row>
    <row r="20" spans="8:10" x14ac:dyDescent="0.3">
      <c r="H20" t="str">
        <f>Sales_Reps!A17</f>
        <v>R016</v>
      </c>
      <c r="I20" t="str">
        <f>VLOOKUP(H20,Sales_Reps!$A:$B,2,FALSE())</f>
        <v>Anjali Chopra</v>
      </c>
      <c r="J20">
        <f>SUMIFS(Orders!$I$2:$I$2001,Orders!$E$2:$E$2001,H20)</f>
        <v>2875.08</v>
      </c>
    </row>
    <row r="21" spans="8:10" x14ac:dyDescent="0.3">
      <c r="H21" t="str">
        <f>Sales_Reps!A18</f>
        <v>R017</v>
      </c>
      <c r="I21" t="str">
        <f>VLOOKUP(H21,Sales_Reps!$A:$B,2,FALSE())</f>
        <v>Naveen Singh</v>
      </c>
      <c r="J21">
        <f>SUMIFS(Orders!$I$2:$I$2001,Orders!$E$2:$E$2001,H21)</f>
        <v>14761.81</v>
      </c>
    </row>
    <row r="22" spans="8:10" x14ac:dyDescent="0.3">
      <c r="H22" t="str">
        <f>Sales_Reps!A19</f>
        <v>R018</v>
      </c>
      <c r="I22" t="str">
        <f>VLOOKUP(H22,Sales_Reps!$A:$B,2,FALSE())</f>
        <v>Shalini Patel</v>
      </c>
      <c r="J22">
        <f>SUMIFS(Orders!$I$2:$I$2001,Orders!$E$2:$E$2001,H22)</f>
        <v>18604.080000000002</v>
      </c>
    </row>
    <row r="23" spans="8:10" x14ac:dyDescent="0.3">
      <c r="H23" t="str">
        <f>Sales_Reps!A20</f>
        <v>R019</v>
      </c>
      <c r="I23" t="str">
        <f>VLOOKUP(H23,Sales_Reps!$A:$B,2,FALSE())</f>
        <v>Prakash Shah</v>
      </c>
      <c r="J23">
        <f>SUMIFS(Orders!$I$2:$I$2001,Orders!$E$2:$E$2001,H23)</f>
        <v>7464.6</v>
      </c>
    </row>
    <row r="24" spans="8:10" x14ac:dyDescent="0.3">
      <c r="H24" t="str">
        <f>Sales_Reps!A21</f>
        <v>R020</v>
      </c>
      <c r="I24" t="str">
        <f>VLOOKUP(H24,Sales_Reps!$A:$B,2,FALSE())</f>
        <v>Meera Iyer</v>
      </c>
      <c r="J24">
        <f>SUMIFS(Orders!$I$2:$I$2001,Orders!$E$2:$E$2001,H24)</f>
        <v>8375.25</v>
      </c>
    </row>
    <row r="25" spans="8:10" x14ac:dyDescent="0.3">
      <c r="H25" t="str">
        <f>Sales_Reps!A22</f>
        <v>R021</v>
      </c>
      <c r="I25" t="str">
        <f>VLOOKUP(H25,Sales_Reps!$A:$B,2,FALSE())</f>
        <v>Gaurav Desai</v>
      </c>
      <c r="J25">
        <f>SUMIFS(Orders!$I$2:$I$2001,Orders!$E$2:$E$2001,H25)</f>
        <v>150.66999999999999</v>
      </c>
    </row>
    <row r="26" spans="8:10" x14ac:dyDescent="0.3">
      <c r="H26" t="str">
        <f>Sales_Reps!A23</f>
        <v>R022</v>
      </c>
      <c r="I26" t="str">
        <f>VLOOKUP(H26,Sales_Reps!$A:$B,2,FALSE())</f>
        <v>Nisha Menon</v>
      </c>
      <c r="J26">
        <f>SUMIFS(Orders!$I$2:$I$2001,Orders!$E$2:$E$2001,H26)</f>
        <v>15086.4</v>
      </c>
    </row>
    <row r="27" spans="8:10" x14ac:dyDescent="0.3">
      <c r="H27" t="str">
        <f>Sales_Reps!A24</f>
        <v>R023</v>
      </c>
      <c r="I27" t="str">
        <f>VLOOKUP(H27,Sales_Reps!$A:$B,2,FALSE())</f>
        <v>Vinod Kumar</v>
      </c>
      <c r="J27">
        <f>SUMIFS(Orders!$I$2:$I$2001,Orders!$E$2:$E$2001,H27)</f>
        <v>14259.36</v>
      </c>
    </row>
    <row r="28" spans="8:10" x14ac:dyDescent="0.3">
      <c r="H28" t="str">
        <f>Sales_Reps!A25</f>
        <v>R024</v>
      </c>
      <c r="I28" t="str">
        <f>VLOOKUP(H28,Sales_Reps!$A:$B,2,FALSE())</f>
        <v>Rekha Chopra</v>
      </c>
      <c r="J28">
        <f>SUMIFS(Orders!$I$2:$I$2001,Orders!$E$2:$E$2001,H28)</f>
        <v>22494</v>
      </c>
    </row>
    <row r="29" spans="8:10" x14ac:dyDescent="0.3">
      <c r="H29" t="str">
        <f>Sales_Reps!A26</f>
        <v>R025</v>
      </c>
      <c r="I29" t="str">
        <f>VLOOKUP(H29,Sales_Reps!$A:$B,2,FALSE())</f>
        <v>Ashok Reddy</v>
      </c>
      <c r="J29">
        <f>SUMIFS(Orders!$I$2:$I$2001,Orders!$E$2:$E$2001,H29)</f>
        <v>15990.75</v>
      </c>
    </row>
    <row r="30" spans="8:10" x14ac:dyDescent="0.3">
      <c r="H30" t="str">
        <f>Sales_Reps!A27</f>
        <v>R026</v>
      </c>
      <c r="I30" t="str">
        <f>VLOOKUP(H30,Sales_Reps!$A:$B,2,FALSE())</f>
        <v>Sonia Malhotra</v>
      </c>
      <c r="J30">
        <f>SUMIFS(Orders!$I$2:$I$2001,Orders!$E$2:$E$2001,H30)</f>
        <v>8449.92</v>
      </c>
    </row>
    <row r="31" spans="8:10" x14ac:dyDescent="0.3">
      <c r="H31" t="str">
        <f>Sales_Reps!A28</f>
        <v>R027</v>
      </c>
      <c r="I31" t="str">
        <f>VLOOKUP(H31,Sales_Reps!$A:$B,2,FALSE())</f>
        <v>Ramesh Bhatt</v>
      </c>
      <c r="J31">
        <f>SUMIFS(Orders!$I$2:$I$2001,Orders!$E$2:$E$2001,H31)</f>
        <v>12377.68</v>
      </c>
    </row>
    <row r="32" spans="8:10" x14ac:dyDescent="0.3">
      <c r="H32" t="str">
        <f>Sales_Reps!A29</f>
        <v>R028</v>
      </c>
      <c r="I32" t="str">
        <f>VLOOKUP(H32,Sales_Reps!$A:$B,2,FALSE())</f>
        <v>Preeti Shah</v>
      </c>
      <c r="J32">
        <f>SUMIFS(Orders!$I$2:$I$2001,Orders!$E$2:$E$2001,H32)</f>
        <v>9802</v>
      </c>
    </row>
    <row r="33" spans="8:10" x14ac:dyDescent="0.3">
      <c r="H33" t="str">
        <f>Sales_Reps!A30</f>
        <v>R029</v>
      </c>
      <c r="I33" t="str">
        <f>VLOOKUP(H33,Sales_Reps!$A:$B,2,FALSE())</f>
        <v>Arun Iyer</v>
      </c>
      <c r="J33">
        <f>SUMIFS(Orders!$I$2:$I$2001,Orders!$E$2:$E$2001,H33)</f>
        <v>18066.240000000002</v>
      </c>
    </row>
    <row r="34" spans="8:10" x14ac:dyDescent="0.3">
      <c r="H34" t="str">
        <f>Sales_Reps!A31</f>
        <v>R030</v>
      </c>
      <c r="I34" t="str">
        <f>VLOOKUP(H34,Sales_Reps!$A:$B,2,FALSE())</f>
        <v>Kiran Bhatt</v>
      </c>
      <c r="J34">
        <f>SUMIFS(Orders!$I$2:$I$2001,Orders!$E$2:$E$2001,H34)</f>
        <v>2989.8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C000"/>
    <pageSetUpPr fitToPage="1"/>
  </sheetPr>
  <dimension ref="A1:AL26"/>
  <sheetViews>
    <sheetView zoomScaleNormal="100" workbookViewId="0">
      <pane ySplit="4" topLeftCell="A5" activePane="bottomLeft" state="frozen"/>
      <selection pane="bottomLeft" activeCell="G7" sqref="G7"/>
    </sheetView>
  </sheetViews>
  <sheetFormatPr defaultColWidth="8.6640625"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38" ht="30" customHeight="1" x14ac:dyDescent="0.3">
      <c r="A1" s="2" t="s">
        <v>4975</v>
      </c>
      <c r="B1" s="2"/>
      <c r="C1" s="2"/>
      <c r="D1" s="2"/>
      <c r="E1" s="2"/>
      <c r="F1" s="2"/>
    </row>
    <row r="2" spans="1:38" x14ac:dyDescent="0.3">
      <c r="A2" s="1" t="s">
        <v>4976</v>
      </c>
      <c r="B2" s="1"/>
      <c r="C2" s="1"/>
      <c r="D2" s="1"/>
      <c r="E2" s="1"/>
      <c r="F2" s="1"/>
    </row>
    <row r="4" spans="1:38" ht="24" customHeight="1" x14ac:dyDescent="0.3">
      <c r="A4" s="11" t="s">
        <v>4893</v>
      </c>
      <c r="B4" s="11" t="s">
        <v>4894</v>
      </c>
      <c r="C4" s="11" t="s">
        <v>21</v>
      </c>
      <c r="D4" s="11" t="s">
        <v>4895</v>
      </c>
      <c r="E4" s="11" t="s">
        <v>4896</v>
      </c>
      <c r="F4" s="11" t="s">
        <v>4897</v>
      </c>
    </row>
    <row r="5" spans="1:38" ht="42" customHeight="1" x14ac:dyDescent="0.3">
      <c r="A5" s="38" t="s">
        <v>4977</v>
      </c>
      <c r="B5" s="39" t="s">
        <v>4978</v>
      </c>
      <c r="C5" s="40">
        <v>4</v>
      </c>
      <c r="D5" s="41" t="s">
        <v>4979</v>
      </c>
      <c r="E5" s="42">
        <f>SUMIFS(Orders!$I$2:$I$2001,Orders!$O$2:$O$2001,"South",Orders!$L$2:$L$2001,"Electronics")</f>
        <v>11165.44</v>
      </c>
      <c r="F5" s="43" t="s">
        <v>4959</v>
      </c>
      <c r="G5" s="37"/>
    </row>
    <row r="6" spans="1:38" ht="42" customHeight="1" x14ac:dyDescent="0.3">
      <c r="A6" s="38" t="s">
        <v>4980</v>
      </c>
      <c r="B6" s="39" t="s">
        <v>4981</v>
      </c>
      <c r="C6" s="40">
        <v>4</v>
      </c>
      <c r="D6" s="41" t="s">
        <v>4982</v>
      </c>
      <c r="E6" s="42">
        <f>MAX($I$15:$AL$26)</f>
        <v>24500.16</v>
      </c>
      <c r="F6" s="43" t="s">
        <v>4959</v>
      </c>
      <c r="G6" s="37"/>
    </row>
    <row r="7" spans="1:38" ht="42" customHeight="1" x14ac:dyDescent="0.3">
      <c r="A7" s="38" t="s">
        <v>4983</v>
      </c>
      <c r="B7" s="39" t="s">
        <v>4984</v>
      </c>
      <c r="C7" s="40">
        <v>4</v>
      </c>
      <c r="D7" s="41" t="s">
        <v>4985</v>
      </c>
      <c r="E7" s="42">
        <f>SUMIFS(Orders!$I$2:$I$2001,Orders!$O$2:$O$2001,"North",Orders!$L$2:$L$2001,"Apparel")/SUMIFS(Orders!$I$2:$I$2001,Orders!$O$2:$O$2001,"North")</f>
        <v>1</v>
      </c>
      <c r="F7" s="43" t="s">
        <v>4986</v>
      </c>
      <c r="G7" s="37"/>
    </row>
    <row r="8" spans="1:38" ht="42" customHeight="1" x14ac:dyDescent="0.3">
      <c r="A8" s="38" t="s">
        <v>4987</v>
      </c>
      <c r="B8" s="39" t="s">
        <v>4988</v>
      </c>
      <c r="C8" s="40">
        <v>4</v>
      </c>
      <c r="D8" s="41" t="s">
        <v>4989</v>
      </c>
      <c r="E8" s="42">
        <f>SUMIFS(Orders!I2:I2001,Orders!B2:B2001,"&gt;="&amp;DATE(2024,10,1),Orders!B2:B2001,"&lt;="&amp;DATE(2024,12,31))</f>
        <v>6459442.9800000004</v>
      </c>
      <c r="F8" s="43" t="s">
        <v>4959</v>
      </c>
    </row>
    <row r="9" spans="1:38" ht="42" customHeight="1" x14ac:dyDescent="0.3">
      <c r="A9" s="38" t="s">
        <v>4990</v>
      </c>
      <c r="B9" s="39" t="s">
        <v>4991</v>
      </c>
      <c r="C9" s="40">
        <v>4</v>
      </c>
      <c r="D9" s="41" t="s">
        <v>4992</v>
      </c>
      <c r="E9" s="42">
        <f>SUMPRODUCT((TRIM(Orders!$K$2:$K$2001)="Delhi")*Orders!$R$2:$R$2001)/SUMPRODUCT(--(TRIM(Orders!$K$2:$K$2001)="Delhi"))</f>
        <v>0.44903864537816207</v>
      </c>
      <c r="F9" s="43" t="s">
        <v>4986</v>
      </c>
    </row>
    <row r="13" spans="1:38" x14ac:dyDescent="0.3">
      <c r="H13" s="20" t="s">
        <v>4993</v>
      </c>
    </row>
    <row r="14" spans="1:38" x14ac:dyDescent="0.3">
      <c r="I14" s="20" t="str">
        <f>Sales_Reps!A2</f>
        <v>R001</v>
      </c>
      <c r="J14" s="20" t="str">
        <f>Sales_Reps!A3</f>
        <v>R002</v>
      </c>
      <c r="K14" s="20" t="str">
        <f>Sales_Reps!A4</f>
        <v>R003</v>
      </c>
      <c r="L14" s="20" t="str">
        <f>Sales_Reps!A5</f>
        <v>R004</v>
      </c>
      <c r="M14" s="20" t="str">
        <f>Sales_Reps!A6</f>
        <v>R005</v>
      </c>
      <c r="N14" s="20" t="str">
        <f>Sales_Reps!A7</f>
        <v>R006</v>
      </c>
      <c r="O14" s="20" t="str">
        <f>Sales_Reps!A8</f>
        <v>R007</v>
      </c>
      <c r="P14" s="20" t="str">
        <f>Sales_Reps!A9</f>
        <v>R008</v>
      </c>
      <c r="Q14" s="20" t="str">
        <f>Sales_Reps!A10</f>
        <v>R009</v>
      </c>
      <c r="R14" s="20" t="str">
        <f>Sales_Reps!A11</f>
        <v>R010</v>
      </c>
      <c r="S14" s="20" t="str">
        <f>Sales_Reps!A12</f>
        <v>R011</v>
      </c>
      <c r="T14" s="20" t="str">
        <f>Sales_Reps!A13</f>
        <v>R012</v>
      </c>
      <c r="U14" s="20" t="str">
        <f>Sales_Reps!A14</f>
        <v>R013</v>
      </c>
      <c r="V14" s="20" t="str">
        <f>Sales_Reps!A15</f>
        <v>R014</v>
      </c>
      <c r="W14" s="20" t="str">
        <f>Sales_Reps!A16</f>
        <v>R015</v>
      </c>
      <c r="X14" s="20" t="str">
        <f>Sales_Reps!A17</f>
        <v>R016</v>
      </c>
      <c r="Y14" s="20" t="str">
        <f>Sales_Reps!A18</f>
        <v>R017</v>
      </c>
      <c r="Z14" s="20" t="str">
        <f>Sales_Reps!A19</f>
        <v>R018</v>
      </c>
      <c r="AA14" s="20" t="str">
        <f>Sales_Reps!A20</f>
        <v>R019</v>
      </c>
      <c r="AB14" s="20" t="str">
        <f>Sales_Reps!A21</f>
        <v>R020</v>
      </c>
      <c r="AC14" s="20" t="str">
        <f>Sales_Reps!A22</f>
        <v>R021</v>
      </c>
      <c r="AD14" s="20" t="str">
        <f>Sales_Reps!A23</f>
        <v>R022</v>
      </c>
      <c r="AE14" s="20" t="str">
        <f>Sales_Reps!A24</f>
        <v>R023</v>
      </c>
      <c r="AF14" s="20" t="str">
        <f>Sales_Reps!A25</f>
        <v>R024</v>
      </c>
      <c r="AG14" s="20" t="str">
        <f>Sales_Reps!A26</f>
        <v>R025</v>
      </c>
      <c r="AH14" s="20" t="str">
        <f>Sales_Reps!A27</f>
        <v>R026</v>
      </c>
      <c r="AI14" s="20" t="str">
        <f>Sales_Reps!A28</f>
        <v>R027</v>
      </c>
      <c r="AJ14" s="20" t="str">
        <f>Sales_Reps!A29</f>
        <v>R028</v>
      </c>
      <c r="AK14" s="20" t="str">
        <f>Sales_Reps!A30</f>
        <v>R029</v>
      </c>
      <c r="AL14" s="20" t="str">
        <f>Sales_Reps!A31</f>
        <v>R030</v>
      </c>
    </row>
    <row r="15" spans="1:38" x14ac:dyDescent="0.3">
      <c r="H15" s="20" t="s">
        <v>4879</v>
      </c>
      <c r="I15">
        <f>SUMIFS(Orders!$I$2:$I$2001,Orders!$Q$2:$Q$2001,$H15,Orders!$E$2:$E$2001,I$14)</f>
        <v>0</v>
      </c>
      <c r="J15">
        <f>SUMIFS(Orders!$I$2:$I$2001,Orders!$Q$2:$Q$2001,$H15,Orders!$E$2:$E$2001,J$14)</f>
        <v>0</v>
      </c>
      <c r="K15">
        <f>SUMIFS(Orders!$I$2:$I$2001,Orders!$Q$2:$Q$2001,$H15,Orders!$E$2:$E$2001,K$14)</f>
        <v>0</v>
      </c>
      <c r="L15">
        <f>SUMIFS(Orders!$I$2:$I$2001,Orders!$Q$2:$Q$2001,$H15,Orders!$E$2:$E$2001,L$14)</f>
        <v>0</v>
      </c>
      <c r="M15">
        <f>SUMIFS(Orders!$I$2:$I$2001,Orders!$Q$2:$Q$2001,$H15,Orders!$E$2:$E$2001,M$14)</f>
        <v>0</v>
      </c>
      <c r="N15">
        <f>SUMIFS(Orders!$I$2:$I$2001,Orders!$Q$2:$Q$2001,$H15,Orders!$E$2:$E$2001,N$14)</f>
        <v>0</v>
      </c>
      <c r="O15">
        <f>SUMIFS(Orders!$I$2:$I$2001,Orders!$Q$2:$Q$2001,$H15,Orders!$E$2:$E$2001,O$14)</f>
        <v>0</v>
      </c>
      <c r="P15">
        <f>SUMIFS(Orders!$I$2:$I$2001,Orders!$Q$2:$Q$2001,$H15,Orders!$E$2:$E$2001,P$14)</f>
        <v>0</v>
      </c>
      <c r="Q15">
        <f>SUMIFS(Orders!$I$2:$I$2001,Orders!$Q$2:$Q$2001,$H15,Orders!$E$2:$E$2001,Q$14)</f>
        <v>0</v>
      </c>
      <c r="R15">
        <f>SUMIFS(Orders!$I$2:$I$2001,Orders!$Q$2:$Q$2001,$H15,Orders!$E$2:$E$2001,R$14)</f>
        <v>0</v>
      </c>
      <c r="S15">
        <f>SUMIFS(Orders!$I$2:$I$2001,Orders!$Q$2:$Q$2001,$H15,Orders!$E$2:$E$2001,S$14)</f>
        <v>0</v>
      </c>
      <c r="T15">
        <f>SUMIFS(Orders!$I$2:$I$2001,Orders!$Q$2:$Q$2001,$H15,Orders!$E$2:$E$2001,T$14)</f>
        <v>0</v>
      </c>
      <c r="U15">
        <f>SUMIFS(Orders!$I$2:$I$2001,Orders!$Q$2:$Q$2001,$H15,Orders!$E$2:$E$2001,U$14)</f>
        <v>0</v>
      </c>
      <c r="V15">
        <f>SUMIFS(Orders!$I$2:$I$2001,Orders!$Q$2:$Q$2001,$H15,Orders!$E$2:$E$2001,V$14)</f>
        <v>0</v>
      </c>
      <c r="W15">
        <f>SUMIFS(Orders!$I$2:$I$2001,Orders!$Q$2:$Q$2001,$H15,Orders!$E$2:$E$2001,W$14)</f>
        <v>0</v>
      </c>
      <c r="X15">
        <f>SUMIFS(Orders!$I$2:$I$2001,Orders!$Q$2:$Q$2001,$H15,Orders!$E$2:$E$2001,X$14)</f>
        <v>0</v>
      </c>
      <c r="Y15">
        <f>SUMIFS(Orders!$I$2:$I$2001,Orders!$Q$2:$Q$2001,$H15,Orders!$E$2:$E$2001,Y$14)</f>
        <v>0</v>
      </c>
      <c r="Z15">
        <f>SUMIFS(Orders!$I$2:$I$2001,Orders!$Q$2:$Q$2001,$H15,Orders!$E$2:$E$2001,Z$14)</f>
        <v>0</v>
      </c>
      <c r="AA15">
        <f>SUMIFS(Orders!$I$2:$I$2001,Orders!$Q$2:$Q$2001,$H15,Orders!$E$2:$E$2001,AA$14)</f>
        <v>0</v>
      </c>
      <c r="AB15">
        <f>SUMIFS(Orders!$I$2:$I$2001,Orders!$Q$2:$Q$2001,$H15,Orders!$E$2:$E$2001,AB$14)</f>
        <v>0</v>
      </c>
      <c r="AC15">
        <f>SUMIFS(Orders!$I$2:$I$2001,Orders!$Q$2:$Q$2001,$H15,Orders!$E$2:$E$2001,AC$14)</f>
        <v>0</v>
      </c>
      <c r="AD15">
        <f>SUMIFS(Orders!$I$2:$I$2001,Orders!$Q$2:$Q$2001,$H15,Orders!$E$2:$E$2001,AD$14)</f>
        <v>0</v>
      </c>
      <c r="AE15">
        <f>SUMIFS(Orders!$I$2:$I$2001,Orders!$Q$2:$Q$2001,$H15,Orders!$E$2:$E$2001,AE$14)</f>
        <v>0</v>
      </c>
      <c r="AF15">
        <f>SUMIFS(Orders!$I$2:$I$2001,Orders!$Q$2:$Q$2001,$H15,Orders!$E$2:$E$2001,AF$14)</f>
        <v>0</v>
      </c>
      <c r="AG15">
        <f>SUMIFS(Orders!$I$2:$I$2001,Orders!$Q$2:$Q$2001,$H15,Orders!$E$2:$E$2001,AG$14)</f>
        <v>0</v>
      </c>
      <c r="AH15">
        <f>SUMIFS(Orders!$I$2:$I$2001,Orders!$Q$2:$Q$2001,$H15,Orders!$E$2:$E$2001,AH$14)</f>
        <v>0</v>
      </c>
      <c r="AI15">
        <f>SUMIFS(Orders!$I$2:$I$2001,Orders!$Q$2:$Q$2001,$H15,Orders!$E$2:$E$2001,AI$14)</f>
        <v>0</v>
      </c>
      <c r="AJ15">
        <f>SUMIFS(Orders!$I$2:$I$2001,Orders!$Q$2:$Q$2001,$H15,Orders!$E$2:$E$2001,AJ$14)</f>
        <v>0</v>
      </c>
      <c r="AK15">
        <f>SUMIFS(Orders!$I$2:$I$2001,Orders!$Q$2:$Q$2001,$H15,Orders!$E$2:$E$2001,AK$14)</f>
        <v>0</v>
      </c>
      <c r="AL15">
        <f>SUMIFS(Orders!$I$2:$I$2001,Orders!$Q$2:$Q$2001,$H15,Orders!$E$2:$E$2001,AL$14)</f>
        <v>0</v>
      </c>
    </row>
    <row r="16" spans="1:38" x14ac:dyDescent="0.3">
      <c r="H16" s="20" t="s">
        <v>4880</v>
      </c>
      <c r="I16">
        <f>SUMIFS(Orders!$I$2:$I$2001,Orders!$Q$2:$Q$2001,$H16,Orders!$E$2:$E$2001,I$14)</f>
        <v>0</v>
      </c>
      <c r="J16">
        <f>SUMIFS(Orders!$I$2:$I$2001,Orders!$Q$2:$Q$2001,$H16,Orders!$E$2:$E$2001,J$14)</f>
        <v>0</v>
      </c>
      <c r="K16">
        <f>SUMIFS(Orders!$I$2:$I$2001,Orders!$Q$2:$Q$2001,$H16,Orders!$E$2:$E$2001,K$14)</f>
        <v>0</v>
      </c>
      <c r="L16">
        <f>SUMIFS(Orders!$I$2:$I$2001,Orders!$Q$2:$Q$2001,$H16,Orders!$E$2:$E$2001,L$14)</f>
        <v>0</v>
      </c>
      <c r="M16">
        <f>SUMIFS(Orders!$I$2:$I$2001,Orders!$Q$2:$Q$2001,$H16,Orders!$E$2:$E$2001,M$14)</f>
        <v>0</v>
      </c>
      <c r="N16">
        <f>SUMIFS(Orders!$I$2:$I$2001,Orders!$Q$2:$Q$2001,$H16,Orders!$E$2:$E$2001,N$14)</f>
        <v>0</v>
      </c>
      <c r="O16">
        <f>SUMIFS(Orders!$I$2:$I$2001,Orders!$Q$2:$Q$2001,$H16,Orders!$E$2:$E$2001,O$14)</f>
        <v>0</v>
      </c>
      <c r="P16">
        <f>SUMIFS(Orders!$I$2:$I$2001,Orders!$Q$2:$Q$2001,$H16,Orders!$E$2:$E$2001,P$14)</f>
        <v>1462.88</v>
      </c>
      <c r="Q16">
        <f>SUMIFS(Orders!$I$2:$I$2001,Orders!$Q$2:$Q$2001,$H16,Orders!$E$2:$E$2001,Q$14)</f>
        <v>0</v>
      </c>
      <c r="R16">
        <f>SUMIFS(Orders!$I$2:$I$2001,Orders!$Q$2:$Q$2001,$H16,Orders!$E$2:$E$2001,R$14)</f>
        <v>0</v>
      </c>
      <c r="S16">
        <f>SUMIFS(Orders!$I$2:$I$2001,Orders!$Q$2:$Q$2001,$H16,Orders!$E$2:$E$2001,S$14)</f>
        <v>0</v>
      </c>
      <c r="T16">
        <f>SUMIFS(Orders!$I$2:$I$2001,Orders!$Q$2:$Q$2001,$H16,Orders!$E$2:$E$2001,T$14)</f>
        <v>0</v>
      </c>
      <c r="U16">
        <f>SUMIFS(Orders!$I$2:$I$2001,Orders!$Q$2:$Q$2001,$H16,Orders!$E$2:$E$2001,U$14)</f>
        <v>0</v>
      </c>
      <c r="V16">
        <f>SUMIFS(Orders!$I$2:$I$2001,Orders!$Q$2:$Q$2001,$H16,Orders!$E$2:$E$2001,V$14)</f>
        <v>0</v>
      </c>
      <c r="W16">
        <f>SUMIFS(Orders!$I$2:$I$2001,Orders!$Q$2:$Q$2001,$H16,Orders!$E$2:$E$2001,W$14)</f>
        <v>0</v>
      </c>
      <c r="X16">
        <f>SUMIFS(Orders!$I$2:$I$2001,Orders!$Q$2:$Q$2001,$H16,Orders!$E$2:$E$2001,X$14)</f>
        <v>0</v>
      </c>
      <c r="Y16">
        <f>SUMIFS(Orders!$I$2:$I$2001,Orders!$Q$2:$Q$2001,$H16,Orders!$E$2:$E$2001,Y$14)</f>
        <v>0</v>
      </c>
      <c r="Z16">
        <f>SUMIFS(Orders!$I$2:$I$2001,Orders!$Q$2:$Q$2001,$H16,Orders!$E$2:$E$2001,Z$14)</f>
        <v>18604.080000000002</v>
      </c>
      <c r="AA16">
        <f>SUMIFS(Orders!$I$2:$I$2001,Orders!$Q$2:$Q$2001,$H16,Orders!$E$2:$E$2001,AA$14)</f>
        <v>0</v>
      </c>
      <c r="AB16">
        <f>SUMIFS(Orders!$I$2:$I$2001,Orders!$Q$2:$Q$2001,$H16,Orders!$E$2:$E$2001,AB$14)</f>
        <v>0</v>
      </c>
      <c r="AC16">
        <f>SUMIFS(Orders!$I$2:$I$2001,Orders!$Q$2:$Q$2001,$H16,Orders!$E$2:$E$2001,AC$14)</f>
        <v>0</v>
      </c>
      <c r="AD16">
        <f>SUMIFS(Orders!$I$2:$I$2001,Orders!$Q$2:$Q$2001,$H16,Orders!$E$2:$E$2001,AD$14)</f>
        <v>0</v>
      </c>
      <c r="AE16">
        <f>SUMIFS(Orders!$I$2:$I$2001,Orders!$Q$2:$Q$2001,$H16,Orders!$E$2:$E$2001,AE$14)</f>
        <v>0</v>
      </c>
      <c r="AF16">
        <f>SUMIFS(Orders!$I$2:$I$2001,Orders!$Q$2:$Q$2001,$H16,Orders!$E$2:$E$2001,AF$14)</f>
        <v>0</v>
      </c>
      <c r="AG16">
        <f>SUMIFS(Orders!$I$2:$I$2001,Orders!$Q$2:$Q$2001,$H16,Orders!$E$2:$E$2001,AG$14)</f>
        <v>0</v>
      </c>
      <c r="AH16">
        <f>SUMIFS(Orders!$I$2:$I$2001,Orders!$Q$2:$Q$2001,$H16,Orders!$E$2:$E$2001,AH$14)</f>
        <v>0</v>
      </c>
      <c r="AI16">
        <f>SUMIFS(Orders!$I$2:$I$2001,Orders!$Q$2:$Q$2001,$H16,Orders!$E$2:$E$2001,AI$14)</f>
        <v>0</v>
      </c>
      <c r="AJ16">
        <f>SUMIFS(Orders!$I$2:$I$2001,Orders!$Q$2:$Q$2001,$H16,Orders!$E$2:$E$2001,AJ$14)</f>
        <v>0</v>
      </c>
      <c r="AK16">
        <f>SUMIFS(Orders!$I$2:$I$2001,Orders!$Q$2:$Q$2001,$H16,Orders!$E$2:$E$2001,AK$14)</f>
        <v>0</v>
      </c>
      <c r="AL16">
        <f>SUMIFS(Orders!$I$2:$I$2001,Orders!$Q$2:$Q$2001,$H16,Orders!$E$2:$E$2001,AL$14)</f>
        <v>0</v>
      </c>
    </row>
    <row r="17" spans="8:38" x14ac:dyDescent="0.3">
      <c r="H17" s="20" t="s">
        <v>4881</v>
      </c>
      <c r="I17">
        <f>SUMIFS(Orders!$I$2:$I$2001,Orders!$Q$2:$Q$2001,$H17,Orders!$E$2:$E$2001,I$14)</f>
        <v>0</v>
      </c>
      <c r="J17">
        <f>SUMIFS(Orders!$I$2:$I$2001,Orders!$Q$2:$Q$2001,$H17,Orders!$E$2:$E$2001,J$14)</f>
        <v>0</v>
      </c>
      <c r="K17">
        <f>SUMIFS(Orders!$I$2:$I$2001,Orders!$Q$2:$Q$2001,$H17,Orders!$E$2:$E$2001,K$14)</f>
        <v>0</v>
      </c>
      <c r="L17">
        <f>SUMIFS(Orders!$I$2:$I$2001,Orders!$Q$2:$Q$2001,$H17,Orders!$E$2:$E$2001,L$14)</f>
        <v>0</v>
      </c>
      <c r="M17">
        <f>SUMIFS(Orders!$I$2:$I$2001,Orders!$Q$2:$Q$2001,$H17,Orders!$E$2:$E$2001,M$14)</f>
        <v>0</v>
      </c>
      <c r="N17">
        <f>SUMIFS(Orders!$I$2:$I$2001,Orders!$Q$2:$Q$2001,$H17,Orders!$E$2:$E$2001,N$14)</f>
        <v>0</v>
      </c>
      <c r="O17">
        <f>SUMIFS(Orders!$I$2:$I$2001,Orders!$Q$2:$Q$2001,$H17,Orders!$E$2:$E$2001,O$14)</f>
        <v>0</v>
      </c>
      <c r="P17">
        <f>SUMIFS(Orders!$I$2:$I$2001,Orders!$Q$2:$Q$2001,$H17,Orders!$E$2:$E$2001,P$14)</f>
        <v>0</v>
      </c>
      <c r="Q17">
        <f>SUMIFS(Orders!$I$2:$I$2001,Orders!$Q$2:$Q$2001,$H17,Orders!$E$2:$E$2001,Q$14)</f>
        <v>3635.92</v>
      </c>
      <c r="R17">
        <f>SUMIFS(Orders!$I$2:$I$2001,Orders!$Q$2:$Q$2001,$H17,Orders!$E$2:$E$2001,R$14)</f>
        <v>0</v>
      </c>
      <c r="S17">
        <f>SUMIFS(Orders!$I$2:$I$2001,Orders!$Q$2:$Q$2001,$H17,Orders!$E$2:$E$2001,S$14)</f>
        <v>0</v>
      </c>
      <c r="T17">
        <f>SUMIFS(Orders!$I$2:$I$2001,Orders!$Q$2:$Q$2001,$H17,Orders!$E$2:$E$2001,T$14)</f>
        <v>0</v>
      </c>
      <c r="U17">
        <f>SUMIFS(Orders!$I$2:$I$2001,Orders!$Q$2:$Q$2001,$H17,Orders!$E$2:$E$2001,U$14)</f>
        <v>0</v>
      </c>
      <c r="V17">
        <f>SUMIFS(Orders!$I$2:$I$2001,Orders!$Q$2:$Q$2001,$H17,Orders!$E$2:$E$2001,V$14)</f>
        <v>0</v>
      </c>
      <c r="W17">
        <f>SUMIFS(Orders!$I$2:$I$2001,Orders!$Q$2:$Q$2001,$H17,Orders!$E$2:$E$2001,W$14)</f>
        <v>0</v>
      </c>
      <c r="X17">
        <f>SUMIFS(Orders!$I$2:$I$2001,Orders!$Q$2:$Q$2001,$H17,Orders!$E$2:$E$2001,X$14)</f>
        <v>0</v>
      </c>
      <c r="Y17">
        <f>SUMIFS(Orders!$I$2:$I$2001,Orders!$Q$2:$Q$2001,$H17,Orders!$E$2:$E$2001,Y$14)</f>
        <v>0</v>
      </c>
      <c r="Z17">
        <f>SUMIFS(Orders!$I$2:$I$2001,Orders!$Q$2:$Q$2001,$H17,Orders!$E$2:$E$2001,Z$14)</f>
        <v>0</v>
      </c>
      <c r="AA17">
        <f>SUMIFS(Orders!$I$2:$I$2001,Orders!$Q$2:$Q$2001,$H17,Orders!$E$2:$E$2001,AA$14)</f>
        <v>0</v>
      </c>
      <c r="AB17">
        <f>SUMIFS(Orders!$I$2:$I$2001,Orders!$Q$2:$Q$2001,$H17,Orders!$E$2:$E$2001,AB$14)</f>
        <v>0</v>
      </c>
      <c r="AC17">
        <f>SUMIFS(Orders!$I$2:$I$2001,Orders!$Q$2:$Q$2001,$H17,Orders!$E$2:$E$2001,AC$14)</f>
        <v>150.66999999999999</v>
      </c>
      <c r="AD17">
        <f>SUMIFS(Orders!$I$2:$I$2001,Orders!$Q$2:$Q$2001,$H17,Orders!$E$2:$E$2001,AD$14)</f>
        <v>0</v>
      </c>
      <c r="AE17">
        <f>SUMIFS(Orders!$I$2:$I$2001,Orders!$Q$2:$Q$2001,$H17,Orders!$E$2:$E$2001,AE$14)</f>
        <v>0</v>
      </c>
      <c r="AF17">
        <f>SUMIFS(Orders!$I$2:$I$2001,Orders!$Q$2:$Q$2001,$H17,Orders!$E$2:$E$2001,AF$14)</f>
        <v>0</v>
      </c>
      <c r="AG17">
        <f>SUMIFS(Orders!$I$2:$I$2001,Orders!$Q$2:$Q$2001,$H17,Orders!$E$2:$E$2001,AG$14)</f>
        <v>0</v>
      </c>
      <c r="AH17">
        <f>SUMIFS(Orders!$I$2:$I$2001,Orders!$Q$2:$Q$2001,$H17,Orders!$E$2:$E$2001,AH$14)</f>
        <v>0</v>
      </c>
      <c r="AI17">
        <f>SUMIFS(Orders!$I$2:$I$2001,Orders!$Q$2:$Q$2001,$H17,Orders!$E$2:$E$2001,AI$14)</f>
        <v>0</v>
      </c>
      <c r="AJ17">
        <f>SUMIFS(Orders!$I$2:$I$2001,Orders!$Q$2:$Q$2001,$H17,Orders!$E$2:$E$2001,AJ$14)</f>
        <v>9802</v>
      </c>
      <c r="AK17">
        <f>SUMIFS(Orders!$I$2:$I$2001,Orders!$Q$2:$Q$2001,$H17,Orders!$E$2:$E$2001,AK$14)</f>
        <v>0</v>
      </c>
      <c r="AL17">
        <f>SUMIFS(Orders!$I$2:$I$2001,Orders!$Q$2:$Q$2001,$H17,Orders!$E$2:$E$2001,AL$14)</f>
        <v>0</v>
      </c>
    </row>
    <row r="18" spans="8:38" x14ac:dyDescent="0.3">
      <c r="H18" s="20" t="s">
        <v>4882</v>
      </c>
      <c r="I18">
        <f>SUMIFS(Orders!$I$2:$I$2001,Orders!$Q$2:$Q$2001,$H18,Orders!$E$2:$E$2001,I$14)</f>
        <v>0</v>
      </c>
      <c r="J18">
        <f>SUMIFS(Orders!$I$2:$I$2001,Orders!$Q$2:$Q$2001,$H18,Orders!$E$2:$E$2001,J$14)</f>
        <v>0</v>
      </c>
      <c r="K18">
        <f>SUMIFS(Orders!$I$2:$I$2001,Orders!$Q$2:$Q$2001,$H18,Orders!$E$2:$E$2001,K$14)</f>
        <v>0</v>
      </c>
      <c r="L18">
        <f>SUMIFS(Orders!$I$2:$I$2001,Orders!$Q$2:$Q$2001,$H18,Orders!$E$2:$E$2001,L$14)</f>
        <v>0</v>
      </c>
      <c r="M18">
        <f>SUMIFS(Orders!$I$2:$I$2001,Orders!$Q$2:$Q$2001,$H18,Orders!$E$2:$E$2001,M$14)</f>
        <v>0</v>
      </c>
      <c r="N18">
        <f>SUMIFS(Orders!$I$2:$I$2001,Orders!$Q$2:$Q$2001,$H18,Orders!$E$2:$E$2001,N$14)</f>
        <v>0</v>
      </c>
      <c r="O18">
        <f>SUMIFS(Orders!$I$2:$I$2001,Orders!$Q$2:$Q$2001,$H18,Orders!$E$2:$E$2001,O$14)</f>
        <v>0</v>
      </c>
      <c r="P18">
        <f>SUMIFS(Orders!$I$2:$I$2001,Orders!$Q$2:$Q$2001,$H18,Orders!$E$2:$E$2001,P$14)</f>
        <v>0</v>
      </c>
      <c r="Q18">
        <f>SUMIFS(Orders!$I$2:$I$2001,Orders!$Q$2:$Q$2001,$H18,Orders!$E$2:$E$2001,Q$14)</f>
        <v>0</v>
      </c>
      <c r="R18">
        <f>SUMIFS(Orders!$I$2:$I$2001,Orders!$Q$2:$Q$2001,$H18,Orders!$E$2:$E$2001,R$14)</f>
        <v>0</v>
      </c>
      <c r="S18">
        <f>SUMIFS(Orders!$I$2:$I$2001,Orders!$Q$2:$Q$2001,$H18,Orders!$E$2:$E$2001,S$14)</f>
        <v>0</v>
      </c>
      <c r="T18">
        <f>SUMIFS(Orders!$I$2:$I$2001,Orders!$Q$2:$Q$2001,$H18,Orders!$E$2:$E$2001,T$14)</f>
        <v>1050.8</v>
      </c>
      <c r="U18">
        <f>SUMIFS(Orders!$I$2:$I$2001,Orders!$Q$2:$Q$2001,$H18,Orders!$E$2:$E$2001,U$14)</f>
        <v>0</v>
      </c>
      <c r="V18">
        <f>SUMIFS(Orders!$I$2:$I$2001,Orders!$Q$2:$Q$2001,$H18,Orders!$E$2:$E$2001,V$14)</f>
        <v>0</v>
      </c>
      <c r="W18">
        <f>SUMIFS(Orders!$I$2:$I$2001,Orders!$Q$2:$Q$2001,$H18,Orders!$E$2:$E$2001,W$14)</f>
        <v>0</v>
      </c>
      <c r="X18">
        <f>SUMIFS(Orders!$I$2:$I$2001,Orders!$Q$2:$Q$2001,$H18,Orders!$E$2:$E$2001,X$14)</f>
        <v>2875.08</v>
      </c>
      <c r="Y18">
        <f>SUMIFS(Orders!$I$2:$I$2001,Orders!$Q$2:$Q$2001,$H18,Orders!$E$2:$E$2001,Y$14)</f>
        <v>0</v>
      </c>
      <c r="Z18">
        <f>SUMIFS(Orders!$I$2:$I$2001,Orders!$Q$2:$Q$2001,$H18,Orders!$E$2:$E$2001,Z$14)</f>
        <v>0</v>
      </c>
      <c r="AA18">
        <f>SUMIFS(Orders!$I$2:$I$2001,Orders!$Q$2:$Q$2001,$H18,Orders!$E$2:$E$2001,AA$14)</f>
        <v>0</v>
      </c>
      <c r="AB18">
        <f>SUMIFS(Orders!$I$2:$I$2001,Orders!$Q$2:$Q$2001,$H18,Orders!$E$2:$E$2001,AB$14)</f>
        <v>0</v>
      </c>
      <c r="AC18">
        <f>SUMIFS(Orders!$I$2:$I$2001,Orders!$Q$2:$Q$2001,$H18,Orders!$E$2:$E$2001,AC$14)</f>
        <v>0</v>
      </c>
      <c r="AD18">
        <f>SUMIFS(Orders!$I$2:$I$2001,Orders!$Q$2:$Q$2001,$H18,Orders!$E$2:$E$2001,AD$14)</f>
        <v>0</v>
      </c>
      <c r="AE18">
        <f>SUMIFS(Orders!$I$2:$I$2001,Orders!$Q$2:$Q$2001,$H18,Orders!$E$2:$E$2001,AE$14)</f>
        <v>0</v>
      </c>
      <c r="AF18">
        <f>SUMIFS(Orders!$I$2:$I$2001,Orders!$Q$2:$Q$2001,$H18,Orders!$E$2:$E$2001,AF$14)</f>
        <v>0</v>
      </c>
      <c r="AG18">
        <f>SUMIFS(Orders!$I$2:$I$2001,Orders!$Q$2:$Q$2001,$H18,Orders!$E$2:$E$2001,AG$14)</f>
        <v>0</v>
      </c>
      <c r="AH18">
        <f>SUMIFS(Orders!$I$2:$I$2001,Orders!$Q$2:$Q$2001,$H18,Orders!$E$2:$E$2001,AH$14)</f>
        <v>8449.92</v>
      </c>
      <c r="AI18">
        <f>SUMIFS(Orders!$I$2:$I$2001,Orders!$Q$2:$Q$2001,$H18,Orders!$E$2:$E$2001,AI$14)</f>
        <v>0</v>
      </c>
      <c r="AJ18">
        <f>SUMIFS(Orders!$I$2:$I$2001,Orders!$Q$2:$Q$2001,$H18,Orders!$E$2:$E$2001,AJ$14)</f>
        <v>0</v>
      </c>
      <c r="AK18">
        <f>SUMIFS(Orders!$I$2:$I$2001,Orders!$Q$2:$Q$2001,$H18,Orders!$E$2:$E$2001,AK$14)</f>
        <v>0</v>
      </c>
      <c r="AL18">
        <f>SUMIFS(Orders!$I$2:$I$2001,Orders!$Q$2:$Q$2001,$H18,Orders!$E$2:$E$2001,AL$14)</f>
        <v>0</v>
      </c>
    </row>
    <row r="19" spans="8:38" x14ac:dyDescent="0.3">
      <c r="H19" s="20" t="s">
        <v>4883</v>
      </c>
      <c r="I19">
        <f>SUMIFS(Orders!$I$2:$I$2001,Orders!$Q$2:$Q$2001,$H19,Orders!$E$2:$E$2001,I$14)</f>
        <v>0</v>
      </c>
      <c r="J19">
        <f>SUMIFS(Orders!$I$2:$I$2001,Orders!$Q$2:$Q$2001,$H19,Orders!$E$2:$E$2001,J$14)</f>
        <v>0</v>
      </c>
      <c r="K19">
        <f>SUMIFS(Orders!$I$2:$I$2001,Orders!$Q$2:$Q$2001,$H19,Orders!$E$2:$E$2001,K$14)</f>
        <v>0</v>
      </c>
      <c r="L19">
        <f>SUMIFS(Orders!$I$2:$I$2001,Orders!$Q$2:$Q$2001,$H19,Orders!$E$2:$E$2001,L$14)</f>
        <v>0</v>
      </c>
      <c r="M19">
        <f>SUMIFS(Orders!$I$2:$I$2001,Orders!$Q$2:$Q$2001,$H19,Orders!$E$2:$E$2001,M$14)</f>
        <v>0</v>
      </c>
      <c r="N19">
        <f>SUMIFS(Orders!$I$2:$I$2001,Orders!$Q$2:$Q$2001,$H19,Orders!$E$2:$E$2001,N$14)</f>
        <v>0</v>
      </c>
      <c r="O19">
        <f>SUMIFS(Orders!$I$2:$I$2001,Orders!$Q$2:$Q$2001,$H19,Orders!$E$2:$E$2001,O$14)</f>
        <v>0</v>
      </c>
      <c r="P19">
        <f>SUMIFS(Orders!$I$2:$I$2001,Orders!$Q$2:$Q$2001,$H19,Orders!$E$2:$E$2001,P$14)</f>
        <v>0</v>
      </c>
      <c r="Q19">
        <f>SUMIFS(Orders!$I$2:$I$2001,Orders!$Q$2:$Q$2001,$H19,Orders!$E$2:$E$2001,Q$14)</f>
        <v>0</v>
      </c>
      <c r="R19">
        <f>SUMIFS(Orders!$I$2:$I$2001,Orders!$Q$2:$Q$2001,$H19,Orders!$E$2:$E$2001,R$14)</f>
        <v>3085.38</v>
      </c>
      <c r="S19">
        <f>SUMIFS(Orders!$I$2:$I$2001,Orders!$Q$2:$Q$2001,$H19,Orders!$E$2:$E$2001,S$14)</f>
        <v>0</v>
      </c>
      <c r="T19">
        <f>SUMIFS(Orders!$I$2:$I$2001,Orders!$Q$2:$Q$2001,$H19,Orders!$E$2:$E$2001,T$14)</f>
        <v>0</v>
      </c>
      <c r="U19">
        <f>SUMIFS(Orders!$I$2:$I$2001,Orders!$Q$2:$Q$2001,$H19,Orders!$E$2:$E$2001,U$14)</f>
        <v>0</v>
      </c>
      <c r="V19">
        <f>SUMIFS(Orders!$I$2:$I$2001,Orders!$Q$2:$Q$2001,$H19,Orders!$E$2:$E$2001,V$14)</f>
        <v>0</v>
      </c>
      <c r="W19">
        <f>SUMIFS(Orders!$I$2:$I$2001,Orders!$Q$2:$Q$2001,$H19,Orders!$E$2:$E$2001,W$14)</f>
        <v>0</v>
      </c>
      <c r="X19">
        <f>SUMIFS(Orders!$I$2:$I$2001,Orders!$Q$2:$Q$2001,$H19,Orders!$E$2:$E$2001,X$14)</f>
        <v>0</v>
      </c>
      <c r="Y19">
        <f>SUMIFS(Orders!$I$2:$I$2001,Orders!$Q$2:$Q$2001,$H19,Orders!$E$2:$E$2001,Y$14)</f>
        <v>0</v>
      </c>
      <c r="Z19">
        <f>SUMIFS(Orders!$I$2:$I$2001,Orders!$Q$2:$Q$2001,$H19,Orders!$E$2:$E$2001,Z$14)</f>
        <v>0</v>
      </c>
      <c r="AA19">
        <f>SUMIFS(Orders!$I$2:$I$2001,Orders!$Q$2:$Q$2001,$H19,Orders!$E$2:$E$2001,AA$14)</f>
        <v>0</v>
      </c>
      <c r="AB19">
        <f>SUMIFS(Orders!$I$2:$I$2001,Orders!$Q$2:$Q$2001,$H19,Orders!$E$2:$E$2001,AB$14)</f>
        <v>0</v>
      </c>
      <c r="AC19">
        <f>SUMIFS(Orders!$I$2:$I$2001,Orders!$Q$2:$Q$2001,$H19,Orders!$E$2:$E$2001,AC$14)</f>
        <v>0</v>
      </c>
      <c r="AD19">
        <f>SUMIFS(Orders!$I$2:$I$2001,Orders!$Q$2:$Q$2001,$H19,Orders!$E$2:$E$2001,AD$14)</f>
        <v>0</v>
      </c>
      <c r="AE19">
        <f>SUMIFS(Orders!$I$2:$I$2001,Orders!$Q$2:$Q$2001,$H19,Orders!$E$2:$E$2001,AE$14)</f>
        <v>0</v>
      </c>
      <c r="AF19">
        <f>SUMIFS(Orders!$I$2:$I$2001,Orders!$Q$2:$Q$2001,$H19,Orders!$E$2:$E$2001,AF$14)</f>
        <v>0</v>
      </c>
      <c r="AG19">
        <f>SUMIFS(Orders!$I$2:$I$2001,Orders!$Q$2:$Q$2001,$H19,Orders!$E$2:$E$2001,AG$14)</f>
        <v>0</v>
      </c>
      <c r="AH19">
        <f>SUMIFS(Orders!$I$2:$I$2001,Orders!$Q$2:$Q$2001,$H19,Orders!$E$2:$E$2001,AH$14)</f>
        <v>0</v>
      </c>
      <c r="AI19">
        <f>SUMIFS(Orders!$I$2:$I$2001,Orders!$Q$2:$Q$2001,$H19,Orders!$E$2:$E$2001,AI$14)</f>
        <v>0</v>
      </c>
      <c r="AJ19">
        <f>SUMIFS(Orders!$I$2:$I$2001,Orders!$Q$2:$Q$2001,$H19,Orders!$E$2:$E$2001,AJ$14)</f>
        <v>0</v>
      </c>
      <c r="AK19">
        <f>SUMIFS(Orders!$I$2:$I$2001,Orders!$Q$2:$Q$2001,$H19,Orders!$E$2:$E$2001,AK$14)</f>
        <v>0</v>
      </c>
      <c r="AL19">
        <f>SUMIFS(Orders!$I$2:$I$2001,Orders!$Q$2:$Q$2001,$H19,Orders!$E$2:$E$2001,AL$14)</f>
        <v>0</v>
      </c>
    </row>
    <row r="20" spans="8:38" x14ac:dyDescent="0.3">
      <c r="H20" s="20" t="s">
        <v>4884</v>
      </c>
      <c r="I20">
        <f>SUMIFS(Orders!$I$2:$I$2001,Orders!$Q$2:$Q$2001,$H20,Orders!$E$2:$E$2001,I$14)</f>
        <v>0</v>
      </c>
      <c r="J20">
        <f>SUMIFS(Orders!$I$2:$I$2001,Orders!$Q$2:$Q$2001,$H20,Orders!$E$2:$E$2001,J$14)</f>
        <v>0</v>
      </c>
      <c r="K20">
        <f>SUMIFS(Orders!$I$2:$I$2001,Orders!$Q$2:$Q$2001,$H20,Orders!$E$2:$E$2001,K$14)</f>
        <v>0</v>
      </c>
      <c r="L20">
        <f>SUMIFS(Orders!$I$2:$I$2001,Orders!$Q$2:$Q$2001,$H20,Orders!$E$2:$E$2001,L$14)</f>
        <v>0</v>
      </c>
      <c r="M20">
        <f>SUMIFS(Orders!$I$2:$I$2001,Orders!$Q$2:$Q$2001,$H20,Orders!$E$2:$E$2001,M$14)</f>
        <v>0</v>
      </c>
      <c r="N20">
        <f>SUMIFS(Orders!$I$2:$I$2001,Orders!$Q$2:$Q$2001,$H20,Orders!$E$2:$E$2001,N$14)</f>
        <v>0</v>
      </c>
      <c r="O20">
        <f>SUMIFS(Orders!$I$2:$I$2001,Orders!$Q$2:$Q$2001,$H20,Orders!$E$2:$E$2001,O$14)</f>
        <v>0</v>
      </c>
      <c r="P20">
        <f>SUMIFS(Orders!$I$2:$I$2001,Orders!$Q$2:$Q$2001,$H20,Orders!$E$2:$E$2001,P$14)</f>
        <v>0</v>
      </c>
      <c r="Q20">
        <f>SUMIFS(Orders!$I$2:$I$2001,Orders!$Q$2:$Q$2001,$H20,Orders!$E$2:$E$2001,Q$14)</f>
        <v>0</v>
      </c>
      <c r="R20">
        <f>SUMIFS(Orders!$I$2:$I$2001,Orders!$Q$2:$Q$2001,$H20,Orders!$E$2:$E$2001,R$14)</f>
        <v>0</v>
      </c>
      <c r="S20">
        <f>SUMIFS(Orders!$I$2:$I$2001,Orders!$Q$2:$Q$2001,$H20,Orders!$E$2:$E$2001,S$14)</f>
        <v>0</v>
      </c>
      <c r="T20">
        <f>SUMIFS(Orders!$I$2:$I$2001,Orders!$Q$2:$Q$2001,$H20,Orders!$E$2:$E$2001,T$14)</f>
        <v>0</v>
      </c>
      <c r="U20">
        <f>SUMIFS(Orders!$I$2:$I$2001,Orders!$Q$2:$Q$2001,$H20,Orders!$E$2:$E$2001,U$14)</f>
        <v>2712.96</v>
      </c>
      <c r="V20">
        <f>SUMIFS(Orders!$I$2:$I$2001,Orders!$Q$2:$Q$2001,$H20,Orders!$E$2:$E$2001,V$14)</f>
        <v>0</v>
      </c>
      <c r="W20">
        <f>SUMIFS(Orders!$I$2:$I$2001,Orders!$Q$2:$Q$2001,$H20,Orders!$E$2:$E$2001,W$14)</f>
        <v>0</v>
      </c>
      <c r="X20">
        <f>SUMIFS(Orders!$I$2:$I$2001,Orders!$Q$2:$Q$2001,$H20,Orders!$E$2:$E$2001,X$14)</f>
        <v>0</v>
      </c>
      <c r="Y20">
        <f>SUMIFS(Orders!$I$2:$I$2001,Orders!$Q$2:$Q$2001,$H20,Orders!$E$2:$E$2001,Y$14)</f>
        <v>0</v>
      </c>
      <c r="Z20">
        <f>SUMIFS(Orders!$I$2:$I$2001,Orders!$Q$2:$Q$2001,$H20,Orders!$E$2:$E$2001,Z$14)</f>
        <v>0</v>
      </c>
      <c r="AA20">
        <f>SUMIFS(Orders!$I$2:$I$2001,Orders!$Q$2:$Q$2001,$H20,Orders!$E$2:$E$2001,AA$14)</f>
        <v>0</v>
      </c>
      <c r="AB20">
        <f>SUMIFS(Orders!$I$2:$I$2001,Orders!$Q$2:$Q$2001,$H20,Orders!$E$2:$E$2001,AB$14)</f>
        <v>8375.25</v>
      </c>
      <c r="AC20">
        <f>SUMIFS(Orders!$I$2:$I$2001,Orders!$Q$2:$Q$2001,$H20,Orders!$E$2:$E$2001,AC$14)</f>
        <v>0</v>
      </c>
      <c r="AD20">
        <f>SUMIFS(Orders!$I$2:$I$2001,Orders!$Q$2:$Q$2001,$H20,Orders!$E$2:$E$2001,AD$14)</f>
        <v>0</v>
      </c>
      <c r="AE20">
        <f>SUMIFS(Orders!$I$2:$I$2001,Orders!$Q$2:$Q$2001,$H20,Orders!$E$2:$E$2001,AE$14)</f>
        <v>0</v>
      </c>
      <c r="AF20">
        <f>SUMIFS(Orders!$I$2:$I$2001,Orders!$Q$2:$Q$2001,$H20,Orders!$E$2:$E$2001,AF$14)</f>
        <v>0</v>
      </c>
      <c r="AG20">
        <f>SUMIFS(Orders!$I$2:$I$2001,Orders!$Q$2:$Q$2001,$H20,Orders!$E$2:$E$2001,AG$14)</f>
        <v>0</v>
      </c>
      <c r="AH20">
        <f>SUMIFS(Orders!$I$2:$I$2001,Orders!$Q$2:$Q$2001,$H20,Orders!$E$2:$E$2001,AH$14)</f>
        <v>0</v>
      </c>
      <c r="AI20">
        <f>SUMIFS(Orders!$I$2:$I$2001,Orders!$Q$2:$Q$2001,$H20,Orders!$E$2:$E$2001,AI$14)</f>
        <v>12377.68</v>
      </c>
      <c r="AJ20">
        <f>SUMIFS(Orders!$I$2:$I$2001,Orders!$Q$2:$Q$2001,$H20,Orders!$E$2:$E$2001,AJ$14)</f>
        <v>0</v>
      </c>
      <c r="AK20">
        <f>SUMIFS(Orders!$I$2:$I$2001,Orders!$Q$2:$Q$2001,$H20,Orders!$E$2:$E$2001,AK$14)</f>
        <v>0</v>
      </c>
      <c r="AL20">
        <f>SUMIFS(Orders!$I$2:$I$2001,Orders!$Q$2:$Q$2001,$H20,Orders!$E$2:$E$2001,AL$14)</f>
        <v>2989.8</v>
      </c>
    </row>
    <row r="21" spans="8:38" x14ac:dyDescent="0.3">
      <c r="H21" s="20" t="s">
        <v>4885</v>
      </c>
      <c r="I21">
        <f>SUMIFS(Orders!$I$2:$I$2001,Orders!$Q$2:$Q$2001,$H21,Orders!$E$2:$E$2001,I$14)</f>
        <v>0</v>
      </c>
      <c r="J21">
        <f>SUMIFS(Orders!$I$2:$I$2001,Orders!$Q$2:$Q$2001,$H21,Orders!$E$2:$E$2001,J$14)</f>
        <v>0</v>
      </c>
      <c r="K21">
        <f>SUMIFS(Orders!$I$2:$I$2001,Orders!$Q$2:$Q$2001,$H21,Orders!$E$2:$E$2001,K$14)</f>
        <v>0</v>
      </c>
      <c r="L21">
        <f>SUMIFS(Orders!$I$2:$I$2001,Orders!$Q$2:$Q$2001,$H21,Orders!$E$2:$E$2001,L$14)</f>
        <v>0</v>
      </c>
      <c r="M21">
        <f>SUMIFS(Orders!$I$2:$I$2001,Orders!$Q$2:$Q$2001,$H21,Orders!$E$2:$E$2001,M$14)</f>
        <v>0</v>
      </c>
      <c r="N21">
        <f>SUMIFS(Orders!$I$2:$I$2001,Orders!$Q$2:$Q$2001,$H21,Orders!$E$2:$E$2001,N$14)</f>
        <v>0</v>
      </c>
      <c r="O21">
        <f>SUMIFS(Orders!$I$2:$I$2001,Orders!$Q$2:$Q$2001,$H21,Orders!$E$2:$E$2001,O$14)</f>
        <v>0</v>
      </c>
      <c r="P21">
        <f>SUMIFS(Orders!$I$2:$I$2001,Orders!$Q$2:$Q$2001,$H21,Orders!$E$2:$E$2001,P$14)</f>
        <v>0</v>
      </c>
      <c r="Q21">
        <f>SUMIFS(Orders!$I$2:$I$2001,Orders!$Q$2:$Q$2001,$H21,Orders!$E$2:$E$2001,Q$14)</f>
        <v>0</v>
      </c>
      <c r="R21">
        <f>SUMIFS(Orders!$I$2:$I$2001,Orders!$Q$2:$Q$2001,$H21,Orders!$E$2:$E$2001,R$14)</f>
        <v>0</v>
      </c>
      <c r="S21">
        <f>SUMIFS(Orders!$I$2:$I$2001,Orders!$Q$2:$Q$2001,$H21,Orders!$E$2:$E$2001,S$14)</f>
        <v>0</v>
      </c>
      <c r="T21">
        <f>SUMIFS(Orders!$I$2:$I$2001,Orders!$Q$2:$Q$2001,$H21,Orders!$E$2:$E$2001,T$14)</f>
        <v>0</v>
      </c>
      <c r="U21">
        <f>SUMIFS(Orders!$I$2:$I$2001,Orders!$Q$2:$Q$2001,$H21,Orders!$E$2:$E$2001,U$14)</f>
        <v>0</v>
      </c>
      <c r="V21">
        <f>SUMIFS(Orders!$I$2:$I$2001,Orders!$Q$2:$Q$2001,$H21,Orders!$E$2:$E$2001,V$14)</f>
        <v>0</v>
      </c>
      <c r="W21">
        <f>SUMIFS(Orders!$I$2:$I$2001,Orders!$Q$2:$Q$2001,$H21,Orders!$E$2:$E$2001,W$14)</f>
        <v>0</v>
      </c>
      <c r="X21">
        <f>SUMIFS(Orders!$I$2:$I$2001,Orders!$Q$2:$Q$2001,$H21,Orders!$E$2:$E$2001,X$14)</f>
        <v>0</v>
      </c>
      <c r="Y21">
        <f>SUMIFS(Orders!$I$2:$I$2001,Orders!$Q$2:$Q$2001,$H21,Orders!$E$2:$E$2001,Y$14)</f>
        <v>0</v>
      </c>
      <c r="Z21">
        <f>SUMIFS(Orders!$I$2:$I$2001,Orders!$Q$2:$Q$2001,$H21,Orders!$E$2:$E$2001,Z$14)</f>
        <v>0</v>
      </c>
      <c r="AA21">
        <f>SUMIFS(Orders!$I$2:$I$2001,Orders!$Q$2:$Q$2001,$H21,Orders!$E$2:$E$2001,AA$14)</f>
        <v>0</v>
      </c>
      <c r="AB21">
        <f>SUMIFS(Orders!$I$2:$I$2001,Orders!$Q$2:$Q$2001,$H21,Orders!$E$2:$E$2001,AB$14)</f>
        <v>0</v>
      </c>
      <c r="AC21">
        <f>SUMIFS(Orders!$I$2:$I$2001,Orders!$Q$2:$Q$2001,$H21,Orders!$E$2:$E$2001,AC$14)</f>
        <v>0</v>
      </c>
      <c r="AD21">
        <f>SUMIFS(Orders!$I$2:$I$2001,Orders!$Q$2:$Q$2001,$H21,Orders!$E$2:$E$2001,AD$14)</f>
        <v>0</v>
      </c>
      <c r="AE21">
        <f>SUMIFS(Orders!$I$2:$I$2001,Orders!$Q$2:$Q$2001,$H21,Orders!$E$2:$E$2001,AE$14)</f>
        <v>0</v>
      </c>
      <c r="AF21">
        <f>SUMIFS(Orders!$I$2:$I$2001,Orders!$Q$2:$Q$2001,$H21,Orders!$E$2:$E$2001,AF$14)</f>
        <v>0</v>
      </c>
      <c r="AG21">
        <f>SUMIFS(Orders!$I$2:$I$2001,Orders!$Q$2:$Q$2001,$H21,Orders!$E$2:$E$2001,AG$14)</f>
        <v>0</v>
      </c>
      <c r="AH21">
        <f>SUMIFS(Orders!$I$2:$I$2001,Orders!$Q$2:$Q$2001,$H21,Orders!$E$2:$E$2001,AH$14)</f>
        <v>0</v>
      </c>
      <c r="AI21">
        <f>SUMIFS(Orders!$I$2:$I$2001,Orders!$Q$2:$Q$2001,$H21,Orders!$E$2:$E$2001,AI$14)</f>
        <v>0</v>
      </c>
      <c r="AJ21">
        <f>SUMIFS(Orders!$I$2:$I$2001,Orders!$Q$2:$Q$2001,$H21,Orders!$E$2:$E$2001,AJ$14)</f>
        <v>0</v>
      </c>
      <c r="AK21">
        <f>SUMIFS(Orders!$I$2:$I$2001,Orders!$Q$2:$Q$2001,$H21,Orders!$E$2:$E$2001,AK$14)</f>
        <v>0</v>
      </c>
      <c r="AL21">
        <f>SUMIFS(Orders!$I$2:$I$2001,Orders!$Q$2:$Q$2001,$H21,Orders!$E$2:$E$2001,AL$14)</f>
        <v>0</v>
      </c>
    </row>
    <row r="22" spans="8:38" x14ac:dyDescent="0.3">
      <c r="H22" s="20" t="s">
        <v>4886</v>
      </c>
      <c r="I22">
        <f>SUMIFS(Orders!$I$2:$I$2001,Orders!$Q$2:$Q$2001,$H22,Orders!$E$2:$E$2001,I$14)</f>
        <v>0</v>
      </c>
      <c r="J22">
        <f>SUMIFS(Orders!$I$2:$I$2001,Orders!$Q$2:$Q$2001,$H22,Orders!$E$2:$E$2001,J$14)</f>
        <v>0</v>
      </c>
      <c r="K22">
        <f>SUMIFS(Orders!$I$2:$I$2001,Orders!$Q$2:$Q$2001,$H22,Orders!$E$2:$E$2001,K$14)</f>
        <v>0</v>
      </c>
      <c r="L22">
        <f>SUMIFS(Orders!$I$2:$I$2001,Orders!$Q$2:$Q$2001,$H22,Orders!$E$2:$E$2001,L$14)</f>
        <v>0</v>
      </c>
      <c r="M22">
        <f>SUMIFS(Orders!$I$2:$I$2001,Orders!$Q$2:$Q$2001,$H22,Orders!$E$2:$E$2001,M$14)</f>
        <v>0</v>
      </c>
      <c r="N22">
        <f>SUMIFS(Orders!$I$2:$I$2001,Orders!$Q$2:$Q$2001,$H22,Orders!$E$2:$E$2001,N$14)</f>
        <v>0</v>
      </c>
      <c r="O22">
        <f>SUMIFS(Orders!$I$2:$I$2001,Orders!$Q$2:$Q$2001,$H22,Orders!$E$2:$E$2001,O$14)</f>
        <v>0</v>
      </c>
      <c r="P22">
        <f>SUMIFS(Orders!$I$2:$I$2001,Orders!$Q$2:$Q$2001,$H22,Orders!$E$2:$E$2001,P$14)</f>
        <v>0</v>
      </c>
      <c r="Q22">
        <f>SUMIFS(Orders!$I$2:$I$2001,Orders!$Q$2:$Q$2001,$H22,Orders!$E$2:$E$2001,Q$14)</f>
        <v>0</v>
      </c>
      <c r="R22">
        <f>SUMIFS(Orders!$I$2:$I$2001,Orders!$Q$2:$Q$2001,$H22,Orders!$E$2:$E$2001,R$14)</f>
        <v>0</v>
      </c>
      <c r="S22">
        <f>SUMIFS(Orders!$I$2:$I$2001,Orders!$Q$2:$Q$2001,$H22,Orders!$E$2:$E$2001,S$14)</f>
        <v>0</v>
      </c>
      <c r="T22">
        <f>SUMIFS(Orders!$I$2:$I$2001,Orders!$Q$2:$Q$2001,$H22,Orders!$E$2:$E$2001,T$14)</f>
        <v>0</v>
      </c>
      <c r="U22">
        <f>SUMIFS(Orders!$I$2:$I$2001,Orders!$Q$2:$Q$2001,$H22,Orders!$E$2:$E$2001,U$14)</f>
        <v>0</v>
      </c>
      <c r="V22">
        <f>SUMIFS(Orders!$I$2:$I$2001,Orders!$Q$2:$Q$2001,$H22,Orders!$E$2:$E$2001,V$14)</f>
        <v>0</v>
      </c>
      <c r="W22">
        <f>SUMIFS(Orders!$I$2:$I$2001,Orders!$Q$2:$Q$2001,$H22,Orders!$E$2:$E$2001,W$14)</f>
        <v>0</v>
      </c>
      <c r="X22">
        <f>SUMIFS(Orders!$I$2:$I$2001,Orders!$Q$2:$Q$2001,$H22,Orders!$E$2:$E$2001,X$14)</f>
        <v>0</v>
      </c>
      <c r="Y22">
        <f>SUMIFS(Orders!$I$2:$I$2001,Orders!$Q$2:$Q$2001,$H22,Orders!$E$2:$E$2001,Y$14)</f>
        <v>0</v>
      </c>
      <c r="Z22">
        <f>SUMIFS(Orders!$I$2:$I$2001,Orders!$Q$2:$Q$2001,$H22,Orders!$E$2:$E$2001,Z$14)</f>
        <v>0</v>
      </c>
      <c r="AA22">
        <f>SUMIFS(Orders!$I$2:$I$2001,Orders!$Q$2:$Q$2001,$H22,Orders!$E$2:$E$2001,AA$14)</f>
        <v>7464.6</v>
      </c>
      <c r="AB22">
        <f>SUMIFS(Orders!$I$2:$I$2001,Orders!$Q$2:$Q$2001,$H22,Orders!$E$2:$E$2001,AB$14)</f>
        <v>0</v>
      </c>
      <c r="AC22">
        <f>SUMIFS(Orders!$I$2:$I$2001,Orders!$Q$2:$Q$2001,$H22,Orders!$E$2:$E$2001,AC$14)</f>
        <v>0</v>
      </c>
      <c r="AD22">
        <f>SUMIFS(Orders!$I$2:$I$2001,Orders!$Q$2:$Q$2001,$H22,Orders!$E$2:$E$2001,AD$14)</f>
        <v>0</v>
      </c>
      <c r="AE22">
        <f>SUMIFS(Orders!$I$2:$I$2001,Orders!$Q$2:$Q$2001,$H22,Orders!$E$2:$E$2001,AE$14)</f>
        <v>14259.36</v>
      </c>
      <c r="AF22">
        <f>SUMIFS(Orders!$I$2:$I$2001,Orders!$Q$2:$Q$2001,$H22,Orders!$E$2:$E$2001,AF$14)</f>
        <v>0</v>
      </c>
      <c r="AG22">
        <f>SUMIFS(Orders!$I$2:$I$2001,Orders!$Q$2:$Q$2001,$H22,Orders!$E$2:$E$2001,AG$14)</f>
        <v>0</v>
      </c>
      <c r="AH22">
        <f>SUMIFS(Orders!$I$2:$I$2001,Orders!$Q$2:$Q$2001,$H22,Orders!$E$2:$E$2001,AH$14)</f>
        <v>0</v>
      </c>
      <c r="AI22">
        <f>SUMIFS(Orders!$I$2:$I$2001,Orders!$Q$2:$Q$2001,$H22,Orders!$E$2:$E$2001,AI$14)</f>
        <v>0</v>
      </c>
      <c r="AJ22">
        <f>SUMIFS(Orders!$I$2:$I$2001,Orders!$Q$2:$Q$2001,$H22,Orders!$E$2:$E$2001,AJ$14)</f>
        <v>0</v>
      </c>
      <c r="AK22">
        <f>SUMIFS(Orders!$I$2:$I$2001,Orders!$Q$2:$Q$2001,$H22,Orders!$E$2:$E$2001,AK$14)</f>
        <v>18066.240000000002</v>
      </c>
      <c r="AL22">
        <f>SUMIFS(Orders!$I$2:$I$2001,Orders!$Q$2:$Q$2001,$H22,Orders!$E$2:$E$2001,AL$14)</f>
        <v>0</v>
      </c>
    </row>
    <row r="23" spans="8:38" x14ac:dyDescent="0.3">
      <c r="H23" s="20" t="s">
        <v>4887</v>
      </c>
      <c r="I23">
        <f>SUMIFS(Orders!$I$2:$I$2001,Orders!$Q$2:$Q$2001,$H23,Orders!$E$2:$E$2001,I$14)</f>
        <v>0</v>
      </c>
      <c r="J23">
        <f>SUMIFS(Orders!$I$2:$I$2001,Orders!$Q$2:$Q$2001,$H23,Orders!$E$2:$E$2001,J$14)</f>
        <v>0</v>
      </c>
      <c r="K23">
        <f>SUMIFS(Orders!$I$2:$I$2001,Orders!$Q$2:$Q$2001,$H23,Orders!$E$2:$E$2001,K$14)</f>
        <v>0</v>
      </c>
      <c r="L23">
        <f>SUMIFS(Orders!$I$2:$I$2001,Orders!$Q$2:$Q$2001,$H23,Orders!$E$2:$E$2001,L$14)</f>
        <v>0</v>
      </c>
      <c r="M23">
        <f>SUMIFS(Orders!$I$2:$I$2001,Orders!$Q$2:$Q$2001,$H23,Orders!$E$2:$E$2001,M$14)</f>
        <v>0</v>
      </c>
      <c r="N23">
        <f>SUMIFS(Orders!$I$2:$I$2001,Orders!$Q$2:$Q$2001,$H23,Orders!$E$2:$E$2001,N$14)</f>
        <v>0</v>
      </c>
      <c r="O23">
        <f>SUMIFS(Orders!$I$2:$I$2001,Orders!$Q$2:$Q$2001,$H23,Orders!$E$2:$E$2001,O$14)</f>
        <v>24500.16</v>
      </c>
      <c r="P23">
        <f>SUMIFS(Orders!$I$2:$I$2001,Orders!$Q$2:$Q$2001,$H23,Orders!$E$2:$E$2001,P$14)</f>
        <v>0</v>
      </c>
      <c r="Q23">
        <f>SUMIFS(Orders!$I$2:$I$2001,Orders!$Q$2:$Q$2001,$H23,Orders!$E$2:$E$2001,Q$14)</f>
        <v>0</v>
      </c>
      <c r="R23">
        <f>SUMIFS(Orders!$I$2:$I$2001,Orders!$Q$2:$Q$2001,$H23,Orders!$E$2:$E$2001,R$14)</f>
        <v>0</v>
      </c>
      <c r="S23">
        <f>SUMIFS(Orders!$I$2:$I$2001,Orders!$Q$2:$Q$2001,$H23,Orders!$E$2:$E$2001,S$14)</f>
        <v>0</v>
      </c>
      <c r="T23">
        <f>SUMIFS(Orders!$I$2:$I$2001,Orders!$Q$2:$Q$2001,$H23,Orders!$E$2:$E$2001,T$14)</f>
        <v>0</v>
      </c>
      <c r="U23">
        <f>SUMIFS(Orders!$I$2:$I$2001,Orders!$Q$2:$Q$2001,$H23,Orders!$E$2:$E$2001,U$14)</f>
        <v>0</v>
      </c>
      <c r="V23">
        <f>SUMIFS(Orders!$I$2:$I$2001,Orders!$Q$2:$Q$2001,$H23,Orders!$E$2:$E$2001,V$14)</f>
        <v>0</v>
      </c>
      <c r="W23">
        <f>SUMIFS(Orders!$I$2:$I$2001,Orders!$Q$2:$Q$2001,$H23,Orders!$E$2:$E$2001,W$14)</f>
        <v>14131.26</v>
      </c>
      <c r="X23">
        <f>SUMIFS(Orders!$I$2:$I$2001,Orders!$Q$2:$Q$2001,$H23,Orders!$E$2:$E$2001,X$14)</f>
        <v>0</v>
      </c>
      <c r="Y23">
        <f>SUMIFS(Orders!$I$2:$I$2001,Orders!$Q$2:$Q$2001,$H23,Orders!$E$2:$E$2001,Y$14)</f>
        <v>14761.81</v>
      </c>
      <c r="Z23">
        <f>SUMIFS(Orders!$I$2:$I$2001,Orders!$Q$2:$Q$2001,$H23,Orders!$E$2:$E$2001,Z$14)</f>
        <v>0</v>
      </c>
      <c r="AA23">
        <f>SUMIFS(Orders!$I$2:$I$2001,Orders!$Q$2:$Q$2001,$H23,Orders!$E$2:$E$2001,AA$14)</f>
        <v>0</v>
      </c>
      <c r="AB23">
        <f>SUMIFS(Orders!$I$2:$I$2001,Orders!$Q$2:$Q$2001,$H23,Orders!$E$2:$E$2001,AB$14)</f>
        <v>0</v>
      </c>
      <c r="AC23">
        <f>SUMIFS(Orders!$I$2:$I$2001,Orders!$Q$2:$Q$2001,$H23,Orders!$E$2:$E$2001,AC$14)</f>
        <v>0</v>
      </c>
      <c r="AD23">
        <f>SUMIFS(Orders!$I$2:$I$2001,Orders!$Q$2:$Q$2001,$H23,Orders!$E$2:$E$2001,AD$14)</f>
        <v>15086.4</v>
      </c>
      <c r="AE23">
        <f>SUMIFS(Orders!$I$2:$I$2001,Orders!$Q$2:$Q$2001,$H23,Orders!$E$2:$E$2001,AE$14)</f>
        <v>0</v>
      </c>
      <c r="AF23">
        <f>SUMIFS(Orders!$I$2:$I$2001,Orders!$Q$2:$Q$2001,$H23,Orders!$E$2:$E$2001,AF$14)</f>
        <v>0</v>
      </c>
      <c r="AG23">
        <f>SUMIFS(Orders!$I$2:$I$2001,Orders!$Q$2:$Q$2001,$H23,Orders!$E$2:$E$2001,AG$14)</f>
        <v>0</v>
      </c>
      <c r="AH23">
        <f>SUMIFS(Orders!$I$2:$I$2001,Orders!$Q$2:$Q$2001,$H23,Orders!$E$2:$E$2001,AH$14)</f>
        <v>0</v>
      </c>
      <c r="AI23">
        <f>SUMIFS(Orders!$I$2:$I$2001,Orders!$Q$2:$Q$2001,$H23,Orders!$E$2:$E$2001,AI$14)</f>
        <v>0</v>
      </c>
      <c r="AJ23">
        <f>SUMIFS(Orders!$I$2:$I$2001,Orders!$Q$2:$Q$2001,$H23,Orders!$E$2:$E$2001,AJ$14)</f>
        <v>0</v>
      </c>
      <c r="AK23">
        <f>SUMIFS(Orders!$I$2:$I$2001,Orders!$Q$2:$Q$2001,$H23,Orders!$E$2:$E$2001,AK$14)</f>
        <v>0</v>
      </c>
      <c r="AL23">
        <f>SUMIFS(Orders!$I$2:$I$2001,Orders!$Q$2:$Q$2001,$H23,Orders!$E$2:$E$2001,AL$14)</f>
        <v>0</v>
      </c>
    </row>
    <row r="24" spans="8:38" x14ac:dyDescent="0.3">
      <c r="H24" s="20" t="s">
        <v>4888</v>
      </c>
      <c r="I24">
        <f>SUMIFS(Orders!$I$2:$I$2001,Orders!$Q$2:$Q$2001,$H24,Orders!$E$2:$E$2001,I$14)</f>
        <v>0</v>
      </c>
      <c r="J24">
        <f>SUMIFS(Orders!$I$2:$I$2001,Orders!$Q$2:$Q$2001,$H24,Orders!$E$2:$E$2001,J$14)</f>
        <v>0</v>
      </c>
      <c r="K24">
        <f>SUMIFS(Orders!$I$2:$I$2001,Orders!$Q$2:$Q$2001,$H24,Orders!$E$2:$E$2001,K$14)</f>
        <v>0</v>
      </c>
      <c r="L24">
        <f>SUMIFS(Orders!$I$2:$I$2001,Orders!$Q$2:$Q$2001,$H24,Orders!$E$2:$E$2001,L$14)</f>
        <v>0</v>
      </c>
      <c r="M24">
        <f>SUMIFS(Orders!$I$2:$I$2001,Orders!$Q$2:$Q$2001,$H24,Orders!$E$2:$E$2001,M$14)</f>
        <v>0</v>
      </c>
      <c r="N24">
        <f>SUMIFS(Orders!$I$2:$I$2001,Orders!$Q$2:$Q$2001,$H24,Orders!$E$2:$E$2001,N$14)</f>
        <v>0</v>
      </c>
      <c r="O24">
        <f>SUMIFS(Orders!$I$2:$I$2001,Orders!$Q$2:$Q$2001,$H24,Orders!$E$2:$E$2001,O$14)</f>
        <v>0</v>
      </c>
      <c r="P24">
        <f>SUMIFS(Orders!$I$2:$I$2001,Orders!$Q$2:$Q$2001,$H24,Orders!$E$2:$E$2001,P$14)</f>
        <v>0</v>
      </c>
      <c r="Q24">
        <f>SUMIFS(Orders!$I$2:$I$2001,Orders!$Q$2:$Q$2001,$H24,Orders!$E$2:$E$2001,Q$14)</f>
        <v>0</v>
      </c>
      <c r="R24">
        <f>SUMIFS(Orders!$I$2:$I$2001,Orders!$Q$2:$Q$2001,$H24,Orders!$E$2:$E$2001,R$14)</f>
        <v>0</v>
      </c>
      <c r="S24">
        <f>SUMIFS(Orders!$I$2:$I$2001,Orders!$Q$2:$Q$2001,$H24,Orders!$E$2:$E$2001,S$14)</f>
        <v>0</v>
      </c>
      <c r="T24">
        <f>SUMIFS(Orders!$I$2:$I$2001,Orders!$Q$2:$Q$2001,$H24,Orders!$E$2:$E$2001,T$14)</f>
        <v>0</v>
      </c>
      <c r="U24">
        <f>SUMIFS(Orders!$I$2:$I$2001,Orders!$Q$2:$Q$2001,$H24,Orders!$E$2:$E$2001,U$14)</f>
        <v>0</v>
      </c>
      <c r="V24">
        <f>SUMIFS(Orders!$I$2:$I$2001,Orders!$Q$2:$Q$2001,$H24,Orders!$E$2:$E$2001,V$14)</f>
        <v>0</v>
      </c>
      <c r="W24">
        <f>SUMIFS(Orders!$I$2:$I$2001,Orders!$Q$2:$Q$2001,$H24,Orders!$E$2:$E$2001,W$14)</f>
        <v>0</v>
      </c>
      <c r="X24">
        <f>SUMIFS(Orders!$I$2:$I$2001,Orders!$Q$2:$Q$2001,$H24,Orders!$E$2:$E$2001,X$14)</f>
        <v>0</v>
      </c>
      <c r="Y24">
        <f>SUMIFS(Orders!$I$2:$I$2001,Orders!$Q$2:$Q$2001,$H24,Orders!$E$2:$E$2001,Y$14)</f>
        <v>0</v>
      </c>
      <c r="Z24">
        <f>SUMIFS(Orders!$I$2:$I$2001,Orders!$Q$2:$Q$2001,$H24,Orders!$E$2:$E$2001,Z$14)</f>
        <v>0</v>
      </c>
      <c r="AA24">
        <f>SUMIFS(Orders!$I$2:$I$2001,Orders!$Q$2:$Q$2001,$H24,Orders!$E$2:$E$2001,AA$14)</f>
        <v>0</v>
      </c>
      <c r="AB24">
        <f>SUMIFS(Orders!$I$2:$I$2001,Orders!$Q$2:$Q$2001,$H24,Orders!$E$2:$E$2001,AB$14)</f>
        <v>0</v>
      </c>
      <c r="AC24">
        <f>SUMIFS(Orders!$I$2:$I$2001,Orders!$Q$2:$Q$2001,$H24,Orders!$E$2:$E$2001,AC$14)</f>
        <v>0</v>
      </c>
      <c r="AD24">
        <f>SUMIFS(Orders!$I$2:$I$2001,Orders!$Q$2:$Q$2001,$H24,Orders!$E$2:$E$2001,AD$14)</f>
        <v>0</v>
      </c>
      <c r="AE24">
        <f>SUMIFS(Orders!$I$2:$I$2001,Orders!$Q$2:$Q$2001,$H24,Orders!$E$2:$E$2001,AE$14)</f>
        <v>0</v>
      </c>
      <c r="AF24">
        <f>SUMIFS(Orders!$I$2:$I$2001,Orders!$Q$2:$Q$2001,$H24,Orders!$E$2:$E$2001,AF$14)</f>
        <v>0</v>
      </c>
      <c r="AG24">
        <f>SUMIFS(Orders!$I$2:$I$2001,Orders!$Q$2:$Q$2001,$H24,Orders!$E$2:$E$2001,AG$14)</f>
        <v>0</v>
      </c>
      <c r="AH24">
        <f>SUMIFS(Orders!$I$2:$I$2001,Orders!$Q$2:$Q$2001,$H24,Orders!$E$2:$E$2001,AH$14)</f>
        <v>0</v>
      </c>
      <c r="AI24">
        <f>SUMIFS(Orders!$I$2:$I$2001,Orders!$Q$2:$Q$2001,$H24,Orders!$E$2:$E$2001,AI$14)</f>
        <v>0</v>
      </c>
      <c r="AJ24">
        <f>SUMIFS(Orders!$I$2:$I$2001,Orders!$Q$2:$Q$2001,$H24,Orders!$E$2:$E$2001,AJ$14)</f>
        <v>0</v>
      </c>
      <c r="AK24">
        <f>SUMIFS(Orders!$I$2:$I$2001,Orders!$Q$2:$Q$2001,$H24,Orders!$E$2:$E$2001,AK$14)</f>
        <v>0</v>
      </c>
      <c r="AL24">
        <f>SUMIFS(Orders!$I$2:$I$2001,Orders!$Q$2:$Q$2001,$H24,Orders!$E$2:$E$2001,AL$14)</f>
        <v>0</v>
      </c>
    </row>
    <row r="25" spans="8:38" x14ac:dyDescent="0.3">
      <c r="H25" s="20" t="s">
        <v>4889</v>
      </c>
      <c r="I25">
        <f>SUMIFS(Orders!$I$2:$I$2001,Orders!$Q$2:$Q$2001,$H25,Orders!$E$2:$E$2001,I$14)</f>
        <v>0</v>
      </c>
      <c r="J25">
        <f>SUMIFS(Orders!$I$2:$I$2001,Orders!$Q$2:$Q$2001,$H25,Orders!$E$2:$E$2001,J$14)</f>
        <v>0</v>
      </c>
      <c r="K25">
        <f>SUMIFS(Orders!$I$2:$I$2001,Orders!$Q$2:$Q$2001,$H25,Orders!$E$2:$E$2001,K$14)</f>
        <v>0</v>
      </c>
      <c r="L25">
        <f>SUMIFS(Orders!$I$2:$I$2001,Orders!$Q$2:$Q$2001,$H25,Orders!$E$2:$E$2001,L$14)</f>
        <v>0</v>
      </c>
      <c r="M25">
        <f>SUMIFS(Orders!$I$2:$I$2001,Orders!$Q$2:$Q$2001,$H25,Orders!$E$2:$E$2001,M$14)</f>
        <v>0</v>
      </c>
      <c r="N25">
        <f>SUMIFS(Orders!$I$2:$I$2001,Orders!$Q$2:$Q$2001,$H25,Orders!$E$2:$E$2001,N$14)</f>
        <v>0</v>
      </c>
      <c r="O25">
        <f>SUMIFS(Orders!$I$2:$I$2001,Orders!$Q$2:$Q$2001,$H25,Orders!$E$2:$E$2001,O$14)</f>
        <v>0</v>
      </c>
      <c r="P25">
        <f>SUMIFS(Orders!$I$2:$I$2001,Orders!$Q$2:$Q$2001,$H25,Orders!$E$2:$E$2001,P$14)</f>
        <v>0</v>
      </c>
      <c r="Q25">
        <f>SUMIFS(Orders!$I$2:$I$2001,Orders!$Q$2:$Q$2001,$H25,Orders!$E$2:$E$2001,Q$14)</f>
        <v>0</v>
      </c>
      <c r="R25">
        <f>SUMIFS(Orders!$I$2:$I$2001,Orders!$Q$2:$Q$2001,$H25,Orders!$E$2:$E$2001,R$14)</f>
        <v>0</v>
      </c>
      <c r="S25">
        <f>SUMIFS(Orders!$I$2:$I$2001,Orders!$Q$2:$Q$2001,$H25,Orders!$E$2:$E$2001,S$14)</f>
        <v>2338.4</v>
      </c>
      <c r="T25">
        <f>SUMIFS(Orders!$I$2:$I$2001,Orders!$Q$2:$Q$2001,$H25,Orders!$E$2:$E$2001,T$14)</f>
        <v>0</v>
      </c>
      <c r="U25">
        <f>SUMIFS(Orders!$I$2:$I$2001,Orders!$Q$2:$Q$2001,$H25,Orders!$E$2:$E$2001,U$14)</f>
        <v>0</v>
      </c>
      <c r="V25">
        <f>SUMIFS(Orders!$I$2:$I$2001,Orders!$Q$2:$Q$2001,$H25,Orders!$E$2:$E$2001,V$14)</f>
        <v>11165.44</v>
      </c>
      <c r="W25">
        <f>SUMIFS(Orders!$I$2:$I$2001,Orders!$Q$2:$Q$2001,$H25,Orders!$E$2:$E$2001,W$14)</f>
        <v>0</v>
      </c>
      <c r="X25">
        <f>SUMIFS(Orders!$I$2:$I$2001,Orders!$Q$2:$Q$2001,$H25,Orders!$E$2:$E$2001,X$14)</f>
        <v>0</v>
      </c>
      <c r="Y25">
        <f>SUMIFS(Orders!$I$2:$I$2001,Orders!$Q$2:$Q$2001,$H25,Orders!$E$2:$E$2001,Y$14)</f>
        <v>0</v>
      </c>
      <c r="Z25">
        <f>SUMIFS(Orders!$I$2:$I$2001,Orders!$Q$2:$Q$2001,$H25,Orders!$E$2:$E$2001,Z$14)</f>
        <v>0</v>
      </c>
      <c r="AA25">
        <f>SUMIFS(Orders!$I$2:$I$2001,Orders!$Q$2:$Q$2001,$H25,Orders!$E$2:$E$2001,AA$14)</f>
        <v>0</v>
      </c>
      <c r="AB25">
        <f>SUMIFS(Orders!$I$2:$I$2001,Orders!$Q$2:$Q$2001,$H25,Orders!$E$2:$E$2001,AB$14)</f>
        <v>0</v>
      </c>
      <c r="AC25">
        <f>SUMIFS(Orders!$I$2:$I$2001,Orders!$Q$2:$Q$2001,$H25,Orders!$E$2:$E$2001,AC$14)</f>
        <v>0</v>
      </c>
      <c r="AD25">
        <f>SUMIFS(Orders!$I$2:$I$2001,Orders!$Q$2:$Q$2001,$H25,Orders!$E$2:$E$2001,AD$14)</f>
        <v>0</v>
      </c>
      <c r="AE25">
        <f>SUMIFS(Orders!$I$2:$I$2001,Orders!$Q$2:$Q$2001,$H25,Orders!$E$2:$E$2001,AE$14)</f>
        <v>0</v>
      </c>
      <c r="AF25">
        <f>SUMIFS(Orders!$I$2:$I$2001,Orders!$Q$2:$Q$2001,$H25,Orders!$E$2:$E$2001,AF$14)</f>
        <v>0</v>
      </c>
      <c r="AG25">
        <f>SUMIFS(Orders!$I$2:$I$2001,Orders!$Q$2:$Q$2001,$H25,Orders!$E$2:$E$2001,AG$14)</f>
        <v>15990.75</v>
      </c>
      <c r="AH25">
        <f>SUMIFS(Orders!$I$2:$I$2001,Orders!$Q$2:$Q$2001,$H25,Orders!$E$2:$E$2001,AH$14)</f>
        <v>0</v>
      </c>
      <c r="AI25">
        <f>SUMIFS(Orders!$I$2:$I$2001,Orders!$Q$2:$Q$2001,$H25,Orders!$E$2:$E$2001,AI$14)</f>
        <v>0</v>
      </c>
      <c r="AJ25">
        <f>SUMIFS(Orders!$I$2:$I$2001,Orders!$Q$2:$Q$2001,$H25,Orders!$E$2:$E$2001,AJ$14)</f>
        <v>0</v>
      </c>
      <c r="AK25">
        <f>SUMIFS(Orders!$I$2:$I$2001,Orders!$Q$2:$Q$2001,$H25,Orders!$E$2:$E$2001,AK$14)</f>
        <v>0</v>
      </c>
      <c r="AL25">
        <f>SUMIFS(Orders!$I$2:$I$2001,Orders!$Q$2:$Q$2001,$H25,Orders!$E$2:$E$2001,AL$14)</f>
        <v>0</v>
      </c>
    </row>
    <row r="26" spans="8:38" x14ac:dyDescent="0.3">
      <c r="H26" s="20" t="s">
        <v>4890</v>
      </c>
      <c r="I26">
        <f>SUMIFS(Orders!$I$2:$I$2001,Orders!$Q$2:$Q$2001,$H26,Orders!$E$2:$E$2001,I$14)</f>
        <v>0</v>
      </c>
      <c r="J26">
        <f>SUMIFS(Orders!$I$2:$I$2001,Orders!$Q$2:$Q$2001,$H26,Orders!$E$2:$E$2001,J$14)</f>
        <v>0</v>
      </c>
      <c r="K26">
        <f>SUMIFS(Orders!$I$2:$I$2001,Orders!$Q$2:$Q$2001,$H26,Orders!$E$2:$E$2001,K$14)</f>
        <v>0</v>
      </c>
      <c r="L26">
        <f>SUMIFS(Orders!$I$2:$I$2001,Orders!$Q$2:$Q$2001,$H26,Orders!$E$2:$E$2001,L$14)</f>
        <v>0</v>
      </c>
      <c r="M26">
        <f>SUMIFS(Orders!$I$2:$I$2001,Orders!$Q$2:$Q$2001,$H26,Orders!$E$2:$E$2001,M$14)</f>
        <v>0</v>
      </c>
      <c r="N26">
        <f>SUMIFS(Orders!$I$2:$I$2001,Orders!$Q$2:$Q$2001,$H26,Orders!$E$2:$E$2001,N$14)</f>
        <v>0</v>
      </c>
      <c r="O26">
        <f>SUMIFS(Orders!$I$2:$I$2001,Orders!$Q$2:$Q$2001,$H26,Orders!$E$2:$E$2001,O$14)</f>
        <v>0</v>
      </c>
      <c r="P26">
        <f>SUMIFS(Orders!$I$2:$I$2001,Orders!$Q$2:$Q$2001,$H26,Orders!$E$2:$E$2001,P$14)</f>
        <v>0</v>
      </c>
      <c r="Q26">
        <f>SUMIFS(Orders!$I$2:$I$2001,Orders!$Q$2:$Q$2001,$H26,Orders!$E$2:$E$2001,Q$14)</f>
        <v>0</v>
      </c>
      <c r="R26">
        <f>SUMIFS(Orders!$I$2:$I$2001,Orders!$Q$2:$Q$2001,$H26,Orders!$E$2:$E$2001,R$14)</f>
        <v>0</v>
      </c>
      <c r="S26">
        <f>SUMIFS(Orders!$I$2:$I$2001,Orders!$Q$2:$Q$2001,$H26,Orders!$E$2:$E$2001,S$14)</f>
        <v>0</v>
      </c>
      <c r="T26">
        <f>SUMIFS(Orders!$I$2:$I$2001,Orders!$Q$2:$Q$2001,$H26,Orders!$E$2:$E$2001,T$14)</f>
        <v>0</v>
      </c>
      <c r="U26">
        <f>SUMIFS(Orders!$I$2:$I$2001,Orders!$Q$2:$Q$2001,$H26,Orders!$E$2:$E$2001,U$14)</f>
        <v>0</v>
      </c>
      <c r="V26">
        <f>SUMIFS(Orders!$I$2:$I$2001,Orders!$Q$2:$Q$2001,$H26,Orders!$E$2:$E$2001,V$14)</f>
        <v>0</v>
      </c>
      <c r="W26">
        <f>SUMIFS(Orders!$I$2:$I$2001,Orders!$Q$2:$Q$2001,$H26,Orders!$E$2:$E$2001,W$14)</f>
        <v>0</v>
      </c>
      <c r="X26">
        <f>SUMIFS(Orders!$I$2:$I$2001,Orders!$Q$2:$Q$2001,$H26,Orders!$E$2:$E$2001,X$14)</f>
        <v>0</v>
      </c>
      <c r="Y26">
        <f>SUMIFS(Orders!$I$2:$I$2001,Orders!$Q$2:$Q$2001,$H26,Orders!$E$2:$E$2001,Y$14)</f>
        <v>0</v>
      </c>
      <c r="Z26">
        <f>SUMIFS(Orders!$I$2:$I$2001,Orders!$Q$2:$Q$2001,$H26,Orders!$E$2:$E$2001,Z$14)</f>
        <v>0</v>
      </c>
      <c r="AA26">
        <f>SUMIFS(Orders!$I$2:$I$2001,Orders!$Q$2:$Q$2001,$H26,Orders!$E$2:$E$2001,AA$14)</f>
        <v>0</v>
      </c>
      <c r="AB26">
        <f>SUMIFS(Orders!$I$2:$I$2001,Orders!$Q$2:$Q$2001,$H26,Orders!$E$2:$E$2001,AB$14)</f>
        <v>0</v>
      </c>
      <c r="AC26">
        <f>SUMIFS(Orders!$I$2:$I$2001,Orders!$Q$2:$Q$2001,$H26,Orders!$E$2:$E$2001,AC$14)</f>
        <v>0</v>
      </c>
      <c r="AD26">
        <f>SUMIFS(Orders!$I$2:$I$2001,Orders!$Q$2:$Q$2001,$H26,Orders!$E$2:$E$2001,AD$14)</f>
        <v>0</v>
      </c>
      <c r="AE26">
        <f>SUMIFS(Orders!$I$2:$I$2001,Orders!$Q$2:$Q$2001,$H26,Orders!$E$2:$E$2001,AE$14)</f>
        <v>0</v>
      </c>
      <c r="AF26">
        <f>SUMIFS(Orders!$I$2:$I$2001,Orders!$Q$2:$Q$2001,$H26,Orders!$E$2:$E$2001,AF$14)</f>
        <v>22494</v>
      </c>
      <c r="AG26">
        <f>SUMIFS(Orders!$I$2:$I$2001,Orders!$Q$2:$Q$2001,$H26,Orders!$E$2:$E$2001,AG$14)</f>
        <v>0</v>
      </c>
      <c r="AH26">
        <f>SUMIFS(Orders!$I$2:$I$2001,Orders!$Q$2:$Q$2001,$H26,Orders!$E$2:$E$2001,AH$14)</f>
        <v>0</v>
      </c>
      <c r="AI26">
        <f>SUMIFS(Orders!$I$2:$I$2001,Orders!$Q$2:$Q$2001,$H26,Orders!$E$2:$E$2001,AI$14)</f>
        <v>0</v>
      </c>
      <c r="AJ26">
        <f>SUMIFS(Orders!$I$2:$I$2001,Orders!$Q$2:$Q$2001,$H26,Orders!$E$2:$E$2001,AJ$14)</f>
        <v>0</v>
      </c>
      <c r="AK26">
        <f>SUMIFS(Orders!$I$2:$I$2001,Orders!$Q$2:$Q$2001,$H26,Orders!$E$2:$E$2001,AK$14)</f>
        <v>0</v>
      </c>
      <c r="AL26">
        <f>SUMIFS(Orders!$I$2:$I$2001,Orders!$Q$2:$Q$2001,$H26,Orders!$E$2:$E$2001,AL$14)</f>
        <v>0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C000"/>
    <pageSetUpPr fitToPage="1"/>
  </sheetPr>
  <dimension ref="A1:J64"/>
  <sheetViews>
    <sheetView tabSelected="1" zoomScaleNormal="100" workbookViewId="0">
      <pane ySplit="4" topLeftCell="A5" activePane="bottomLeft" state="frozen"/>
      <selection pane="bottomLeft" activeCell="G8" sqref="G8"/>
    </sheetView>
  </sheetViews>
  <sheetFormatPr defaultColWidth="8.6640625" defaultRowHeight="14.4" x14ac:dyDescent="0.3"/>
  <cols>
    <col min="1" max="1" width="6" customWidth="1"/>
    <col min="2" max="2" width="60" customWidth="1"/>
    <col min="3" max="3" width="8" customWidth="1"/>
    <col min="4" max="4" width="30" customWidth="1"/>
    <col min="5" max="5" width="20" customWidth="1"/>
    <col min="6" max="6" width="15" customWidth="1"/>
  </cols>
  <sheetData>
    <row r="1" spans="1:10" ht="30" customHeight="1" x14ac:dyDescent="0.3">
      <c r="A1" s="2" t="s">
        <v>4994</v>
      </c>
      <c r="B1" s="2"/>
      <c r="C1" s="2"/>
      <c r="D1" s="2"/>
      <c r="E1" s="2"/>
      <c r="F1" s="2"/>
    </row>
    <row r="2" spans="1:10" x14ac:dyDescent="0.3">
      <c r="A2" s="1" t="s">
        <v>4995</v>
      </c>
      <c r="B2" s="1"/>
      <c r="C2" s="1"/>
      <c r="D2" s="1"/>
      <c r="E2" s="1"/>
      <c r="F2" s="1"/>
    </row>
    <row r="3" spans="1:10" x14ac:dyDescent="0.3">
      <c r="H3" s="20" t="s">
        <v>4996</v>
      </c>
    </row>
    <row r="4" spans="1:10" ht="24" customHeight="1" x14ac:dyDescent="0.3">
      <c r="A4" s="11" t="s">
        <v>4893</v>
      </c>
      <c r="B4" s="11" t="s">
        <v>4894</v>
      </c>
      <c r="C4" s="11" t="s">
        <v>21</v>
      </c>
      <c r="D4" s="11" t="s">
        <v>4895</v>
      </c>
      <c r="E4" s="11" t="s">
        <v>4896</v>
      </c>
      <c r="F4" s="11" t="s">
        <v>4897</v>
      </c>
      <c r="H4" s="20" t="s">
        <v>86</v>
      </c>
      <c r="I4" s="20" t="s">
        <v>4766</v>
      </c>
      <c r="J4" s="20" t="s">
        <v>4997</v>
      </c>
    </row>
    <row r="5" spans="1:10" ht="42" customHeight="1" x14ac:dyDescent="0.3">
      <c r="A5" s="38" t="s">
        <v>4998</v>
      </c>
      <c r="B5" s="39" t="s">
        <v>4999</v>
      </c>
      <c r="C5" s="40">
        <v>2</v>
      </c>
      <c r="D5" s="41" t="s">
        <v>5000</v>
      </c>
      <c r="E5" s="42" t="str">
        <f>INDEX(Q3_Aggregation!$I$5:$I$34,MATCH(LARGE(Q3_Aggregation!$J$5:$J$34,7),Q3_Aggregation!$J$5:$J$34,0))</f>
        <v>Naveen Singh</v>
      </c>
      <c r="F5" s="43" t="s">
        <v>4905</v>
      </c>
      <c r="G5" s="37"/>
      <c r="H5" t="str">
        <f>Products!A2</f>
        <v>PROD-001</v>
      </c>
      <c r="I5" t="str">
        <f>VLOOKUP(H5,Products!$A:$B,2,FALSE())</f>
        <v>Smartphone Pro</v>
      </c>
      <c r="J5">
        <f>SUMIFS(Orders!$I$2:$I$2001,Orders!$O$2:$O$2001,"West",Orders!$D$2:$D$2001,H5)</f>
        <v>0</v>
      </c>
    </row>
    <row r="6" spans="1:10" ht="42" customHeight="1" x14ac:dyDescent="0.3">
      <c r="A6" s="38" t="s">
        <v>5001</v>
      </c>
      <c r="B6" s="39" t="s">
        <v>5002</v>
      </c>
      <c r="C6" s="40">
        <v>2</v>
      </c>
      <c r="D6" s="41" t="s">
        <v>5003</v>
      </c>
      <c r="E6" s="42">
        <f>SUMIFS(Orders!$I$2:$I$2001,Orders!$B$2:$B$2001,"&lt;="&amp;DATE(2024,8,31))</f>
        <v>18050689.600000005</v>
      </c>
      <c r="F6" s="43" t="s">
        <v>4959</v>
      </c>
      <c r="H6" t="str">
        <f>Products!A3</f>
        <v>PROD-002</v>
      </c>
      <c r="I6" t="str">
        <f>VLOOKUP(H6,Products!$A:$B,2,FALSE())</f>
        <v>Wireless Earbuds</v>
      </c>
      <c r="J6">
        <f>SUMIFS(Orders!$I$2:$I$2001,Orders!$O$2:$O$2001,"West",Orders!$D$2:$D$2001,H6)</f>
        <v>0</v>
      </c>
    </row>
    <row r="7" spans="1:10" ht="42" customHeight="1" x14ac:dyDescent="0.3">
      <c r="A7" s="38" t="s">
        <v>5004</v>
      </c>
      <c r="B7" s="39" t="s">
        <v>5005</v>
      </c>
      <c r="C7" s="40">
        <v>3</v>
      </c>
      <c r="D7" s="41" t="s">
        <v>5006</v>
      </c>
      <c r="E7" s="42" t="str">
        <f>INDEX($I$5:$I$64,MATCH(LARGE($J$5:$J$64,2),$J$5:$J$64,0))</f>
        <v>Sports Shoes</v>
      </c>
      <c r="F7" s="43" t="s">
        <v>4905</v>
      </c>
      <c r="G7" s="37"/>
      <c r="H7" t="str">
        <f>Products!A4</f>
        <v>PROD-003</v>
      </c>
      <c r="I7" t="str">
        <f>VLOOKUP(H7,Products!$A:$B,2,FALSE())</f>
        <v>Smart Watch</v>
      </c>
      <c r="J7">
        <f>SUMIFS(Orders!$I$2:$I$2001,Orders!$O$2:$O$2001,"West",Orders!$D$2:$D$2001,H7)</f>
        <v>0</v>
      </c>
    </row>
    <row r="8" spans="1:10" ht="42" customHeight="1" x14ac:dyDescent="0.3">
      <c r="A8" s="38" t="s">
        <v>5007</v>
      </c>
      <c r="B8" s="39" t="s">
        <v>5008</v>
      </c>
      <c r="C8" s="40">
        <v>2</v>
      </c>
      <c r="D8" s="41" t="s">
        <v>5009</v>
      </c>
      <c r="E8" s="42" t="str">
        <f>_xlfn.TEXTJOIN(" | ",TRUE(),INDEX(Q3_Aggregation!$I$5:$I$34,MATCH(LARGE(Q3_Aggregation!$J$5:$J$34,1),Q3_Aggregation!$J$5:$J$34,0)),INDEX(Q3_Aggregation!$I$5:$I$34,MATCH(LARGE(Q3_Aggregation!$J$5:$J$34,2),Q3_Aggregation!$J$5:$J$34,0)),INDEX(Q3_Aggregation!$I$5:$I$34,MATCH(LARGE(Q3_Aggregation!$J$5:$J$34,3),Q3_Aggregation!$J$5:$J$34,0)),INDEX(Q3_Aggregation!$I$5:$I$34,MATCH(LARGE(Q3_Aggregation!$J$5:$J$34,4),Q3_Aggregation!$J$5:$J$34,0)),INDEX(Q3_Aggregation!$I$5:$I$34,MATCH(LARGE(Q3_Aggregation!$J$5:$J$34,5),Q3_Aggregation!$J$5:$J$34,0)))</f>
        <v>Suresh Menon | Rekha Chopra | Shalini Patel | Arun Iyer | Ashok Reddy</v>
      </c>
      <c r="F8" s="43" t="s">
        <v>4905</v>
      </c>
      <c r="G8" s="37"/>
      <c r="H8" t="str">
        <f>Products!A5</f>
        <v>PROD-004</v>
      </c>
      <c r="I8" t="str">
        <f>VLOOKUP(H8,Products!$A:$B,2,FALSE())</f>
        <v>Laptop Bag</v>
      </c>
      <c r="J8">
        <f>SUMIFS(Orders!$I$2:$I$2001,Orders!$O$2:$O$2001,"West",Orders!$D$2:$D$2001,H8)</f>
        <v>0</v>
      </c>
    </row>
    <row r="9" spans="1:10" ht="42" customHeight="1" x14ac:dyDescent="0.3">
      <c r="A9" s="38" t="s">
        <v>5010</v>
      </c>
      <c r="B9" s="39" t="s">
        <v>5011</v>
      </c>
      <c r="C9" s="40">
        <v>1</v>
      </c>
      <c r="D9" s="41" t="s">
        <v>5012</v>
      </c>
      <c r="E9" s="42">
        <f>SUMPRODUCT(MAX((TRIM(Orders!$K$2:$K$2001)="Bengaluru")*(Orders!$L$2:$L$2001="Grocery")*Orders!$I$2:$I$2001))</f>
        <v>39666.199999999997</v>
      </c>
      <c r="F9" s="43" t="s">
        <v>4959</v>
      </c>
      <c r="H9" t="str">
        <f>Products!A6</f>
        <v>PROD-005</v>
      </c>
      <c r="I9" t="str">
        <f>VLOOKUP(H9,Products!$A:$B,2,FALSE())</f>
        <v>Power Bank</v>
      </c>
      <c r="J9">
        <f>SUMIFS(Orders!$I$2:$I$2001,Orders!$O$2:$O$2001,"West",Orders!$D$2:$D$2001,H9)</f>
        <v>0</v>
      </c>
    </row>
    <row r="10" spans="1:10" x14ac:dyDescent="0.3">
      <c r="H10" t="str">
        <f>Products!A7</f>
        <v>PROD-006</v>
      </c>
      <c r="I10" t="str">
        <f>VLOOKUP(H10,Products!$A:$B,2,FALSE())</f>
        <v>Bluetooth Speaker</v>
      </c>
      <c r="J10">
        <f>SUMIFS(Orders!$I$2:$I$2001,Orders!$O$2:$O$2001,"West",Orders!$D$2:$D$2001,H10)</f>
        <v>0</v>
      </c>
    </row>
    <row r="11" spans="1:10" x14ac:dyDescent="0.3">
      <c r="H11" t="str">
        <f>Products!A8</f>
        <v>PROD-007</v>
      </c>
      <c r="I11" t="str">
        <f>VLOOKUP(H11,Products!$A:$B,2,FALSE())</f>
        <v>USB-C Cable</v>
      </c>
      <c r="J11">
        <f>SUMIFS(Orders!$I$2:$I$2001,Orders!$O$2:$O$2001,"West",Orders!$D$2:$D$2001,H11)</f>
        <v>0</v>
      </c>
    </row>
    <row r="12" spans="1:10" x14ac:dyDescent="0.3">
      <c r="H12" t="str">
        <f>Products!A9</f>
        <v>PROD-008</v>
      </c>
      <c r="I12" t="str">
        <f>VLOOKUP(H12,Products!$A:$B,2,FALSE())</f>
        <v>Wireless Mouse</v>
      </c>
      <c r="J12">
        <f>SUMIFS(Orders!$I$2:$I$2001,Orders!$O$2:$O$2001,"West",Orders!$D$2:$D$2001,H12)</f>
        <v>0</v>
      </c>
    </row>
    <row r="13" spans="1:10" x14ac:dyDescent="0.3">
      <c r="H13" t="str">
        <f>Products!A10</f>
        <v>PROD-009</v>
      </c>
      <c r="I13" t="str">
        <f>VLOOKUP(H13,Products!$A:$B,2,FALSE())</f>
        <v>Mechanical Keyboard</v>
      </c>
      <c r="J13">
        <f>SUMIFS(Orders!$I$2:$I$2001,Orders!$O$2:$O$2001,"West",Orders!$D$2:$D$2001,H13)</f>
        <v>0</v>
      </c>
    </row>
    <row r="14" spans="1:10" x14ac:dyDescent="0.3">
      <c r="H14" t="str">
        <f>Products!A11</f>
        <v>PROD-010</v>
      </c>
      <c r="I14" t="str">
        <f>VLOOKUP(H14,Products!$A:$B,2,FALSE())</f>
        <v>Tablet Stand</v>
      </c>
      <c r="J14">
        <f>SUMIFS(Orders!$I$2:$I$2001,Orders!$O$2:$O$2001,"West",Orders!$D$2:$D$2001,H14)</f>
        <v>0</v>
      </c>
    </row>
    <row r="15" spans="1:10" x14ac:dyDescent="0.3">
      <c r="H15" t="str">
        <f>Products!A12</f>
        <v>PROD-011</v>
      </c>
      <c r="I15" t="str">
        <f>VLOOKUP(H15,Products!$A:$B,2,FALSE())</f>
        <v>Cotton T-Shirt</v>
      </c>
      <c r="J15">
        <f>SUMIFS(Orders!$I$2:$I$2001,Orders!$O$2:$O$2001,"West",Orders!$D$2:$D$2001,H15)</f>
        <v>0</v>
      </c>
    </row>
    <row r="16" spans="1:10" x14ac:dyDescent="0.3">
      <c r="H16" t="str">
        <f>Products!A13</f>
        <v>PROD-012</v>
      </c>
      <c r="I16" t="str">
        <f>VLOOKUP(H16,Products!$A:$B,2,FALSE())</f>
        <v>Denim Jeans</v>
      </c>
      <c r="J16">
        <f>SUMIFS(Orders!$I$2:$I$2001,Orders!$O$2:$O$2001,"West",Orders!$D$2:$D$2001,H16)</f>
        <v>0</v>
      </c>
    </row>
    <row r="17" spans="8:10" x14ac:dyDescent="0.3">
      <c r="H17" t="str">
        <f>Products!A14</f>
        <v>PROD-013</v>
      </c>
      <c r="I17" t="str">
        <f>VLOOKUP(H17,Products!$A:$B,2,FALSE())</f>
        <v>Formal Shirt</v>
      </c>
      <c r="J17">
        <f>SUMIFS(Orders!$I$2:$I$2001,Orders!$O$2:$O$2001,"West",Orders!$D$2:$D$2001,H17)</f>
        <v>0</v>
      </c>
    </row>
    <row r="18" spans="8:10" x14ac:dyDescent="0.3">
      <c r="H18" t="str">
        <f>Products!A15</f>
        <v>PROD-014</v>
      </c>
      <c r="I18" t="str">
        <f>VLOOKUP(H18,Products!$A:$B,2,FALSE())</f>
        <v>Winter Jacket</v>
      </c>
      <c r="J18">
        <f>SUMIFS(Orders!$I$2:$I$2001,Orders!$O$2:$O$2001,"West",Orders!$D$2:$D$2001,H18)</f>
        <v>0</v>
      </c>
    </row>
    <row r="19" spans="8:10" x14ac:dyDescent="0.3">
      <c r="H19" t="str">
        <f>Products!A16</f>
        <v>PROD-015</v>
      </c>
      <c r="I19" t="str">
        <f>VLOOKUP(H19,Products!$A:$B,2,FALSE())</f>
        <v>Sports Shoes</v>
      </c>
      <c r="J19">
        <f>SUMIFS(Orders!$I$2:$I$2001,Orders!$O$2:$O$2001,"West",Orders!$D$2:$D$2001,H19)</f>
        <v>18066.240000000002</v>
      </c>
    </row>
    <row r="20" spans="8:10" x14ac:dyDescent="0.3">
      <c r="H20" t="str">
        <f>Products!A17</f>
        <v>PROD-016</v>
      </c>
      <c r="I20" t="str">
        <f>VLOOKUP(H20,Products!$A:$B,2,FALSE())</f>
        <v>Casual Sneakers</v>
      </c>
      <c r="J20">
        <f>SUMIFS(Orders!$I$2:$I$2001,Orders!$O$2:$O$2001,"West",Orders!$D$2:$D$2001,H20)</f>
        <v>0</v>
      </c>
    </row>
    <row r="21" spans="8:10" x14ac:dyDescent="0.3">
      <c r="H21" t="str">
        <f>Products!A18</f>
        <v>PROD-017</v>
      </c>
      <c r="I21" t="str">
        <f>VLOOKUP(H21,Products!$A:$B,2,FALSE())</f>
        <v>Silk Saree</v>
      </c>
      <c r="J21">
        <f>SUMIFS(Orders!$I$2:$I$2001,Orders!$O$2:$O$2001,"West",Orders!$D$2:$D$2001,H21)</f>
        <v>0</v>
      </c>
    </row>
    <row r="22" spans="8:10" x14ac:dyDescent="0.3">
      <c r="H22" t="str">
        <f>Products!A19</f>
        <v>PROD-018</v>
      </c>
      <c r="I22" t="str">
        <f>VLOOKUP(H22,Products!$A:$B,2,FALSE())</f>
        <v>Kurta Set</v>
      </c>
      <c r="J22">
        <f>SUMIFS(Orders!$I$2:$I$2001,Orders!$O$2:$O$2001,"West",Orders!$D$2:$D$2001,H22)</f>
        <v>0</v>
      </c>
    </row>
    <row r="23" spans="8:10" x14ac:dyDescent="0.3">
      <c r="H23" t="str">
        <f>Products!A20</f>
        <v>PROD-019</v>
      </c>
      <c r="I23" t="str">
        <f>VLOOKUP(H23,Products!$A:$B,2,FALSE())</f>
        <v>Track Pants</v>
      </c>
      <c r="J23">
        <f>SUMIFS(Orders!$I$2:$I$2001,Orders!$O$2:$O$2001,"West",Orders!$D$2:$D$2001,H23)</f>
        <v>12377.68</v>
      </c>
    </row>
    <row r="24" spans="8:10" x14ac:dyDescent="0.3">
      <c r="H24" t="str">
        <f>Products!A21</f>
        <v>PROD-020</v>
      </c>
      <c r="I24" t="str">
        <f>VLOOKUP(H24,Products!$A:$B,2,FALSE())</f>
        <v>Woolen Sweater</v>
      </c>
      <c r="J24">
        <f>SUMIFS(Orders!$I$2:$I$2001,Orders!$O$2:$O$2001,"West",Orders!$D$2:$D$2001,H24)</f>
        <v>0</v>
      </c>
    </row>
    <row r="25" spans="8:10" x14ac:dyDescent="0.3">
      <c r="H25" t="str">
        <f>Products!A22</f>
        <v>PROD-021</v>
      </c>
      <c r="I25" t="str">
        <f>VLOOKUP(H25,Products!$A:$B,2,FALSE())</f>
        <v>Basmati Rice 5kg</v>
      </c>
      <c r="J25">
        <f>SUMIFS(Orders!$I$2:$I$2001,Orders!$O$2:$O$2001,"West",Orders!$D$2:$D$2001,H25)</f>
        <v>0</v>
      </c>
    </row>
    <row r="26" spans="8:10" x14ac:dyDescent="0.3">
      <c r="H26" t="str">
        <f>Products!A23</f>
        <v>PROD-022</v>
      </c>
      <c r="I26" t="str">
        <f>VLOOKUP(H26,Products!$A:$B,2,FALSE())</f>
        <v>Wheat Flour 10kg</v>
      </c>
      <c r="J26">
        <f>SUMIFS(Orders!$I$2:$I$2001,Orders!$O$2:$O$2001,"West",Orders!$D$2:$D$2001,H26)</f>
        <v>0</v>
      </c>
    </row>
    <row r="27" spans="8:10" x14ac:dyDescent="0.3">
      <c r="H27" t="str">
        <f>Products!A24</f>
        <v>PROD-023</v>
      </c>
      <c r="I27" t="str">
        <f>VLOOKUP(H27,Products!$A:$B,2,FALSE())</f>
        <v>Cooking Oil 5L</v>
      </c>
      <c r="J27">
        <f>SUMIFS(Orders!$I$2:$I$2001,Orders!$O$2:$O$2001,"West",Orders!$D$2:$D$2001,H27)</f>
        <v>0</v>
      </c>
    </row>
    <row r="28" spans="8:10" x14ac:dyDescent="0.3">
      <c r="H28" t="str">
        <f>Products!A25</f>
        <v>PROD-024</v>
      </c>
      <c r="I28" t="str">
        <f>VLOOKUP(H28,Products!$A:$B,2,FALSE())</f>
        <v>Turmeric Powder 500g</v>
      </c>
      <c r="J28">
        <f>SUMIFS(Orders!$I$2:$I$2001,Orders!$O$2:$O$2001,"West",Orders!$D$2:$D$2001,H28)</f>
        <v>0</v>
      </c>
    </row>
    <row r="29" spans="8:10" x14ac:dyDescent="0.3">
      <c r="H29" t="str">
        <f>Products!A26</f>
        <v>PROD-025</v>
      </c>
      <c r="I29" t="str">
        <f>VLOOKUP(H29,Products!$A:$B,2,FALSE())</f>
        <v>Chili Powder 500g</v>
      </c>
      <c r="J29">
        <f>SUMIFS(Orders!$I$2:$I$2001,Orders!$O$2:$O$2001,"West",Orders!$D$2:$D$2001,H29)</f>
        <v>0</v>
      </c>
    </row>
    <row r="30" spans="8:10" x14ac:dyDescent="0.3">
      <c r="H30" t="str">
        <f>Products!A27</f>
        <v>PROD-026</v>
      </c>
      <c r="I30" t="str">
        <f>VLOOKUP(H30,Products!$A:$B,2,FALSE())</f>
        <v>Sugar 5kg</v>
      </c>
      <c r="J30">
        <f>SUMIFS(Orders!$I$2:$I$2001,Orders!$O$2:$O$2001,"West",Orders!$D$2:$D$2001,H30)</f>
        <v>0</v>
      </c>
    </row>
    <row r="31" spans="8:10" x14ac:dyDescent="0.3">
      <c r="H31" t="str">
        <f>Products!A28</f>
        <v>PROD-027</v>
      </c>
      <c r="I31" t="str">
        <f>VLOOKUP(H31,Products!$A:$B,2,FALSE())</f>
        <v>Tea Leaves 1kg</v>
      </c>
      <c r="J31">
        <f>SUMIFS(Orders!$I$2:$I$2001,Orders!$O$2:$O$2001,"West",Orders!$D$2:$D$2001,H31)</f>
        <v>0</v>
      </c>
    </row>
    <row r="32" spans="8:10" x14ac:dyDescent="0.3">
      <c r="H32" t="str">
        <f>Products!A29</f>
        <v>PROD-028</v>
      </c>
      <c r="I32" t="str">
        <f>VLOOKUP(H32,Products!$A:$B,2,FALSE())</f>
        <v>Coffee Beans 500g</v>
      </c>
      <c r="J32">
        <f>SUMIFS(Orders!$I$2:$I$2001,Orders!$O$2:$O$2001,"West",Orders!$D$2:$D$2001,H32)</f>
        <v>0</v>
      </c>
    </row>
    <row r="33" spans="8:10" x14ac:dyDescent="0.3">
      <c r="H33" t="str">
        <f>Products!A30</f>
        <v>PROD-029</v>
      </c>
      <c r="I33" t="str">
        <f>VLOOKUP(H33,Products!$A:$B,2,FALSE())</f>
        <v>Ghee 1L</v>
      </c>
      <c r="J33">
        <f>SUMIFS(Orders!$I$2:$I$2001,Orders!$O$2:$O$2001,"West",Orders!$D$2:$D$2001,H33)</f>
        <v>0</v>
      </c>
    </row>
    <row r="34" spans="8:10" x14ac:dyDescent="0.3">
      <c r="H34" t="str">
        <f>Products!A31</f>
        <v>PROD-030</v>
      </c>
      <c r="I34" t="str">
        <f>VLOOKUP(H34,Products!$A:$B,2,FALSE())</f>
        <v>Salt 1kg</v>
      </c>
      <c r="J34">
        <f>SUMIFS(Orders!$I$2:$I$2001,Orders!$O$2:$O$2001,"West",Orders!$D$2:$D$2001,H34)</f>
        <v>0</v>
      </c>
    </row>
    <row r="35" spans="8:10" x14ac:dyDescent="0.3">
      <c r="H35" t="str">
        <f>Products!A32</f>
        <v>PROD-031</v>
      </c>
      <c r="I35" t="str">
        <f>VLOOKUP(H35,Products!$A:$B,2,FALSE())</f>
        <v>Bed Sheet Set</v>
      </c>
      <c r="J35">
        <f>SUMIFS(Orders!$I$2:$I$2001,Orders!$O$2:$O$2001,"West",Orders!$D$2:$D$2001,H35)</f>
        <v>0</v>
      </c>
    </row>
    <row r="36" spans="8:10" x14ac:dyDescent="0.3">
      <c r="H36" t="str">
        <f>Products!A33</f>
        <v>PROD-032</v>
      </c>
      <c r="I36" t="str">
        <f>VLOOKUP(H36,Products!$A:$B,2,FALSE())</f>
        <v>Pillow Cover Pair</v>
      </c>
      <c r="J36">
        <f>SUMIFS(Orders!$I$2:$I$2001,Orders!$O$2:$O$2001,"West",Orders!$D$2:$D$2001,H36)</f>
        <v>0</v>
      </c>
    </row>
    <row r="37" spans="8:10" x14ac:dyDescent="0.3">
      <c r="H37" t="str">
        <f>Products!A34</f>
        <v>PROD-033</v>
      </c>
      <c r="I37" t="str">
        <f>VLOOKUP(H37,Products!$A:$B,2,FALSE())</f>
        <v>Curtain Set</v>
      </c>
      <c r="J37">
        <f>SUMIFS(Orders!$I$2:$I$2001,Orders!$O$2:$O$2001,"West",Orders!$D$2:$D$2001,H37)</f>
        <v>0</v>
      </c>
    </row>
    <row r="38" spans="8:10" x14ac:dyDescent="0.3">
      <c r="H38" t="str">
        <f>Products!A35</f>
        <v>PROD-034</v>
      </c>
      <c r="I38" t="str">
        <f>VLOOKUP(H38,Products!$A:$B,2,FALSE())</f>
        <v>Kitchen Towel Set</v>
      </c>
      <c r="J38">
        <f>SUMIFS(Orders!$I$2:$I$2001,Orders!$O$2:$O$2001,"West",Orders!$D$2:$D$2001,H38)</f>
        <v>0</v>
      </c>
    </row>
    <row r="39" spans="8:10" x14ac:dyDescent="0.3">
      <c r="H39" t="str">
        <f>Products!A36</f>
        <v>PROD-035</v>
      </c>
      <c r="I39" t="str">
        <f>VLOOKUP(H39,Products!$A:$B,2,FALSE())</f>
        <v>Doormat</v>
      </c>
      <c r="J39">
        <f>SUMIFS(Orders!$I$2:$I$2001,Orders!$O$2:$O$2001,"West",Orders!$D$2:$D$2001,H39)</f>
        <v>0</v>
      </c>
    </row>
    <row r="40" spans="8:10" x14ac:dyDescent="0.3">
      <c r="H40" t="str">
        <f>Products!A37</f>
        <v>PROD-036</v>
      </c>
      <c r="I40" t="str">
        <f>VLOOKUP(H40,Products!$A:$B,2,FALSE())</f>
        <v>Wall Clock</v>
      </c>
      <c r="J40">
        <f>SUMIFS(Orders!$I$2:$I$2001,Orders!$O$2:$O$2001,"West",Orders!$D$2:$D$2001,H40)</f>
        <v>9802</v>
      </c>
    </row>
    <row r="41" spans="8:10" x14ac:dyDescent="0.3">
      <c r="H41" t="str">
        <f>Products!A38</f>
        <v>PROD-037</v>
      </c>
      <c r="I41" t="str">
        <f>VLOOKUP(H41,Products!$A:$B,2,FALSE())</f>
        <v>Table Lamp</v>
      </c>
      <c r="J41">
        <f>SUMIFS(Orders!$I$2:$I$2001,Orders!$O$2:$O$2001,"West",Orders!$D$2:$D$2001,H41)</f>
        <v>0</v>
      </c>
    </row>
    <row r="42" spans="8:10" x14ac:dyDescent="0.3">
      <c r="H42" t="str">
        <f>Products!A39</f>
        <v>PROD-038</v>
      </c>
      <c r="I42" t="str">
        <f>VLOOKUP(H42,Products!$A:$B,2,FALSE())</f>
        <v>Storage Box</v>
      </c>
      <c r="J42">
        <f>SUMIFS(Orders!$I$2:$I$2001,Orders!$O$2:$O$2001,"West",Orders!$D$2:$D$2001,H42)</f>
        <v>0</v>
      </c>
    </row>
    <row r="43" spans="8:10" x14ac:dyDescent="0.3">
      <c r="H43" t="str">
        <f>Products!A40</f>
        <v>PROD-039</v>
      </c>
      <c r="I43" t="str">
        <f>VLOOKUP(H43,Products!$A:$B,2,FALSE())</f>
        <v>Photo Frame</v>
      </c>
      <c r="J43">
        <f>SUMIFS(Orders!$I$2:$I$2001,Orders!$O$2:$O$2001,"West",Orders!$D$2:$D$2001,H43)</f>
        <v>0</v>
      </c>
    </row>
    <row r="44" spans="8:10" x14ac:dyDescent="0.3">
      <c r="H44" t="str">
        <f>Products!A41</f>
        <v>PROD-040</v>
      </c>
      <c r="I44" t="str">
        <f>VLOOKUP(H44,Products!$A:$B,2,FALSE())</f>
        <v>Cushion Cover</v>
      </c>
      <c r="J44">
        <f>SUMIFS(Orders!$I$2:$I$2001,Orders!$O$2:$O$2001,"West",Orders!$D$2:$D$2001,H44)</f>
        <v>8449.92</v>
      </c>
    </row>
    <row r="45" spans="8:10" x14ac:dyDescent="0.3">
      <c r="H45" t="str">
        <f>Products!A42</f>
        <v>PROD-041</v>
      </c>
      <c r="I45" t="str">
        <f>VLOOKUP(H45,Products!$A:$B,2,FALSE())</f>
        <v>Face Wash 100ml</v>
      </c>
      <c r="J45">
        <f>SUMIFS(Orders!$I$2:$I$2001,Orders!$O$2:$O$2001,"West",Orders!$D$2:$D$2001,H45)</f>
        <v>0</v>
      </c>
    </row>
    <row r="46" spans="8:10" x14ac:dyDescent="0.3">
      <c r="H46" t="str">
        <f>Products!A43</f>
        <v>PROD-042</v>
      </c>
      <c r="I46" t="str">
        <f>VLOOKUP(H46,Products!$A:$B,2,FALSE())</f>
        <v>Moisturizer 200ml</v>
      </c>
      <c r="J46">
        <f>SUMIFS(Orders!$I$2:$I$2001,Orders!$O$2:$O$2001,"West",Orders!$D$2:$D$2001,H46)</f>
        <v>0</v>
      </c>
    </row>
    <row r="47" spans="8:10" x14ac:dyDescent="0.3">
      <c r="H47" t="str">
        <f>Products!A44</f>
        <v>PROD-043</v>
      </c>
      <c r="I47" t="str">
        <f>VLOOKUP(H47,Products!$A:$B,2,FALSE())</f>
        <v>Shampoo 500ml</v>
      </c>
      <c r="J47">
        <f>SUMIFS(Orders!$I$2:$I$2001,Orders!$O$2:$O$2001,"West",Orders!$D$2:$D$2001,H47)</f>
        <v>0</v>
      </c>
    </row>
    <row r="48" spans="8:10" x14ac:dyDescent="0.3">
      <c r="H48" t="str">
        <f>Products!A45</f>
        <v>PROD-044</v>
      </c>
      <c r="I48" t="str">
        <f>VLOOKUP(H48,Products!$A:$B,2,FALSE())</f>
        <v>Conditioner 500ml</v>
      </c>
      <c r="J48">
        <f>SUMIFS(Orders!$I$2:$I$2001,Orders!$O$2:$O$2001,"West",Orders!$D$2:$D$2001,H48)</f>
        <v>2989.8</v>
      </c>
    </row>
    <row r="49" spans="8:10" x14ac:dyDescent="0.3">
      <c r="H49" t="str">
        <f>Products!A46</f>
        <v>PROD-045</v>
      </c>
      <c r="I49" t="str">
        <f>VLOOKUP(H49,Products!$A:$B,2,FALSE())</f>
        <v>Body Lotion 400ml</v>
      </c>
      <c r="J49">
        <f>SUMIFS(Orders!$I$2:$I$2001,Orders!$O$2:$O$2001,"West",Orders!$D$2:$D$2001,H49)</f>
        <v>0</v>
      </c>
    </row>
    <row r="50" spans="8:10" x14ac:dyDescent="0.3">
      <c r="H50" t="str">
        <f>Products!A47</f>
        <v>PROD-046</v>
      </c>
      <c r="I50" t="str">
        <f>VLOOKUP(H50,Products!$A:$B,2,FALSE())</f>
        <v>Sunscreen SPF50</v>
      </c>
      <c r="J50">
        <f>SUMIFS(Orders!$I$2:$I$2001,Orders!$O$2:$O$2001,"West",Orders!$D$2:$D$2001,H50)</f>
        <v>0</v>
      </c>
    </row>
    <row r="51" spans="8:10" x14ac:dyDescent="0.3">
      <c r="H51" t="str">
        <f>Products!A48</f>
        <v>PROD-047</v>
      </c>
      <c r="I51" t="str">
        <f>VLOOKUP(H51,Products!$A:$B,2,FALSE())</f>
        <v>Lipstick</v>
      </c>
      <c r="J51">
        <f>SUMIFS(Orders!$I$2:$I$2001,Orders!$O$2:$O$2001,"West",Orders!$D$2:$D$2001,H51)</f>
        <v>22494</v>
      </c>
    </row>
    <row r="52" spans="8:10" x14ac:dyDescent="0.3">
      <c r="H52" t="str">
        <f>Products!A49</f>
        <v>PROD-048</v>
      </c>
      <c r="I52" t="str">
        <f>VLOOKUP(H52,Products!$A:$B,2,FALSE())</f>
        <v>Kajal</v>
      </c>
      <c r="J52">
        <f>SUMIFS(Orders!$I$2:$I$2001,Orders!$O$2:$O$2001,"West",Orders!$D$2:$D$2001,H52)</f>
        <v>0</v>
      </c>
    </row>
    <row r="53" spans="8:10" x14ac:dyDescent="0.3">
      <c r="H53" t="str">
        <f>Products!A50</f>
        <v>PROD-049</v>
      </c>
      <c r="I53" t="str">
        <f>VLOOKUP(H53,Products!$A:$B,2,FALSE())</f>
        <v>Hair Oil 200ml</v>
      </c>
      <c r="J53">
        <f>SUMIFS(Orders!$I$2:$I$2001,Orders!$O$2:$O$2001,"West",Orders!$D$2:$D$2001,H53)</f>
        <v>0</v>
      </c>
    </row>
    <row r="54" spans="8:10" x14ac:dyDescent="0.3">
      <c r="H54" t="str">
        <f>Products!A51</f>
        <v>PROD-050</v>
      </c>
      <c r="I54" t="str">
        <f>VLOOKUP(H54,Products!$A:$B,2,FALSE())</f>
        <v>Perfume 100ml</v>
      </c>
      <c r="J54">
        <f>SUMIFS(Orders!$I$2:$I$2001,Orders!$O$2:$O$2001,"West",Orders!$D$2:$D$2001,H54)</f>
        <v>0</v>
      </c>
    </row>
    <row r="55" spans="8:10" x14ac:dyDescent="0.3">
      <c r="H55" t="str">
        <f>Products!A52</f>
        <v>PROD-051</v>
      </c>
      <c r="I55" t="str">
        <f>VLOOKUP(H55,Products!$A:$B,2,FALSE())</f>
        <v>Yoga Mat</v>
      </c>
      <c r="J55">
        <f>SUMIFS(Orders!$I$2:$I$2001,Orders!$O$2:$O$2001,"West",Orders!$D$2:$D$2001,H55)</f>
        <v>15990.75</v>
      </c>
    </row>
    <row r="56" spans="8:10" x14ac:dyDescent="0.3">
      <c r="H56" t="str">
        <f>Products!A53</f>
        <v>PROD-052</v>
      </c>
      <c r="I56" t="str">
        <f>VLOOKUP(H56,Products!$A:$B,2,FALSE())</f>
        <v>Dumbbells 5kg</v>
      </c>
      <c r="J56">
        <f>SUMIFS(Orders!$I$2:$I$2001,Orders!$O$2:$O$2001,"West",Orders!$D$2:$D$2001,H56)</f>
        <v>0</v>
      </c>
    </row>
    <row r="57" spans="8:10" x14ac:dyDescent="0.3">
      <c r="H57" t="str">
        <f>Products!A54</f>
        <v>PROD-053</v>
      </c>
      <c r="I57" t="str">
        <f>VLOOKUP(H57,Products!$A:$B,2,FALSE())</f>
        <v>Skipping Rope</v>
      </c>
      <c r="J57">
        <f>SUMIFS(Orders!$I$2:$I$2001,Orders!$O$2:$O$2001,"West",Orders!$D$2:$D$2001,H57)</f>
        <v>0</v>
      </c>
    </row>
    <row r="58" spans="8:10" x14ac:dyDescent="0.3">
      <c r="H58" t="str">
        <f>Products!A55</f>
        <v>PROD-054</v>
      </c>
      <c r="I58" t="str">
        <f>VLOOKUP(H58,Products!$A:$B,2,FALSE())</f>
        <v>Cricket Bat</v>
      </c>
      <c r="J58">
        <f>SUMIFS(Orders!$I$2:$I$2001,Orders!$O$2:$O$2001,"West",Orders!$D$2:$D$2001,H58)</f>
        <v>0</v>
      </c>
    </row>
    <row r="59" spans="8:10" x14ac:dyDescent="0.3">
      <c r="H59" t="str">
        <f>Products!A56</f>
        <v>PROD-055</v>
      </c>
      <c r="I59" t="str">
        <f>VLOOKUP(H59,Products!$A:$B,2,FALSE())</f>
        <v>Football Size 5</v>
      </c>
      <c r="J59">
        <f>SUMIFS(Orders!$I$2:$I$2001,Orders!$O$2:$O$2001,"West",Orders!$D$2:$D$2001,H59)</f>
        <v>0</v>
      </c>
    </row>
    <row r="60" spans="8:10" x14ac:dyDescent="0.3">
      <c r="H60" t="str">
        <f>Products!A57</f>
        <v>PROD-056</v>
      </c>
      <c r="I60" t="str">
        <f>VLOOKUP(H60,Products!$A:$B,2,FALSE())</f>
        <v>Badminton Racket</v>
      </c>
      <c r="J60">
        <f>SUMIFS(Orders!$I$2:$I$2001,Orders!$O$2:$O$2001,"West",Orders!$D$2:$D$2001,H60)</f>
        <v>0</v>
      </c>
    </row>
    <row r="61" spans="8:10" x14ac:dyDescent="0.3">
      <c r="H61" t="str">
        <f>Products!A58</f>
        <v>PROD-057</v>
      </c>
      <c r="I61" t="str">
        <f>VLOOKUP(H61,Products!$A:$B,2,FALSE())</f>
        <v>Tennis Ball Pack</v>
      </c>
      <c r="J61">
        <f>SUMIFS(Orders!$I$2:$I$2001,Orders!$O$2:$O$2001,"West",Orders!$D$2:$D$2001,H61)</f>
        <v>0</v>
      </c>
    </row>
    <row r="62" spans="8:10" x14ac:dyDescent="0.3">
      <c r="H62" t="str">
        <f>Products!A59</f>
        <v>PROD-058</v>
      </c>
      <c r="I62" t="str">
        <f>VLOOKUP(H62,Products!$A:$B,2,FALSE())</f>
        <v>Cycling Helmet</v>
      </c>
      <c r="J62">
        <f>SUMIFS(Orders!$I$2:$I$2001,Orders!$O$2:$O$2001,"West",Orders!$D$2:$D$2001,H62)</f>
        <v>0</v>
      </c>
    </row>
    <row r="63" spans="8:10" x14ac:dyDescent="0.3">
      <c r="H63" t="str">
        <f>Products!A60</f>
        <v>PROD-059</v>
      </c>
      <c r="I63" t="str">
        <f>VLOOKUP(H63,Products!$A:$B,2,FALSE())</f>
        <v>Water Bottle 1L</v>
      </c>
      <c r="J63">
        <f>SUMIFS(Orders!$I$2:$I$2001,Orders!$O$2:$O$2001,"West",Orders!$D$2:$D$2001,H63)</f>
        <v>0</v>
      </c>
    </row>
    <row r="64" spans="8:10" x14ac:dyDescent="0.3">
      <c r="H64" t="str">
        <f>Products!A61</f>
        <v>PROD-060</v>
      </c>
      <c r="I64" t="str">
        <f>VLOOKUP(H64,Products!$A:$B,2,FALSE())</f>
        <v>Gym Gloves</v>
      </c>
      <c r="J64">
        <f>SUMIFS(Orders!$I$2:$I$2001,Orders!$O$2:$O$2001,"West",Orders!$D$2:$D$2001,H64)</f>
        <v>0</v>
      </c>
    </row>
  </sheetData>
  <mergeCells count="2">
    <mergeCell ref="A1:F1"/>
    <mergeCell ref="A2:F2"/>
  </mergeCells>
  <pageMargins left="0.4" right="0.4" top="0.4" bottom="0.4" header="0.511811023622047" footer="0.511811023622047"/>
  <pageSetup paperSize="9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10</vt:i4>
      </vt:variant>
    </vt:vector>
  </HeadingPairs>
  <TitlesOfParts>
    <vt:vector size="21" baseType="lpstr">
      <vt:lpstr>README</vt:lpstr>
      <vt:lpstr>Orders</vt:lpstr>
      <vt:lpstr>Customers</vt:lpstr>
      <vt:lpstr>Products</vt:lpstr>
      <vt:lpstr>Sales_Reps</vt:lpstr>
      <vt:lpstr>Targets</vt:lpstr>
      <vt:lpstr>Q1_Lookups</vt:lpstr>
      <vt:lpstr>Q2_Cleaning</vt:lpstr>
      <vt:lpstr>Q3_Aggregation</vt:lpstr>
      <vt:lpstr>Q4_Pivot</vt:lpstr>
      <vt:lpstr>Q5_Advanced</vt:lpstr>
      <vt:lpstr>Customers!Print_Area</vt:lpstr>
      <vt:lpstr>Orders!Print_Area</vt:lpstr>
      <vt:lpstr>Products!Print_Area</vt:lpstr>
      <vt:lpstr>Sales_Reps!Print_Area</vt:lpstr>
      <vt:lpstr>Targets!Print_Area</vt:lpstr>
      <vt:lpstr>Customers!Print_Titles</vt:lpstr>
      <vt:lpstr>Orders!Print_Titles</vt:lpstr>
      <vt:lpstr>Products!Print_Titles</vt:lpstr>
      <vt:lpstr>Sales_Reps!Print_Titles</vt:lpstr>
      <vt:lpstr>Targets!Print_Titles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Girish Sahu</cp:lastModifiedBy>
  <cp:revision>0</cp:revision>
  <dcterms:created xsi:type="dcterms:W3CDTF">2026-08-08T11:39:42Z</dcterms:created>
  <dcterms:modified xsi:type="dcterms:W3CDTF">2026-09-20T05:16:09Z</dcterms:modified>
  <dc:language>en-US</dc:language>
</cp:coreProperties>
</file>